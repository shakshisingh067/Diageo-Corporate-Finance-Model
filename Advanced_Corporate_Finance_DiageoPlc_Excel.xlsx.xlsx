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kshi Singh\Downloads\"/>
    </mc:Choice>
  </mc:AlternateContent>
  <xr:revisionPtr revIDLastSave="0" documentId="8_{CFEC81EA-7FB2-40C6-AFBE-95E2321C3CBE}" xr6:coauthVersionLast="47" xr6:coauthVersionMax="47" xr10:uidLastSave="{00000000-0000-0000-0000-000000000000}"/>
  <bookViews>
    <workbookView xWindow="-108" yWindow="-108" windowWidth="23256" windowHeight="12456" tabRatio="500" firstSheet="9" activeTab="14" xr2:uid="{00000000-000D-0000-FFFF-FFFF00000000}"/>
  </bookViews>
  <sheets>
    <sheet name="ESG - Part 1" sheetId="16" r:id="rId1"/>
    <sheet name="Inputs" sheetId="1" r:id="rId2"/>
    <sheet name="Hist_Financials" sheetId="2" r:id="rId3"/>
    <sheet name="Hist_Ratios" sheetId="3" r:id="rId4"/>
    <sheet name="Capital_Structure" sheetId="4" r:id="rId5"/>
    <sheet name="Project_Assumptions" sheetId="5" r:id="rId6"/>
    <sheet name="Project_FCF" sheetId="6" r:id="rId7"/>
    <sheet name="Val_WACC" sheetId="7" r:id="rId8"/>
    <sheet name="Val_APV" sheetId="8" r:id="rId9"/>
    <sheet name="Val_FCFE" sheetId="9" r:id="rId10"/>
    <sheet name="Sensitivity" sheetId="10" r:id="rId11"/>
    <sheet name="Scenarios" sheetId="11" r:id="rId12"/>
    <sheet name="BreakEven" sheetId="12" r:id="rId13"/>
    <sheet name="MonteCarlo" sheetId="13" r:id="rId14"/>
    <sheet name="Appendix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1" l="1"/>
  <c r="B16" i="9"/>
  <c r="B18" i="9"/>
  <c r="B12" i="9"/>
  <c r="F6" i="15"/>
  <c r="E6" i="15"/>
  <c r="D6" i="15"/>
  <c r="C6" i="15"/>
  <c r="B6" i="15"/>
  <c r="F4" i="15"/>
  <c r="E4" i="15"/>
  <c r="D4" i="15"/>
  <c r="C4" i="15"/>
  <c r="B4" i="15"/>
  <c r="F3" i="15"/>
  <c r="E3" i="15"/>
  <c r="D3" i="15"/>
  <c r="C3" i="15"/>
  <c r="B3" i="15"/>
  <c r="B3" i="13"/>
  <c r="B5" i="12"/>
  <c r="B3" i="12"/>
  <c r="D6" i="11"/>
  <c r="D5" i="11"/>
  <c r="D4" i="11"/>
  <c r="B35" i="9"/>
  <c r="B34" i="9"/>
  <c r="B33" i="9"/>
  <c r="B32" i="9"/>
  <c r="J22" i="9"/>
  <c r="I22" i="9"/>
  <c r="H22" i="9"/>
  <c r="G22" i="9"/>
  <c r="F22" i="9"/>
  <c r="E22" i="9"/>
  <c r="D22" i="9"/>
  <c r="C22" i="9"/>
  <c r="B22" i="9"/>
  <c r="I17" i="9"/>
  <c r="H17" i="9"/>
  <c r="G17" i="9"/>
  <c r="F17" i="9"/>
  <c r="E17" i="9"/>
  <c r="D17" i="9"/>
  <c r="C17" i="9"/>
  <c r="B17" i="9"/>
  <c r="H11" i="9"/>
  <c r="G11" i="9"/>
  <c r="F11" i="9"/>
  <c r="E11" i="9"/>
  <c r="B11" i="9"/>
  <c r="I10" i="9"/>
  <c r="I11" i="9" s="1"/>
  <c r="H10" i="9"/>
  <c r="G10" i="9"/>
  <c r="F10" i="9"/>
  <c r="E10" i="9"/>
  <c r="D10" i="9"/>
  <c r="D11" i="9" s="1"/>
  <c r="B33" i="8"/>
  <c r="B32" i="8"/>
  <c r="B31" i="8"/>
  <c r="B30" i="8"/>
  <c r="B29" i="8"/>
  <c r="J17" i="8"/>
  <c r="I17" i="8"/>
  <c r="H17" i="8"/>
  <c r="G17" i="8"/>
  <c r="F17" i="8"/>
  <c r="E17" i="8"/>
  <c r="D17" i="8"/>
  <c r="C17" i="8"/>
  <c r="B17" i="8"/>
  <c r="B16" i="8"/>
  <c r="H14" i="8"/>
  <c r="H15" i="8" s="1"/>
  <c r="H16" i="8" s="1"/>
  <c r="H18" i="8" s="1"/>
  <c r="G14" i="8"/>
  <c r="G15" i="8" s="1"/>
  <c r="G16" i="8" s="1"/>
  <c r="F14" i="8"/>
  <c r="F15" i="8" s="1"/>
  <c r="F16" i="8" s="1"/>
  <c r="F18" i="8" s="1"/>
  <c r="E14" i="8"/>
  <c r="E15" i="8" s="1"/>
  <c r="E16" i="8" s="1"/>
  <c r="E18" i="8" s="1"/>
  <c r="D14" i="8"/>
  <c r="D15" i="8" s="1"/>
  <c r="D16" i="8" s="1"/>
  <c r="D18" i="8" s="1"/>
  <c r="C14" i="8"/>
  <c r="C15" i="8" s="1"/>
  <c r="C16" i="8" s="1"/>
  <c r="C18" i="8" s="1"/>
  <c r="J7" i="8"/>
  <c r="I7" i="8"/>
  <c r="H7" i="8"/>
  <c r="G7" i="8"/>
  <c r="F7" i="8"/>
  <c r="E7" i="8"/>
  <c r="D7" i="8"/>
  <c r="C7" i="8"/>
  <c r="B7" i="8"/>
  <c r="B6" i="8"/>
  <c r="B8" i="8" s="1"/>
  <c r="B23" i="7"/>
  <c r="B22" i="7"/>
  <c r="J10" i="7"/>
  <c r="I10" i="7"/>
  <c r="H10" i="7"/>
  <c r="G10" i="7"/>
  <c r="F10" i="7"/>
  <c r="E10" i="7"/>
  <c r="D10" i="7"/>
  <c r="C10" i="7"/>
  <c r="B10" i="7"/>
  <c r="C16" i="6"/>
  <c r="J15" i="6"/>
  <c r="C15" i="6"/>
  <c r="B14" i="6"/>
  <c r="B18" i="6" s="1"/>
  <c r="J13" i="6"/>
  <c r="I13" i="6"/>
  <c r="H13" i="6"/>
  <c r="G13" i="6"/>
  <c r="F13" i="6"/>
  <c r="E13" i="6"/>
  <c r="D13" i="6"/>
  <c r="C13" i="6"/>
  <c r="J7" i="6"/>
  <c r="I7" i="6"/>
  <c r="H7" i="6"/>
  <c r="G7" i="6"/>
  <c r="F7" i="6"/>
  <c r="E7" i="6"/>
  <c r="D7" i="6"/>
  <c r="C7" i="6"/>
  <c r="C3" i="6"/>
  <c r="C5" i="6" s="1"/>
  <c r="C2" i="6"/>
  <c r="C4" i="6" s="1"/>
  <c r="B17" i="5"/>
  <c r="C10" i="9" s="1"/>
  <c r="C11" i="9" s="1"/>
  <c r="B16" i="4"/>
  <c r="B13" i="4"/>
  <c r="B12" i="4"/>
  <c r="B11" i="4"/>
  <c r="B10" i="4"/>
  <c r="B9" i="4"/>
  <c r="F22" i="3"/>
  <c r="E22" i="3"/>
  <c r="D22" i="3"/>
  <c r="G22" i="3" s="1"/>
  <c r="C22" i="3"/>
  <c r="B22" i="3"/>
  <c r="F21" i="3"/>
  <c r="E21" i="3"/>
  <c r="D21" i="3"/>
  <c r="C21" i="3"/>
  <c r="B21" i="3"/>
  <c r="G21" i="3" s="1"/>
  <c r="F20" i="3"/>
  <c r="E20" i="3"/>
  <c r="D20" i="3"/>
  <c r="C20" i="3"/>
  <c r="G20" i="3" s="1"/>
  <c r="B20" i="3"/>
  <c r="F19" i="3"/>
  <c r="E19" i="3"/>
  <c r="D19" i="3"/>
  <c r="C19" i="3"/>
  <c r="B19" i="3"/>
  <c r="F17" i="3"/>
  <c r="E17" i="3"/>
  <c r="D17" i="3"/>
  <c r="C17" i="3"/>
  <c r="G17" i="3" s="1"/>
  <c r="B17" i="3"/>
  <c r="F16" i="3"/>
  <c r="E16" i="3"/>
  <c r="D16" i="3"/>
  <c r="C16" i="3"/>
  <c r="B16" i="3"/>
  <c r="G16" i="3" s="1"/>
  <c r="G15" i="3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G13" i="3" s="1"/>
  <c r="F12" i="3"/>
  <c r="E12" i="3"/>
  <c r="D12" i="3"/>
  <c r="C12" i="3"/>
  <c r="B12" i="3"/>
  <c r="G12" i="3" s="1"/>
  <c r="F11" i="3"/>
  <c r="G11" i="3" s="1"/>
  <c r="E11" i="3"/>
  <c r="D11" i="3"/>
  <c r="C11" i="3"/>
  <c r="B11" i="3"/>
  <c r="F9" i="3"/>
  <c r="E9" i="3"/>
  <c r="D9" i="3"/>
  <c r="C9" i="3"/>
  <c r="B9" i="3"/>
  <c r="F8" i="3"/>
  <c r="E8" i="3"/>
  <c r="D8" i="3"/>
  <c r="C8" i="3"/>
  <c r="B8" i="3"/>
  <c r="G8" i="3" s="1"/>
  <c r="G7" i="3"/>
  <c r="F7" i="3"/>
  <c r="E7" i="3"/>
  <c r="D7" i="3"/>
  <c r="C7" i="3"/>
  <c r="B7" i="3"/>
  <c r="F6" i="3"/>
  <c r="E6" i="3"/>
  <c r="G6" i="3" s="1"/>
  <c r="D6" i="3"/>
  <c r="C6" i="3"/>
  <c r="B6" i="3"/>
  <c r="F5" i="3"/>
  <c r="E5" i="3"/>
  <c r="D5" i="3"/>
  <c r="C5" i="3"/>
  <c r="B5" i="3"/>
  <c r="G5" i="3" s="1"/>
  <c r="F4" i="3"/>
  <c r="E4" i="3"/>
  <c r="D4" i="3"/>
  <c r="C4" i="3"/>
  <c r="G4" i="3" s="1"/>
  <c r="F32" i="2"/>
  <c r="E32" i="2"/>
  <c r="G32" i="2" s="1"/>
  <c r="D32" i="2"/>
  <c r="C32" i="2"/>
  <c r="B32" i="2"/>
  <c r="F31" i="2"/>
  <c r="E31" i="2"/>
  <c r="D31" i="2"/>
  <c r="C31" i="2"/>
  <c r="G31" i="2" s="1"/>
  <c r="B31" i="2"/>
  <c r="F30" i="2"/>
  <c r="E30" i="2"/>
  <c r="D30" i="2"/>
  <c r="C30" i="2"/>
  <c r="B30" i="2"/>
  <c r="G30" i="2" s="1"/>
  <c r="G29" i="2"/>
  <c r="G28" i="2"/>
  <c r="F28" i="2"/>
  <c r="E28" i="2"/>
  <c r="D28" i="2"/>
  <c r="C28" i="2"/>
  <c r="B28" i="2"/>
  <c r="F27" i="2"/>
  <c r="E27" i="2"/>
  <c r="G27" i="2" s="1"/>
  <c r="D27" i="2"/>
  <c r="C27" i="2"/>
  <c r="B27" i="2"/>
  <c r="F26" i="2"/>
  <c r="E26" i="2"/>
  <c r="D26" i="2"/>
  <c r="C26" i="2"/>
  <c r="G26" i="2" s="1"/>
  <c r="B26" i="2"/>
  <c r="G23" i="2"/>
  <c r="G22" i="2"/>
  <c r="G21" i="2"/>
  <c r="G20" i="2"/>
  <c r="G19" i="2"/>
  <c r="G18" i="2"/>
  <c r="G15" i="2"/>
  <c r="G14" i="2"/>
  <c r="G13" i="2"/>
  <c r="G12" i="2"/>
  <c r="G11" i="2"/>
  <c r="G10" i="2"/>
  <c r="G9" i="2"/>
  <c r="F8" i="2"/>
  <c r="G8" i="2" s="1"/>
  <c r="E8" i="2"/>
  <c r="D8" i="2"/>
  <c r="C8" i="2"/>
  <c r="B8" i="2"/>
  <c r="G7" i="2"/>
  <c r="G6" i="2"/>
  <c r="G5" i="2"/>
  <c r="G4" i="2"/>
  <c r="B55" i="1"/>
  <c r="B56" i="1" s="1"/>
  <c r="B27" i="1"/>
  <c r="G18" i="8" l="1"/>
  <c r="B18" i="8"/>
  <c r="B6" i="9"/>
  <c r="B7" i="7"/>
  <c r="B6" i="7"/>
  <c r="B5" i="13"/>
  <c r="B4" i="13"/>
  <c r="D2" i="6"/>
  <c r="C14" i="6"/>
  <c r="G19" i="3"/>
  <c r="G14" i="3"/>
  <c r="C6" i="6"/>
  <c r="C8" i="6" s="1"/>
  <c r="G9" i="3"/>
  <c r="I14" i="8"/>
  <c r="I15" i="8" s="1"/>
  <c r="I16" i="8" s="1"/>
  <c r="I18" i="8" s="1"/>
  <c r="J10" i="9"/>
  <c r="J11" i="9" s="1"/>
  <c r="B14" i="8"/>
  <c r="J14" i="8"/>
  <c r="J15" i="8" s="1"/>
  <c r="J16" i="8" s="1"/>
  <c r="J18" i="8" s="1"/>
  <c r="B20" i="8" l="1"/>
  <c r="B26" i="8" s="1"/>
  <c r="B11" i="7"/>
  <c r="D15" i="6"/>
  <c r="D16" i="6" s="1"/>
  <c r="D3" i="6"/>
  <c r="D5" i="6" s="1"/>
  <c r="D6" i="6" s="1"/>
  <c r="D8" i="6" s="1"/>
  <c r="D14" i="6"/>
  <c r="E2" i="6"/>
  <c r="D4" i="6"/>
  <c r="B10007" i="13"/>
  <c r="B10003" i="13"/>
  <c r="B9999" i="13"/>
  <c r="B9995" i="13"/>
  <c r="B9991" i="13"/>
  <c r="B9987" i="13"/>
  <c r="B9983" i="13"/>
  <c r="B9979" i="13"/>
  <c r="B9975" i="13"/>
  <c r="B9971" i="13"/>
  <c r="B9967" i="13"/>
  <c r="B9963" i="13"/>
  <c r="B9959" i="13"/>
  <c r="B9955" i="13"/>
  <c r="B9951" i="13"/>
  <c r="B9947" i="13"/>
  <c r="B9943" i="13"/>
  <c r="B9939" i="13"/>
  <c r="B9935" i="13"/>
  <c r="B9931" i="13"/>
  <c r="B9927" i="13"/>
  <c r="B9923" i="13"/>
  <c r="B9919" i="13"/>
  <c r="B9915" i="13"/>
  <c r="B9911" i="13"/>
  <c r="B9907" i="13"/>
  <c r="B9903" i="13"/>
  <c r="B9899" i="13"/>
  <c r="B9895" i="13"/>
  <c r="B9891" i="13"/>
  <c r="B9887" i="13"/>
  <c r="B9883" i="13"/>
  <c r="B9879" i="13"/>
  <c r="B9875" i="13"/>
  <c r="B9871" i="13"/>
  <c r="B9867" i="13"/>
  <c r="B9863" i="13"/>
  <c r="B9859" i="13"/>
  <c r="B9855" i="13"/>
  <c r="B9851" i="13"/>
  <c r="B9847" i="13"/>
  <c r="B9843" i="13"/>
  <c r="B9839" i="13"/>
  <c r="B9835" i="13"/>
  <c r="B9831" i="13"/>
  <c r="B9827" i="13"/>
  <c r="B9823" i="13"/>
  <c r="B9819" i="13"/>
  <c r="B9815" i="13"/>
  <c r="B9811" i="13"/>
  <c r="B9807" i="13"/>
  <c r="B9803" i="13"/>
  <c r="B9799" i="13"/>
  <c r="B9795" i="13"/>
  <c r="B9791" i="13"/>
  <c r="B9787" i="13"/>
  <c r="B9783" i="13"/>
  <c r="B9779" i="13"/>
  <c r="B9775" i="13"/>
  <c r="B9771" i="13"/>
  <c r="B9767" i="13"/>
  <c r="B9763" i="13"/>
  <c r="B9759" i="13"/>
  <c r="B9755" i="13"/>
  <c r="B9751" i="13"/>
  <c r="B9747" i="13"/>
  <c r="B9743" i="13"/>
  <c r="B9739" i="13"/>
  <c r="B9735" i="13"/>
  <c r="B9731" i="13"/>
  <c r="B9727" i="13"/>
  <c r="B9723" i="13"/>
  <c r="B9719" i="13"/>
  <c r="B9715" i="13"/>
  <c r="B9711" i="13"/>
  <c r="B9707" i="13"/>
  <c r="B9703" i="13"/>
  <c r="B9699" i="13"/>
  <c r="B9695" i="13"/>
  <c r="B9691" i="13"/>
  <c r="B9687" i="13"/>
  <c r="B9683" i="13"/>
  <c r="B10006" i="13"/>
  <c r="B10002" i="13"/>
  <c r="B9998" i="13"/>
  <c r="B9994" i="13"/>
  <c r="B9990" i="13"/>
  <c r="B9986" i="13"/>
  <c r="B9982" i="13"/>
  <c r="B9978" i="13"/>
  <c r="B9974" i="13"/>
  <c r="B9970" i="13"/>
  <c r="B9966" i="13"/>
  <c r="B9962" i="13"/>
  <c r="B9958" i="13"/>
  <c r="B9954" i="13"/>
  <c r="B9950" i="13"/>
  <c r="B9946" i="13"/>
  <c r="B9942" i="13"/>
  <c r="B9938" i="13"/>
  <c r="B9934" i="13"/>
  <c r="B9930" i="13"/>
  <c r="B9926" i="13"/>
  <c r="B9922" i="13"/>
  <c r="B9918" i="13"/>
  <c r="B9914" i="13"/>
  <c r="B9910" i="13"/>
  <c r="B9906" i="13"/>
  <c r="B9902" i="13"/>
  <c r="B9898" i="13"/>
  <c r="B9894" i="13"/>
  <c r="B9890" i="13"/>
  <c r="B9886" i="13"/>
  <c r="B9882" i="13"/>
  <c r="B9878" i="13"/>
  <c r="B9874" i="13"/>
  <c r="B9870" i="13"/>
  <c r="B9866" i="13"/>
  <c r="B9862" i="13"/>
  <c r="B9858" i="13"/>
  <c r="B9854" i="13"/>
  <c r="B9850" i="13"/>
  <c r="B9846" i="13"/>
  <c r="B9842" i="13"/>
  <c r="B9838" i="13"/>
  <c r="B9834" i="13"/>
  <c r="B9830" i="13"/>
  <c r="B9826" i="13"/>
  <c r="B9822" i="13"/>
  <c r="B9818" i="13"/>
  <c r="B9814" i="13"/>
  <c r="B9810" i="13"/>
  <c r="B9806" i="13"/>
  <c r="B9802" i="13"/>
  <c r="B9798" i="13"/>
  <c r="B9794" i="13"/>
  <c r="B9790" i="13"/>
  <c r="B9786" i="13"/>
  <c r="B9782" i="13"/>
  <c r="B9778" i="13"/>
  <c r="B9774" i="13"/>
  <c r="B9770" i="13"/>
  <c r="B9766" i="13"/>
  <c r="B9762" i="13"/>
  <c r="B9758" i="13"/>
  <c r="B9754" i="13"/>
  <c r="B9750" i="13"/>
  <c r="B9746" i="13"/>
  <c r="B9742" i="13"/>
  <c r="B9738" i="13"/>
  <c r="B9734" i="13"/>
  <c r="B9730" i="13"/>
  <c r="B9726" i="13"/>
  <c r="B9722" i="13"/>
  <c r="B9718" i="13"/>
  <c r="B9714" i="13"/>
  <c r="B9710" i="13"/>
  <c r="B9706" i="13"/>
  <c r="B9702" i="13"/>
  <c r="B9698" i="13"/>
  <c r="B9694" i="13"/>
  <c r="B9690" i="13"/>
  <c r="B9686" i="13"/>
  <c r="B9682" i="13"/>
  <c r="B10005" i="13"/>
  <c r="B9984" i="13"/>
  <c r="B9973" i="13"/>
  <c r="B9953" i="13"/>
  <c r="B9945" i="13"/>
  <c r="B9937" i="13"/>
  <c r="B9929" i="13"/>
  <c r="B9921" i="13"/>
  <c r="B9909" i="13"/>
  <c r="B9904" i="13"/>
  <c r="B9893" i="13"/>
  <c r="B9888" i="13"/>
  <c r="B9877" i="13"/>
  <c r="B9872" i="13"/>
  <c r="B9861" i="13"/>
  <c r="B9856" i="13"/>
  <c r="B9845" i="13"/>
  <c r="B9840" i="13"/>
  <c r="B9829" i="13"/>
  <c r="B9824" i="13"/>
  <c r="B9813" i="13"/>
  <c r="B9808" i="13"/>
  <c r="B9797" i="13"/>
  <c r="B9792" i="13"/>
  <c r="B9781" i="13"/>
  <c r="B9776" i="13"/>
  <c r="B9765" i="13"/>
  <c r="B9760" i="13"/>
  <c r="B9749" i="13"/>
  <c r="B9744" i="13"/>
  <c r="B9733" i="13"/>
  <c r="B9728" i="13"/>
  <c r="B9717" i="13"/>
  <c r="B9712" i="13"/>
  <c r="B9701" i="13"/>
  <c r="B9696" i="13"/>
  <c r="B9685" i="13"/>
  <c r="B9680" i="13"/>
  <c r="B9676" i="13"/>
  <c r="B9672" i="13"/>
  <c r="B9668" i="13"/>
  <c r="B9664" i="13"/>
  <c r="B9660" i="13"/>
  <c r="B9656" i="13"/>
  <c r="B9652" i="13"/>
  <c r="B9648" i="13"/>
  <c r="B9644" i="13"/>
  <c r="B9640" i="13"/>
  <c r="B9636" i="13"/>
  <c r="B9632" i="13"/>
  <c r="B9628" i="13"/>
  <c r="B9624" i="13"/>
  <c r="B9620" i="13"/>
  <c r="B9616" i="13"/>
  <c r="B9612" i="13"/>
  <c r="B9608" i="13"/>
  <c r="B9604" i="13"/>
  <c r="B9600" i="13"/>
  <c r="B9596" i="13"/>
  <c r="B9592" i="13"/>
  <c r="B9588" i="13"/>
  <c r="B9584" i="13"/>
  <c r="B9580" i="13"/>
  <c r="B9576" i="13"/>
  <c r="B9572" i="13"/>
  <c r="B9568" i="13"/>
  <c r="B9564" i="13"/>
  <c r="B9560" i="13"/>
  <c r="B10004" i="13"/>
  <c r="B9993" i="13"/>
  <c r="B9972" i="13"/>
  <c r="B9961" i="13"/>
  <c r="B9952" i="13"/>
  <c r="B9944" i="13"/>
  <c r="B9936" i="13"/>
  <c r="B9928" i="13"/>
  <c r="B9920" i="13"/>
  <c r="B9992" i="13"/>
  <c r="B9981" i="13"/>
  <c r="B9960" i="13"/>
  <c r="B9913" i="13"/>
  <c r="B9908" i="13"/>
  <c r="B9897" i="13"/>
  <c r="B9892" i="13"/>
  <c r="B9881" i="13"/>
  <c r="B9876" i="13"/>
  <c r="B9865" i="13"/>
  <c r="B9860" i="13"/>
  <c r="B9849" i="13"/>
  <c r="B9844" i="13"/>
  <c r="B9833" i="13"/>
  <c r="B9828" i="13"/>
  <c r="B9817" i="13"/>
  <c r="B9812" i="13"/>
  <c r="B9801" i="13"/>
  <c r="B9796" i="13"/>
  <c r="B9785" i="13"/>
  <c r="B9780" i="13"/>
  <c r="B9769" i="13"/>
  <c r="B9764" i="13"/>
  <c r="B9753" i="13"/>
  <c r="B9748" i="13"/>
  <c r="B9737" i="13"/>
  <c r="B9732" i="13"/>
  <c r="B9721" i="13"/>
  <c r="B9716" i="13"/>
  <c r="B9705" i="13"/>
  <c r="B9700" i="13"/>
  <c r="B9689" i="13"/>
  <c r="B9684" i="13"/>
  <c r="B9679" i="13"/>
  <c r="B9675" i="13"/>
  <c r="B9671" i="13"/>
  <c r="B9667" i="13"/>
  <c r="B9663" i="13"/>
  <c r="B9659" i="13"/>
  <c r="B9655" i="13"/>
  <c r="B9651" i="13"/>
  <c r="B9647" i="13"/>
  <c r="B9643" i="13"/>
  <c r="B9639" i="13"/>
  <c r="B9635" i="13"/>
  <c r="B9631" i="13"/>
  <c r="B9627" i="13"/>
  <c r="B9623" i="13"/>
  <c r="B9619" i="13"/>
  <c r="B9615" i="13"/>
  <c r="B9611" i="13"/>
  <c r="B9607" i="13"/>
  <c r="B9603" i="13"/>
  <c r="B9599" i="13"/>
  <c r="B9595" i="13"/>
  <c r="B9591" i="13"/>
  <c r="B9587" i="13"/>
  <c r="B9583" i="13"/>
  <c r="B9579" i="13"/>
  <c r="B9575" i="13"/>
  <c r="B9571" i="13"/>
  <c r="B9567" i="13"/>
  <c r="B9563" i="13"/>
  <c r="B9559" i="13"/>
  <c r="B10008" i="13"/>
  <c r="B9989" i="13"/>
  <c r="B9956" i="13"/>
  <c r="B9917" i="13"/>
  <c r="B9884" i="13"/>
  <c r="B9988" i="13"/>
  <c r="B9969" i="13"/>
  <c r="B9941" i="13"/>
  <c r="B9900" i="13"/>
  <c r="B10001" i="13"/>
  <c r="B9968" i="13"/>
  <c r="B9940" i="13"/>
  <c r="B9916" i="13"/>
  <c r="B9873" i="13"/>
  <c r="B9864" i="13"/>
  <c r="B9821" i="13"/>
  <c r="B9788" i="13"/>
  <c r="B9745" i="13"/>
  <c r="B9736" i="13"/>
  <c r="B9693" i="13"/>
  <c r="B9665" i="13"/>
  <c r="B9658" i="13"/>
  <c r="B9633" i="13"/>
  <c r="B9626" i="13"/>
  <c r="B10000" i="13"/>
  <c r="B9985" i="13"/>
  <c r="B9925" i="13"/>
  <c r="B9889" i="13"/>
  <c r="B9880" i="13"/>
  <c r="B9837" i="13"/>
  <c r="B9804" i="13"/>
  <c r="B9761" i="13"/>
  <c r="B9752" i="13"/>
  <c r="B9709" i="13"/>
  <c r="B9677" i="13"/>
  <c r="B9670" i="13"/>
  <c r="B9645" i="13"/>
  <c r="B9638" i="13"/>
  <c r="B9613" i="13"/>
  <c r="B9602" i="13"/>
  <c r="B9597" i="13"/>
  <c r="B9586" i="13"/>
  <c r="B9581" i="13"/>
  <c r="B9570" i="13"/>
  <c r="B9565" i="13"/>
  <c r="B9555" i="13"/>
  <c r="B9551" i="13"/>
  <c r="B9547" i="13"/>
  <c r="B9543" i="13"/>
  <c r="B9539" i="13"/>
  <c r="B9535" i="13"/>
  <c r="B9531" i="13"/>
  <c r="B9527" i="13"/>
  <c r="B9523" i="13"/>
  <c r="B9519" i="13"/>
  <c r="B9515" i="13"/>
  <c r="B9511" i="13"/>
  <c r="B9507" i="13"/>
  <c r="B9503" i="13"/>
  <c r="B9499" i="13"/>
  <c r="B9495" i="13"/>
  <c r="B9491" i="13"/>
  <c r="B9487" i="13"/>
  <c r="B9483" i="13"/>
  <c r="B9479" i="13"/>
  <c r="B9475" i="13"/>
  <c r="B9471" i="13"/>
  <c r="B9467" i="13"/>
  <c r="B9463" i="13"/>
  <c r="B9459" i="13"/>
  <c r="B9455" i="13"/>
  <c r="B9451" i="13"/>
  <c r="B9447" i="13"/>
  <c r="B9443" i="13"/>
  <c r="B9439" i="13"/>
  <c r="B9435" i="13"/>
  <c r="B9431" i="13"/>
  <c r="B9427" i="13"/>
  <c r="B9423" i="13"/>
  <c r="B9419" i="13"/>
  <c r="B9415" i="13"/>
  <c r="B9411" i="13"/>
  <c r="B9407" i="13"/>
  <c r="B9403" i="13"/>
  <c r="B9399" i="13"/>
  <c r="B9395" i="13"/>
  <c r="B9391" i="13"/>
  <c r="B9387" i="13"/>
  <c r="B9383" i="13"/>
  <c r="B9379" i="13"/>
  <c r="B9375" i="13"/>
  <c r="B9371" i="13"/>
  <c r="B9367" i="13"/>
  <c r="B9363" i="13"/>
  <c r="B9359" i="13"/>
  <c r="B9355" i="13"/>
  <c r="B9351" i="13"/>
  <c r="B9347" i="13"/>
  <c r="B9343" i="13"/>
  <c r="B9339" i="13"/>
  <c r="B9335" i="13"/>
  <c r="B9331" i="13"/>
  <c r="B9327" i="13"/>
  <c r="B9323" i="13"/>
  <c r="B9319" i="13"/>
  <c r="B9315" i="13"/>
  <c r="B9311" i="13"/>
  <c r="B9307" i="13"/>
  <c r="B9303" i="13"/>
  <c r="B9299" i="13"/>
  <c r="B9295" i="13"/>
  <c r="B9291" i="13"/>
  <c r="B9287" i="13"/>
  <c r="B9283" i="13"/>
  <c r="B9279" i="13"/>
  <c r="B9275" i="13"/>
  <c r="B9271" i="13"/>
  <c r="B9267" i="13"/>
  <c r="B9263" i="13"/>
  <c r="B9259" i="13"/>
  <c r="B9255" i="13"/>
  <c r="B9251" i="13"/>
  <c r="B9247" i="13"/>
  <c r="B9243" i="13"/>
  <c r="B9239" i="13"/>
  <c r="B9235" i="13"/>
  <c r="B9231" i="13"/>
  <c r="B9227" i="13"/>
  <c r="B9223" i="13"/>
  <c r="B9219" i="13"/>
  <c r="B9215" i="13"/>
  <c r="B9211" i="13"/>
  <c r="B9207" i="13"/>
  <c r="B9203" i="13"/>
  <c r="B9199" i="13"/>
  <c r="B9195" i="13"/>
  <c r="B9191" i="13"/>
  <c r="B9187" i="13"/>
  <c r="B9183" i="13"/>
  <c r="B9179" i="13"/>
  <c r="B9175" i="13"/>
  <c r="B9171" i="13"/>
  <c r="B9167" i="13"/>
  <c r="B9163" i="13"/>
  <c r="B9159" i="13"/>
  <c r="B9155" i="13"/>
  <c r="B9151" i="13"/>
  <c r="B9147" i="13"/>
  <c r="B9143" i="13"/>
  <c r="B9139" i="13"/>
  <c r="B9135" i="13"/>
  <c r="B9131" i="13"/>
  <c r="B9980" i="13"/>
  <c r="B9965" i="13"/>
  <c r="B9949" i="13"/>
  <c r="B9924" i="13"/>
  <c r="B9905" i="13"/>
  <c r="B9896" i="13"/>
  <c r="B9853" i="13"/>
  <c r="B9820" i="13"/>
  <c r="B9777" i="13"/>
  <c r="B9768" i="13"/>
  <c r="B9725" i="13"/>
  <c r="B9692" i="13"/>
  <c r="B9657" i="13"/>
  <c r="B9650" i="13"/>
  <c r="B9625" i="13"/>
  <c r="B9618" i="13"/>
  <c r="B9996" i="13"/>
  <c r="B9977" i="13"/>
  <c r="B9933" i="13"/>
  <c r="B9885" i="13"/>
  <c r="B9852" i="13"/>
  <c r="B9809" i="13"/>
  <c r="B9800" i="13"/>
  <c r="B9757" i="13"/>
  <c r="B9724" i="13"/>
  <c r="B9681" i="13"/>
  <c r="B9674" i="13"/>
  <c r="B9649" i="13"/>
  <c r="B9642" i="13"/>
  <c r="B9617" i="13"/>
  <c r="B9997" i="13"/>
  <c r="B9793" i="13"/>
  <c r="B9741" i="13"/>
  <c r="B9708" i="13"/>
  <c r="B9662" i="13"/>
  <c r="B9637" i="13"/>
  <c r="B9601" i="13"/>
  <c r="B9590" i="13"/>
  <c r="B9569" i="13"/>
  <c r="B9558" i="13"/>
  <c r="B9550" i="13"/>
  <c r="B9542" i="13"/>
  <c r="B9534" i="13"/>
  <c r="B9526" i="13"/>
  <c r="B9518" i="13"/>
  <c r="B9510" i="13"/>
  <c r="B9502" i="13"/>
  <c r="B9494" i="13"/>
  <c r="B9486" i="13"/>
  <c r="B9478" i="13"/>
  <c r="B9470" i="13"/>
  <c r="B9462" i="13"/>
  <c r="B9454" i="13"/>
  <c r="B9446" i="13"/>
  <c r="B9438" i="13"/>
  <c r="B9432" i="13"/>
  <c r="B9425" i="13"/>
  <c r="B9418" i="13"/>
  <c r="B9400" i="13"/>
  <c r="B9393" i="13"/>
  <c r="B9386" i="13"/>
  <c r="B9368" i="13"/>
  <c r="B9361" i="13"/>
  <c r="B9354" i="13"/>
  <c r="B9332" i="13"/>
  <c r="B9318" i="13"/>
  <c r="B9932" i="13"/>
  <c r="B9825" i="13"/>
  <c r="B9773" i="13"/>
  <c r="B9740" i="13"/>
  <c r="B9688" i="13"/>
  <c r="B9661" i="13"/>
  <c r="B9622" i="13"/>
  <c r="B9610" i="13"/>
  <c r="B9589" i="13"/>
  <c r="B9578" i="13"/>
  <c r="B9557" i="13"/>
  <c r="B9549" i="13"/>
  <c r="B9541" i="13"/>
  <c r="B9533" i="13"/>
  <c r="B9525" i="13"/>
  <c r="B9517" i="13"/>
  <c r="B9509" i="13"/>
  <c r="B9501" i="13"/>
  <c r="B9493" i="13"/>
  <c r="B9485" i="13"/>
  <c r="B9477" i="13"/>
  <c r="B9469" i="13"/>
  <c r="B9461" i="13"/>
  <c r="B9453" i="13"/>
  <c r="B9445" i="13"/>
  <c r="B9437" i="13"/>
  <c r="B9430" i="13"/>
  <c r="B9412" i="13"/>
  <c r="B9405" i="13"/>
  <c r="B9398" i="13"/>
  <c r="B9380" i="13"/>
  <c r="B9373" i="13"/>
  <c r="B9366" i="13"/>
  <c r="B9348" i="13"/>
  <c r="B9341" i="13"/>
  <c r="B9336" i="13"/>
  <c r="B9322" i="13"/>
  <c r="B9841" i="13"/>
  <c r="B9789" i="13"/>
  <c r="B9756" i="13"/>
  <c r="B9704" i="13"/>
  <c r="B9673" i="13"/>
  <c r="B9634" i="13"/>
  <c r="B9424" i="13"/>
  <c r="B9417" i="13"/>
  <c r="B9410" i="13"/>
  <c r="B9392" i="13"/>
  <c r="B9385" i="13"/>
  <c r="B9378" i="13"/>
  <c r="B9360" i="13"/>
  <c r="B9353" i="13"/>
  <c r="B9346" i="13"/>
  <c r="B9326" i="13"/>
  <c r="B9317" i="13"/>
  <c r="B9308" i="13"/>
  <c r="B9294" i="13"/>
  <c r="B9285" i="13"/>
  <c r="B9276" i="13"/>
  <c r="B9262" i="13"/>
  <c r="B9253" i="13"/>
  <c r="B9244" i="13"/>
  <c r="B9230" i="13"/>
  <c r="B9221" i="13"/>
  <c r="B9212" i="13"/>
  <c r="B9198" i="13"/>
  <c r="B9189" i="13"/>
  <c r="B9180" i="13"/>
  <c r="B9166" i="13"/>
  <c r="B9157" i="13"/>
  <c r="B9148" i="13"/>
  <c r="B9134" i="13"/>
  <c r="B9976" i="13"/>
  <c r="B9857" i="13"/>
  <c r="B9805" i="13"/>
  <c r="B9772" i="13"/>
  <c r="B9720" i="13"/>
  <c r="B9646" i="13"/>
  <c r="B9621" i="13"/>
  <c r="B9609" i="13"/>
  <c r="B9598" i="13"/>
  <c r="B9577" i="13"/>
  <c r="B9566" i="13"/>
  <c r="B9556" i="13"/>
  <c r="B9548" i="13"/>
  <c r="B9540" i="13"/>
  <c r="B9532" i="13"/>
  <c r="B9524" i="13"/>
  <c r="B9516" i="13"/>
  <c r="B9508" i="13"/>
  <c r="B9500" i="13"/>
  <c r="B9492" i="13"/>
  <c r="B9484" i="13"/>
  <c r="B9476" i="13"/>
  <c r="B9468" i="13"/>
  <c r="B9460" i="13"/>
  <c r="B9452" i="13"/>
  <c r="B9444" i="13"/>
  <c r="B9436" i="13"/>
  <c r="B9429" i="13"/>
  <c r="B9422" i="13"/>
  <c r="B9404" i="13"/>
  <c r="B9397" i="13"/>
  <c r="B9390" i="13"/>
  <c r="B9372" i="13"/>
  <c r="B9365" i="13"/>
  <c r="B9358" i="13"/>
  <c r="B9340" i="13"/>
  <c r="B9330" i="13"/>
  <c r="B9321" i="13"/>
  <c r="B9312" i="13"/>
  <c r="B9298" i="13"/>
  <c r="B9289" i="13"/>
  <c r="B9280" i="13"/>
  <c r="B9266" i="13"/>
  <c r="B9257" i="13"/>
  <c r="B9248" i="13"/>
  <c r="B9234" i="13"/>
  <c r="B9225" i="13"/>
  <c r="B9216" i="13"/>
  <c r="B9202" i="13"/>
  <c r="B9193" i="13"/>
  <c r="B9184" i="13"/>
  <c r="B9170" i="13"/>
  <c r="B9161" i="13"/>
  <c r="B9152" i="13"/>
  <c r="B9138" i="13"/>
  <c r="B9129" i="13"/>
  <c r="B9125" i="13"/>
  <c r="B9121" i="13"/>
  <c r="B9117" i="13"/>
  <c r="B9113" i="13"/>
  <c r="B9109" i="13"/>
  <c r="B9105" i="13"/>
  <c r="B9101" i="13"/>
  <c r="B9097" i="13"/>
  <c r="B9093" i="13"/>
  <c r="B9089" i="13"/>
  <c r="B9085" i="13"/>
  <c r="B9081" i="13"/>
  <c r="B9077" i="13"/>
  <c r="B9073" i="13"/>
  <c r="B9069" i="13"/>
  <c r="B9065" i="13"/>
  <c r="B9061" i="13"/>
  <c r="B9057" i="13"/>
  <c r="B9053" i="13"/>
  <c r="B9049" i="13"/>
  <c r="B9045" i="13"/>
  <c r="B9041" i="13"/>
  <c r="B9037" i="13"/>
  <c r="B9033" i="13"/>
  <c r="B9029" i="13"/>
  <c r="B9025" i="13"/>
  <c r="B9021" i="13"/>
  <c r="B9017" i="13"/>
  <c r="B9013" i="13"/>
  <c r="B9009" i="13"/>
  <c r="B9005" i="13"/>
  <c r="B9001" i="13"/>
  <c r="B8997" i="13"/>
  <c r="B8993" i="13"/>
  <c r="B8989" i="13"/>
  <c r="B8985" i="13"/>
  <c r="B8981" i="13"/>
  <c r="B8977" i="13"/>
  <c r="B8973" i="13"/>
  <c r="B8969" i="13"/>
  <c r="B8965" i="13"/>
  <c r="B8961" i="13"/>
  <c r="B8957" i="13"/>
  <c r="B8953" i="13"/>
  <c r="B8949" i="13"/>
  <c r="B8945" i="13"/>
  <c r="B8941" i="13"/>
  <c r="B8937" i="13"/>
  <c r="B8933" i="13"/>
  <c r="B8929" i="13"/>
  <c r="B8925" i="13"/>
  <c r="B8921" i="13"/>
  <c r="B8917" i="13"/>
  <c r="B8913" i="13"/>
  <c r="B8909" i="13"/>
  <c r="B8905" i="13"/>
  <c r="B8901" i="13"/>
  <c r="B8897" i="13"/>
  <c r="B8893" i="13"/>
  <c r="B8889" i="13"/>
  <c r="B8885" i="13"/>
  <c r="B8881" i="13"/>
  <c r="B8877" i="13"/>
  <c r="B8873" i="13"/>
  <c r="B8869" i="13"/>
  <c r="B8865" i="13"/>
  <c r="B8861" i="13"/>
  <c r="B8857" i="13"/>
  <c r="B8853" i="13"/>
  <c r="B9964" i="13"/>
  <c r="B9912" i="13"/>
  <c r="B9836" i="13"/>
  <c r="B9784" i="13"/>
  <c r="B9669" i="13"/>
  <c r="B9630" i="13"/>
  <c r="B9606" i="13"/>
  <c r="B9585" i="13"/>
  <c r="B9574" i="13"/>
  <c r="B9554" i="13"/>
  <c r="B9546" i="13"/>
  <c r="B9538" i="13"/>
  <c r="B9530" i="13"/>
  <c r="B9522" i="13"/>
  <c r="B9514" i="13"/>
  <c r="B9506" i="13"/>
  <c r="B9498" i="13"/>
  <c r="B9490" i="13"/>
  <c r="B9482" i="13"/>
  <c r="B9474" i="13"/>
  <c r="B9466" i="13"/>
  <c r="B9458" i="13"/>
  <c r="B9450" i="13"/>
  <c r="B9442" i="13"/>
  <c r="B9434" i="13"/>
  <c r="B9416" i="13"/>
  <c r="B9409" i="13"/>
  <c r="B9402" i="13"/>
  <c r="B9384" i="13"/>
  <c r="B9377" i="13"/>
  <c r="B9370" i="13"/>
  <c r="B9352" i="13"/>
  <c r="B9345" i="13"/>
  <c r="B9334" i="13"/>
  <c r="B9325" i="13"/>
  <c r="B9316" i="13"/>
  <c r="B9302" i="13"/>
  <c r="B9293" i="13"/>
  <c r="B9284" i="13"/>
  <c r="B9270" i="13"/>
  <c r="B9261" i="13"/>
  <c r="B9252" i="13"/>
  <c r="B9238" i="13"/>
  <c r="B9229" i="13"/>
  <c r="B9220" i="13"/>
  <c r="B9206" i="13"/>
  <c r="B9197" i="13"/>
  <c r="B9188" i="13"/>
  <c r="B9174" i="13"/>
  <c r="B9165" i="13"/>
  <c r="B9156" i="13"/>
  <c r="B9142" i="13"/>
  <c r="B9133" i="13"/>
  <c r="B9948" i="13"/>
  <c r="B9869" i="13"/>
  <c r="B9832" i="13"/>
  <c r="B9713" i="13"/>
  <c r="B9666" i="13"/>
  <c r="B9641" i="13"/>
  <c r="B9433" i="13"/>
  <c r="B9426" i="13"/>
  <c r="B9408" i="13"/>
  <c r="B9401" i="13"/>
  <c r="B9394" i="13"/>
  <c r="B9376" i="13"/>
  <c r="B9369" i="13"/>
  <c r="B9362" i="13"/>
  <c r="B9344" i="13"/>
  <c r="B9333" i="13"/>
  <c r="B9324" i="13"/>
  <c r="B9310" i="13"/>
  <c r="B9301" i="13"/>
  <c r="B9292" i="13"/>
  <c r="B9278" i="13"/>
  <c r="B9269" i="13"/>
  <c r="B9260" i="13"/>
  <c r="B9246" i="13"/>
  <c r="B9237" i="13"/>
  <c r="B9228" i="13"/>
  <c r="B9214" i="13"/>
  <c r="B9205" i="13"/>
  <c r="B9196" i="13"/>
  <c r="B9182" i="13"/>
  <c r="B9173" i="13"/>
  <c r="B9164" i="13"/>
  <c r="B9150" i="13"/>
  <c r="B9141" i="13"/>
  <c r="B9132" i="13"/>
  <c r="B9957" i="13"/>
  <c r="B9697" i="13"/>
  <c r="B9594" i="13"/>
  <c r="B9553" i="13"/>
  <c r="B9521" i="13"/>
  <c r="B9489" i="13"/>
  <c r="B9457" i="13"/>
  <c r="B9428" i="13"/>
  <c r="B9350" i="13"/>
  <c r="B9329" i="13"/>
  <c r="B9286" i="13"/>
  <c r="B9277" i="13"/>
  <c r="B9268" i="13"/>
  <c r="B9222" i="13"/>
  <c r="B9213" i="13"/>
  <c r="B9204" i="13"/>
  <c r="B9158" i="13"/>
  <c r="B9149" i="13"/>
  <c r="B9140" i="13"/>
  <c r="B8956" i="13"/>
  <c r="B9593" i="13"/>
  <c r="B9552" i="13"/>
  <c r="B9520" i="13"/>
  <c r="B9488" i="13"/>
  <c r="B9456" i="13"/>
  <c r="B9374" i="13"/>
  <c r="B9349" i="13"/>
  <c r="B9328" i="13"/>
  <c r="B9313" i="13"/>
  <c r="B9304" i="13"/>
  <c r="B9258" i="13"/>
  <c r="B9249" i="13"/>
  <c r="B9240" i="13"/>
  <c r="B9194" i="13"/>
  <c r="B9185" i="13"/>
  <c r="B9176" i="13"/>
  <c r="B9130" i="13"/>
  <c r="B9122" i="13"/>
  <c r="B9114" i="13"/>
  <c r="B9106" i="13"/>
  <c r="B9098" i="13"/>
  <c r="B9090" i="13"/>
  <c r="B9082" i="13"/>
  <c r="B9074" i="13"/>
  <c r="B9066" i="13"/>
  <c r="B9058" i="13"/>
  <c r="B9050" i="13"/>
  <c r="B9042" i="13"/>
  <c r="B9034" i="13"/>
  <c r="B9026" i="13"/>
  <c r="B9018" i="13"/>
  <c r="B9010" i="13"/>
  <c r="B9002" i="13"/>
  <c r="B8994" i="13"/>
  <c r="B8986" i="13"/>
  <c r="B8978" i="13"/>
  <c r="B8970" i="13"/>
  <c r="B8960" i="13"/>
  <c r="B8951" i="13"/>
  <c r="B8942" i="13"/>
  <c r="B9816" i="13"/>
  <c r="B9629" i="13"/>
  <c r="B9545" i="13"/>
  <c r="B9513" i="13"/>
  <c r="B9481" i="13"/>
  <c r="B9449" i="13"/>
  <c r="B9421" i="13"/>
  <c r="B9396" i="13"/>
  <c r="B9274" i="13"/>
  <c r="B9265" i="13"/>
  <c r="B9256" i="13"/>
  <c r="B9210" i="13"/>
  <c r="B9201" i="13"/>
  <c r="B9192" i="13"/>
  <c r="B9146" i="13"/>
  <c r="B9137" i="13"/>
  <c r="B9128" i="13"/>
  <c r="B9120" i="13"/>
  <c r="B9112" i="13"/>
  <c r="B9104" i="13"/>
  <c r="B9096" i="13"/>
  <c r="B9088" i="13"/>
  <c r="B9080" i="13"/>
  <c r="B9072" i="13"/>
  <c r="B9064" i="13"/>
  <c r="B9056" i="13"/>
  <c r="B9048" i="13"/>
  <c r="B9040" i="13"/>
  <c r="B9032" i="13"/>
  <c r="B9024" i="13"/>
  <c r="B9016" i="13"/>
  <c r="B9008" i="13"/>
  <c r="B9000" i="13"/>
  <c r="B8992" i="13"/>
  <c r="B8984" i="13"/>
  <c r="B8976" i="13"/>
  <c r="B8964" i="13"/>
  <c r="B8955" i="13"/>
  <c r="B8946" i="13"/>
  <c r="B8932" i="13"/>
  <c r="B8923" i="13"/>
  <c r="B8914" i="13"/>
  <c r="B8900" i="13"/>
  <c r="B8891" i="13"/>
  <c r="B8882" i="13"/>
  <c r="B8868" i="13"/>
  <c r="B8859" i="13"/>
  <c r="B8850" i="13"/>
  <c r="B8846" i="13"/>
  <c r="B8842" i="13"/>
  <c r="B8838" i="13"/>
  <c r="B8834" i="13"/>
  <c r="B8830" i="13"/>
  <c r="B8826" i="13"/>
  <c r="B8822" i="13"/>
  <c r="B8818" i="13"/>
  <c r="B8814" i="13"/>
  <c r="B8810" i="13"/>
  <c r="B8806" i="13"/>
  <c r="B8802" i="13"/>
  <c r="B8798" i="13"/>
  <c r="B8794" i="13"/>
  <c r="B8790" i="13"/>
  <c r="B8786" i="13"/>
  <c r="B8782" i="13"/>
  <c r="B8778" i="13"/>
  <c r="B8774" i="13"/>
  <c r="B8770" i="13"/>
  <c r="B8766" i="13"/>
  <c r="B8762" i="13"/>
  <c r="B8758" i="13"/>
  <c r="B8754" i="13"/>
  <c r="B8750" i="13"/>
  <c r="B8746" i="13"/>
  <c r="B8742" i="13"/>
  <c r="B8738" i="13"/>
  <c r="B8734" i="13"/>
  <c r="B8730" i="13"/>
  <c r="B8726" i="13"/>
  <c r="B8722" i="13"/>
  <c r="B8718" i="13"/>
  <c r="B8714" i="13"/>
  <c r="B8710" i="13"/>
  <c r="B8706" i="13"/>
  <c r="B8702" i="13"/>
  <c r="B8698" i="13"/>
  <c r="B8694" i="13"/>
  <c r="B8690" i="13"/>
  <c r="B8686" i="13"/>
  <c r="B8682" i="13"/>
  <c r="B8678" i="13"/>
  <c r="B8674" i="13"/>
  <c r="B8670" i="13"/>
  <c r="B8666" i="13"/>
  <c r="B8662" i="13"/>
  <c r="B8658" i="13"/>
  <c r="B8654" i="13"/>
  <c r="B8650" i="13"/>
  <c r="B8646" i="13"/>
  <c r="B8642" i="13"/>
  <c r="B8638" i="13"/>
  <c r="B8634" i="13"/>
  <c r="B8630" i="13"/>
  <c r="B8626" i="13"/>
  <c r="B8622" i="13"/>
  <c r="B8618" i="13"/>
  <c r="B8614" i="13"/>
  <c r="B8610" i="13"/>
  <c r="B8606" i="13"/>
  <c r="B8602" i="13"/>
  <c r="B8598" i="13"/>
  <c r="B8594" i="13"/>
  <c r="B8590" i="13"/>
  <c r="B8586" i="13"/>
  <c r="B8582" i="13"/>
  <c r="B8578" i="13"/>
  <c r="B8574" i="13"/>
  <c r="B8570" i="13"/>
  <c r="B8566" i="13"/>
  <c r="B8562" i="13"/>
  <c r="B8558" i="13"/>
  <c r="B8554" i="13"/>
  <c r="B8550" i="13"/>
  <c r="B8546" i="13"/>
  <c r="B8542" i="13"/>
  <c r="B8538" i="13"/>
  <c r="B8534" i="13"/>
  <c r="B8530" i="13"/>
  <c r="B8526" i="13"/>
  <c r="B8522" i="13"/>
  <c r="B9901" i="13"/>
  <c r="B9678" i="13"/>
  <c r="B9582" i="13"/>
  <c r="B9544" i="13"/>
  <c r="B9512" i="13"/>
  <c r="B9480" i="13"/>
  <c r="B9448" i="13"/>
  <c r="B9420" i="13"/>
  <c r="B9342" i="13"/>
  <c r="B9282" i="13"/>
  <c r="B9273" i="13"/>
  <c r="B9264" i="13"/>
  <c r="B9218" i="13"/>
  <c r="B9209" i="13"/>
  <c r="B9200" i="13"/>
  <c r="B9154" i="13"/>
  <c r="B9145" i="13"/>
  <c r="B9136" i="13"/>
  <c r="B9127" i="13"/>
  <c r="B9119" i="13"/>
  <c r="B9111" i="13"/>
  <c r="B9103" i="13"/>
  <c r="B9095" i="13"/>
  <c r="B9087" i="13"/>
  <c r="B9079" i="13"/>
  <c r="B9071" i="13"/>
  <c r="B9063" i="13"/>
  <c r="B9055" i="13"/>
  <c r="B9047" i="13"/>
  <c r="B9039" i="13"/>
  <c r="B9031" i="13"/>
  <c r="B9023" i="13"/>
  <c r="B9015" i="13"/>
  <c r="B9007" i="13"/>
  <c r="B8999" i="13"/>
  <c r="B8991" i="13"/>
  <c r="B8983" i="13"/>
  <c r="B8975" i="13"/>
  <c r="B8968" i="13"/>
  <c r="B8959" i="13"/>
  <c r="B8950" i="13"/>
  <c r="B8936" i="13"/>
  <c r="B8927" i="13"/>
  <c r="B8918" i="13"/>
  <c r="B8904" i="13"/>
  <c r="B8895" i="13"/>
  <c r="B8886" i="13"/>
  <c r="B8872" i="13"/>
  <c r="B8863" i="13"/>
  <c r="B8854" i="13"/>
  <c r="B9573" i="13"/>
  <c r="B9537" i="13"/>
  <c r="B9505" i="13"/>
  <c r="B9473" i="13"/>
  <c r="B9441" i="13"/>
  <c r="B9414" i="13"/>
  <c r="B9389" i="13"/>
  <c r="B9364" i="13"/>
  <c r="B9338" i="13"/>
  <c r="B9320" i="13"/>
  <c r="B9309" i="13"/>
  <c r="B9300" i="13"/>
  <c r="B9254" i="13"/>
  <c r="B9245" i="13"/>
  <c r="B9236" i="13"/>
  <c r="B9190" i="13"/>
  <c r="B9181" i="13"/>
  <c r="B9172" i="13"/>
  <c r="B8963" i="13"/>
  <c r="B8954" i="13"/>
  <c r="B8940" i="13"/>
  <c r="B8931" i="13"/>
  <c r="B8922" i="13"/>
  <c r="B8908" i="13"/>
  <c r="B8899" i="13"/>
  <c r="B8890" i="13"/>
  <c r="B8876" i="13"/>
  <c r="B8867" i="13"/>
  <c r="B8858" i="13"/>
  <c r="B8849" i="13"/>
  <c r="B8845" i="13"/>
  <c r="B8841" i="13"/>
  <c r="B8837" i="13"/>
  <c r="B8833" i="13"/>
  <c r="B8829" i="13"/>
  <c r="B8825" i="13"/>
  <c r="B8821" i="13"/>
  <c r="B8817" i="13"/>
  <c r="B8813" i="13"/>
  <c r="B8809" i="13"/>
  <c r="B8805" i="13"/>
  <c r="B8801" i="13"/>
  <c r="B8797" i="13"/>
  <c r="B8793" i="13"/>
  <c r="B8789" i="13"/>
  <c r="B8785" i="13"/>
  <c r="B8781" i="13"/>
  <c r="B8777" i="13"/>
  <c r="B8773" i="13"/>
  <c r="B8769" i="13"/>
  <c r="B8765" i="13"/>
  <c r="B8761" i="13"/>
  <c r="B8757" i="13"/>
  <c r="B8753" i="13"/>
  <c r="B8749" i="13"/>
  <c r="B8745" i="13"/>
  <c r="B8741" i="13"/>
  <c r="B8737" i="13"/>
  <c r="B8733" i="13"/>
  <c r="B8729" i="13"/>
  <c r="B8725" i="13"/>
  <c r="B8721" i="13"/>
  <c r="B8717" i="13"/>
  <c r="B8713" i="13"/>
  <c r="B8709" i="13"/>
  <c r="B8705" i="13"/>
  <c r="B8701" i="13"/>
  <c r="B8697" i="13"/>
  <c r="B8693" i="13"/>
  <c r="B8689" i="13"/>
  <c r="B8685" i="13"/>
  <c r="B8681" i="13"/>
  <c r="B8677" i="13"/>
  <c r="B8673" i="13"/>
  <c r="B8669" i="13"/>
  <c r="B8665" i="13"/>
  <c r="B8661" i="13"/>
  <c r="B8657" i="13"/>
  <c r="B8653" i="13"/>
  <c r="B8649" i="13"/>
  <c r="B8645" i="13"/>
  <c r="B8641" i="13"/>
  <c r="B8637" i="13"/>
  <c r="B8633" i="13"/>
  <c r="B8629" i="13"/>
  <c r="B8625" i="13"/>
  <c r="B8621" i="13"/>
  <c r="B8617" i="13"/>
  <c r="B8613" i="13"/>
  <c r="B8609" i="13"/>
  <c r="B8605" i="13"/>
  <c r="B8601" i="13"/>
  <c r="B8597" i="13"/>
  <c r="B8593" i="13"/>
  <c r="B8589" i="13"/>
  <c r="B8585" i="13"/>
  <c r="B8581" i="13"/>
  <c r="B8577" i="13"/>
  <c r="B8573" i="13"/>
  <c r="B8569" i="13"/>
  <c r="B8565" i="13"/>
  <c r="B8561" i="13"/>
  <c r="B8557" i="13"/>
  <c r="B8553" i="13"/>
  <c r="B8549" i="13"/>
  <c r="B8545" i="13"/>
  <c r="B8541" i="13"/>
  <c r="B8537" i="13"/>
  <c r="B8533" i="13"/>
  <c r="B8529" i="13"/>
  <c r="B9654" i="13"/>
  <c r="B9605" i="13"/>
  <c r="B9562" i="13"/>
  <c r="B9529" i="13"/>
  <c r="B9497" i="13"/>
  <c r="B9465" i="13"/>
  <c r="B9382" i="13"/>
  <c r="B9357" i="13"/>
  <c r="B9306" i="13"/>
  <c r="B9297" i="13"/>
  <c r="B9288" i="13"/>
  <c r="B9242" i="13"/>
  <c r="B9233" i="13"/>
  <c r="B9224" i="13"/>
  <c r="B9178" i="13"/>
  <c r="B9169" i="13"/>
  <c r="B9160" i="13"/>
  <c r="B9124" i="13"/>
  <c r="B9116" i="13"/>
  <c r="B9108" i="13"/>
  <c r="B9100" i="13"/>
  <c r="B9092" i="13"/>
  <c r="B9084" i="13"/>
  <c r="B9076" i="13"/>
  <c r="B9068" i="13"/>
  <c r="B9060" i="13"/>
  <c r="B9052" i="13"/>
  <c r="B9044" i="13"/>
  <c r="B9036" i="13"/>
  <c r="B9028" i="13"/>
  <c r="B9020" i="13"/>
  <c r="B9012" i="13"/>
  <c r="B9004" i="13"/>
  <c r="B8996" i="13"/>
  <c r="B8988" i="13"/>
  <c r="B8980" i="13"/>
  <c r="B8972" i="13"/>
  <c r="B8962" i="13"/>
  <c r="B8948" i="13"/>
  <c r="B8939" i="13"/>
  <c r="B8930" i="13"/>
  <c r="B8916" i="13"/>
  <c r="B8907" i="13"/>
  <c r="B8898" i="13"/>
  <c r="B8884" i="13"/>
  <c r="B8875" i="13"/>
  <c r="B8866" i="13"/>
  <c r="B8852" i="13"/>
  <c r="B8848" i="13"/>
  <c r="B8844" i="13"/>
  <c r="B8840" i="13"/>
  <c r="B8836" i="13"/>
  <c r="B8832" i="13"/>
  <c r="B8828" i="13"/>
  <c r="B8824" i="13"/>
  <c r="B8820" i="13"/>
  <c r="B8816" i="13"/>
  <c r="B8812" i="13"/>
  <c r="B8808" i="13"/>
  <c r="B8804" i="13"/>
  <c r="B8800" i="13"/>
  <c r="B8796" i="13"/>
  <c r="B8792" i="13"/>
  <c r="B8788" i="13"/>
  <c r="B8784" i="13"/>
  <c r="B8780" i="13"/>
  <c r="B8776" i="13"/>
  <c r="B8772" i="13"/>
  <c r="B8768" i="13"/>
  <c r="B8764" i="13"/>
  <c r="B8760" i="13"/>
  <c r="B8756" i="13"/>
  <c r="B8752" i="13"/>
  <c r="B8748" i="13"/>
  <c r="B8744" i="13"/>
  <c r="B8740" i="13"/>
  <c r="B8736" i="13"/>
  <c r="B8732" i="13"/>
  <c r="B8728" i="13"/>
  <c r="B8724" i="13"/>
  <c r="B8720" i="13"/>
  <c r="B8716" i="13"/>
  <c r="B8712" i="13"/>
  <c r="B8708" i="13"/>
  <c r="B8704" i="13"/>
  <c r="B8700" i="13"/>
  <c r="B8696" i="13"/>
  <c r="B8692" i="13"/>
  <c r="B8688" i="13"/>
  <c r="B8684" i="13"/>
  <c r="B8680" i="13"/>
  <c r="B8676" i="13"/>
  <c r="B8672" i="13"/>
  <c r="B8668" i="13"/>
  <c r="B8664" i="13"/>
  <c r="B8660" i="13"/>
  <c r="B8656" i="13"/>
  <c r="B8652" i="13"/>
  <c r="B8648" i="13"/>
  <c r="B8644" i="13"/>
  <c r="B8640" i="13"/>
  <c r="B8636" i="13"/>
  <c r="B8632" i="13"/>
  <c r="B8628" i="13"/>
  <c r="B8624" i="13"/>
  <c r="B8620" i="13"/>
  <c r="B8616" i="13"/>
  <c r="B8612" i="13"/>
  <c r="B8608" i="13"/>
  <c r="B8604" i="13"/>
  <c r="B8600" i="13"/>
  <c r="B8596" i="13"/>
  <c r="B8592" i="13"/>
  <c r="B8588" i="13"/>
  <c r="B8584" i="13"/>
  <c r="B8580" i="13"/>
  <c r="B8576" i="13"/>
  <c r="B8572" i="13"/>
  <c r="B8568" i="13"/>
  <c r="B8564" i="13"/>
  <c r="B8560" i="13"/>
  <c r="B8556" i="13"/>
  <c r="B8552" i="13"/>
  <c r="B8548" i="13"/>
  <c r="B8544" i="13"/>
  <c r="B8540" i="13"/>
  <c r="B8536" i="13"/>
  <c r="B8532" i="13"/>
  <c r="B8528" i="13"/>
  <c r="B8524" i="13"/>
  <c r="B8520" i="13"/>
  <c r="B8516" i="13"/>
  <c r="B8512" i="13"/>
  <c r="B8508" i="13"/>
  <c r="B8504" i="13"/>
  <c r="B8500" i="13"/>
  <c r="B8496" i="13"/>
  <c r="B9868" i="13"/>
  <c r="B9614" i="13"/>
  <c r="B9472" i="13"/>
  <c r="B9226" i="13"/>
  <c r="B9153" i="13"/>
  <c r="B9118" i="13"/>
  <c r="B9086" i="13"/>
  <c r="B9054" i="13"/>
  <c r="B9022" i="13"/>
  <c r="B8990" i="13"/>
  <c r="B8947" i="13"/>
  <c r="B8935" i="13"/>
  <c r="B8926" i="13"/>
  <c r="B8880" i="13"/>
  <c r="B8871" i="13"/>
  <c r="B8862" i="13"/>
  <c r="B8571" i="13"/>
  <c r="B8539" i="13"/>
  <c r="B8521" i="13"/>
  <c r="B8507" i="13"/>
  <c r="B8498" i="13"/>
  <c r="B9848" i="13"/>
  <c r="B9464" i="13"/>
  <c r="B9356" i="13"/>
  <c r="B9296" i="13"/>
  <c r="B9186" i="13"/>
  <c r="B9115" i="13"/>
  <c r="B9083" i="13"/>
  <c r="B9051" i="13"/>
  <c r="B9019" i="13"/>
  <c r="B8987" i="13"/>
  <c r="B8944" i="13"/>
  <c r="B8934" i="13"/>
  <c r="B8888" i="13"/>
  <c r="B8879" i="13"/>
  <c r="B8870" i="13"/>
  <c r="B8583" i="13"/>
  <c r="B8551" i="13"/>
  <c r="B8511" i="13"/>
  <c r="B8502" i="13"/>
  <c r="B8493" i="13"/>
  <c r="B8489" i="13"/>
  <c r="B8485" i="13"/>
  <c r="B8481" i="13"/>
  <c r="B8477" i="13"/>
  <c r="B8473" i="13"/>
  <c r="B9440" i="13"/>
  <c r="B9337" i="13"/>
  <c r="B9290" i="13"/>
  <c r="B9217" i="13"/>
  <c r="B9144" i="13"/>
  <c r="B9110" i="13"/>
  <c r="B9078" i="13"/>
  <c r="B9046" i="13"/>
  <c r="B9014" i="13"/>
  <c r="B8982" i="13"/>
  <c r="B8958" i="13"/>
  <c r="B8943" i="13"/>
  <c r="B8924" i="13"/>
  <c r="B8915" i="13"/>
  <c r="B8906" i="13"/>
  <c r="B8860" i="13"/>
  <c r="B8851" i="13"/>
  <c r="B8843" i="13"/>
  <c r="B8835" i="13"/>
  <c r="B8827" i="13"/>
  <c r="B8819" i="13"/>
  <c r="B8811" i="13"/>
  <c r="B8803" i="13"/>
  <c r="B8795" i="13"/>
  <c r="B8787" i="13"/>
  <c r="B8779" i="13"/>
  <c r="B8771" i="13"/>
  <c r="B8763" i="13"/>
  <c r="B8755" i="13"/>
  <c r="B8747" i="13"/>
  <c r="B8739" i="13"/>
  <c r="B8731" i="13"/>
  <c r="B8723" i="13"/>
  <c r="B8715" i="13"/>
  <c r="B8707" i="13"/>
  <c r="B8699" i="13"/>
  <c r="B8691" i="13"/>
  <c r="B8683" i="13"/>
  <c r="B8675" i="13"/>
  <c r="B8667" i="13"/>
  <c r="B8659" i="13"/>
  <c r="B8651" i="13"/>
  <c r="B8643" i="13"/>
  <c r="B8635" i="13"/>
  <c r="B8627" i="13"/>
  <c r="B8619" i="13"/>
  <c r="B8611" i="13"/>
  <c r="B8603" i="13"/>
  <c r="B8595" i="13"/>
  <c r="B8563" i="13"/>
  <c r="B8531" i="13"/>
  <c r="B8525" i="13"/>
  <c r="B8515" i="13"/>
  <c r="B8506" i="13"/>
  <c r="B8497" i="13"/>
  <c r="B9561" i="13"/>
  <c r="B9250" i="13"/>
  <c r="B9177" i="13"/>
  <c r="B9107" i="13"/>
  <c r="B9075" i="13"/>
  <c r="B9043" i="13"/>
  <c r="B9011" i="13"/>
  <c r="B8979" i="13"/>
  <c r="B8896" i="13"/>
  <c r="B8887" i="13"/>
  <c r="B8878" i="13"/>
  <c r="B8575" i="13"/>
  <c r="B8543" i="13"/>
  <c r="B8519" i="13"/>
  <c r="B8510" i="13"/>
  <c r="B8501" i="13"/>
  <c r="B8492" i="13"/>
  <c r="B8488" i="13"/>
  <c r="B8484" i="13"/>
  <c r="B8480" i="13"/>
  <c r="B8476" i="13"/>
  <c r="B8472" i="13"/>
  <c r="B8468" i="13"/>
  <c r="B8464" i="13"/>
  <c r="B8460" i="13"/>
  <c r="B8456" i="13"/>
  <c r="B8452" i="13"/>
  <c r="B8448" i="13"/>
  <c r="B8444" i="13"/>
  <c r="B8440" i="13"/>
  <c r="B8436" i="13"/>
  <c r="B8432" i="13"/>
  <c r="B8428" i="13"/>
  <c r="B8424" i="13"/>
  <c r="B8420" i="13"/>
  <c r="B8416" i="13"/>
  <c r="B8412" i="13"/>
  <c r="B8408" i="13"/>
  <c r="B8404" i="13"/>
  <c r="B8400" i="13"/>
  <c r="B8396" i="13"/>
  <c r="B8392" i="13"/>
  <c r="B8388" i="13"/>
  <c r="B8384" i="13"/>
  <c r="B8380" i="13"/>
  <c r="B8376" i="13"/>
  <c r="B8372" i="13"/>
  <c r="B8368" i="13"/>
  <c r="B8364" i="13"/>
  <c r="B8360" i="13"/>
  <c r="B8356" i="13"/>
  <c r="B8352" i="13"/>
  <c r="B8348" i="13"/>
  <c r="B8344" i="13"/>
  <c r="B8340" i="13"/>
  <c r="B8336" i="13"/>
  <c r="B8332" i="13"/>
  <c r="B8328" i="13"/>
  <c r="B8324" i="13"/>
  <c r="B8320" i="13"/>
  <c r="B8316" i="13"/>
  <c r="B8312" i="13"/>
  <c r="B8308" i="13"/>
  <c r="B8304" i="13"/>
  <c r="B8300" i="13"/>
  <c r="B8296" i="13"/>
  <c r="B8292" i="13"/>
  <c r="B8288" i="13"/>
  <c r="B8284" i="13"/>
  <c r="B8280" i="13"/>
  <c r="B8276" i="13"/>
  <c r="B8272" i="13"/>
  <c r="B8268" i="13"/>
  <c r="B8264" i="13"/>
  <c r="B8260" i="13"/>
  <c r="B8256" i="13"/>
  <c r="B8252" i="13"/>
  <c r="B8248" i="13"/>
  <c r="B8244" i="13"/>
  <c r="B8240" i="13"/>
  <c r="B8236" i="13"/>
  <c r="B8232" i="13"/>
  <c r="B8228" i="13"/>
  <c r="B8224" i="13"/>
  <c r="B8220" i="13"/>
  <c r="B8216" i="13"/>
  <c r="B8212" i="13"/>
  <c r="B8208" i="13"/>
  <c r="B8204" i="13"/>
  <c r="B8200" i="13"/>
  <c r="B8196" i="13"/>
  <c r="B8192" i="13"/>
  <c r="B8188" i="13"/>
  <c r="B8184" i="13"/>
  <c r="B8180" i="13"/>
  <c r="B8176" i="13"/>
  <c r="B8172" i="13"/>
  <c r="B8168" i="13"/>
  <c r="B8164" i="13"/>
  <c r="B8160" i="13"/>
  <c r="B8156" i="13"/>
  <c r="B8152" i="13"/>
  <c r="B8148" i="13"/>
  <c r="B8144" i="13"/>
  <c r="B8140" i="13"/>
  <c r="B8136" i="13"/>
  <c r="B8132" i="13"/>
  <c r="B8128" i="13"/>
  <c r="B8124" i="13"/>
  <c r="B8120" i="13"/>
  <c r="B8116" i="13"/>
  <c r="B8112" i="13"/>
  <c r="B8108" i="13"/>
  <c r="B8104" i="13"/>
  <c r="B8100" i="13"/>
  <c r="B8096" i="13"/>
  <c r="B8092" i="13"/>
  <c r="B8088" i="13"/>
  <c r="B8084" i="13"/>
  <c r="B8080" i="13"/>
  <c r="B8076" i="13"/>
  <c r="B8072" i="13"/>
  <c r="B8068" i="13"/>
  <c r="B8064" i="13"/>
  <c r="B8060" i="13"/>
  <c r="B8056" i="13"/>
  <c r="B8052" i="13"/>
  <c r="B8048" i="13"/>
  <c r="B8044" i="13"/>
  <c r="B8040" i="13"/>
  <c r="B8036" i="13"/>
  <c r="B8032" i="13"/>
  <c r="B8028" i="13"/>
  <c r="B8024" i="13"/>
  <c r="B8020" i="13"/>
  <c r="B8016" i="13"/>
  <c r="B8012" i="13"/>
  <c r="B8008" i="13"/>
  <c r="B8004" i="13"/>
  <c r="B8000" i="13"/>
  <c r="B7996" i="13"/>
  <c r="B7992" i="13"/>
  <c r="B7988" i="13"/>
  <c r="B7984" i="13"/>
  <c r="B7980" i="13"/>
  <c r="B7976" i="13"/>
  <c r="B7972" i="13"/>
  <c r="B7968" i="13"/>
  <c r="B7964" i="13"/>
  <c r="B9729" i="13"/>
  <c r="B9536" i="13"/>
  <c r="B9413" i="13"/>
  <c r="B9281" i="13"/>
  <c r="B9208" i="13"/>
  <c r="B9102" i="13"/>
  <c r="B9070" i="13"/>
  <c r="B9038" i="13"/>
  <c r="B9006" i="13"/>
  <c r="B8974" i="13"/>
  <c r="B8912" i="13"/>
  <c r="B8903" i="13"/>
  <c r="B8894" i="13"/>
  <c r="B8587" i="13"/>
  <c r="B8555" i="13"/>
  <c r="B8514" i="13"/>
  <c r="B8505" i="13"/>
  <c r="B9504" i="13"/>
  <c r="B9388" i="13"/>
  <c r="B9272" i="13"/>
  <c r="B9162" i="13"/>
  <c r="B9126" i="13"/>
  <c r="B9094" i="13"/>
  <c r="B9062" i="13"/>
  <c r="B9030" i="13"/>
  <c r="B8998" i="13"/>
  <c r="B8967" i="13"/>
  <c r="B8938" i="13"/>
  <c r="B8892" i="13"/>
  <c r="B8883" i="13"/>
  <c r="B8874" i="13"/>
  <c r="B8847" i="13"/>
  <c r="B8839" i="13"/>
  <c r="B8831" i="13"/>
  <c r="B8823" i="13"/>
  <c r="B8815" i="13"/>
  <c r="B8807" i="13"/>
  <c r="B8799" i="13"/>
  <c r="B8791" i="13"/>
  <c r="B8783" i="13"/>
  <c r="B8775" i="13"/>
  <c r="B8767" i="13"/>
  <c r="B8759" i="13"/>
  <c r="B8751" i="13"/>
  <c r="B8743" i="13"/>
  <c r="B8735" i="13"/>
  <c r="B8727" i="13"/>
  <c r="B8719" i="13"/>
  <c r="B8711" i="13"/>
  <c r="B8703" i="13"/>
  <c r="B8695" i="13"/>
  <c r="B8687" i="13"/>
  <c r="B8679" i="13"/>
  <c r="B8671" i="13"/>
  <c r="B8663" i="13"/>
  <c r="B8655" i="13"/>
  <c r="B8647" i="13"/>
  <c r="B8639" i="13"/>
  <c r="B8631" i="13"/>
  <c r="B8623" i="13"/>
  <c r="B8615" i="13"/>
  <c r="B8607" i="13"/>
  <c r="B8599" i="13"/>
  <c r="B8579" i="13"/>
  <c r="B8547" i="13"/>
  <c r="B8513" i="13"/>
  <c r="B8499" i="13"/>
  <c r="B9003" i="13"/>
  <c r="B8856" i="13"/>
  <c r="B8523" i="13"/>
  <c r="B8487" i="13"/>
  <c r="B8471" i="13"/>
  <c r="B8463" i="13"/>
  <c r="B8455" i="13"/>
  <c r="B8447" i="13"/>
  <c r="B8439" i="13"/>
  <c r="B8431" i="13"/>
  <c r="B8423" i="13"/>
  <c r="B8415" i="13"/>
  <c r="B8407" i="13"/>
  <c r="B8399" i="13"/>
  <c r="B8391" i="13"/>
  <c r="B8383" i="13"/>
  <c r="B8375" i="13"/>
  <c r="B8367" i="13"/>
  <c r="B8359" i="13"/>
  <c r="B8351" i="13"/>
  <c r="B8343" i="13"/>
  <c r="B8335" i="13"/>
  <c r="B8327" i="13"/>
  <c r="B8319" i="13"/>
  <c r="B8311" i="13"/>
  <c r="B8303" i="13"/>
  <c r="B8295" i="13"/>
  <c r="B8287" i="13"/>
  <c r="B8279" i="13"/>
  <c r="B8271" i="13"/>
  <c r="B8263" i="13"/>
  <c r="B8255" i="13"/>
  <c r="B8247" i="13"/>
  <c r="B8239" i="13"/>
  <c r="B8231" i="13"/>
  <c r="B8223" i="13"/>
  <c r="B8215" i="13"/>
  <c r="B8207" i="13"/>
  <c r="B8199" i="13"/>
  <c r="B8191" i="13"/>
  <c r="B8183" i="13"/>
  <c r="B8175" i="13"/>
  <c r="B8167" i="13"/>
  <c r="B8159" i="13"/>
  <c r="B8151" i="13"/>
  <c r="B8143" i="13"/>
  <c r="B8135" i="13"/>
  <c r="B8127" i="13"/>
  <c r="B8119" i="13"/>
  <c r="B8107" i="13"/>
  <c r="B8102" i="13"/>
  <c r="B8093" i="13"/>
  <c r="B8079" i="13"/>
  <c r="B8070" i="13"/>
  <c r="B8061" i="13"/>
  <c r="B8047" i="13"/>
  <c r="B8038" i="13"/>
  <c r="B8029" i="13"/>
  <c r="B9653" i="13"/>
  <c r="B9123" i="13"/>
  <c r="B8995" i="13"/>
  <c r="B8928" i="13"/>
  <c r="B8855" i="13"/>
  <c r="B8503" i="13"/>
  <c r="B8486" i="13"/>
  <c r="B8470" i="13"/>
  <c r="B8462" i="13"/>
  <c r="B8454" i="13"/>
  <c r="B8446" i="13"/>
  <c r="B8438" i="13"/>
  <c r="B8430" i="13"/>
  <c r="B8422" i="13"/>
  <c r="B8414" i="13"/>
  <c r="B8406" i="13"/>
  <c r="B8398" i="13"/>
  <c r="B8390" i="13"/>
  <c r="B8382" i="13"/>
  <c r="B8374" i="13"/>
  <c r="B8366" i="13"/>
  <c r="B8358" i="13"/>
  <c r="B8350" i="13"/>
  <c r="B8342" i="13"/>
  <c r="B8334" i="13"/>
  <c r="B8326" i="13"/>
  <c r="B8318" i="13"/>
  <c r="B8310" i="13"/>
  <c r="B8302" i="13"/>
  <c r="B8294" i="13"/>
  <c r="B8286" i="13"/>
  <c r="B8278" i="13"/>
  <c r="B8270" i="13"/>
  <c r="B8262" i="13"/>
  <c r="B8254" i="13"/>
  <c r="B8246" i="13"/>
  <c r="B8238" i="13"/>
  <c r="B8230" i="13"/>
  <c r="B8222" i="13"/>
  <c r="B8214" i="13"/>
  <c r="B8206" i="13"/>
  <c r="B8198" i="13"/>
  <c r="B8190" i="13"/>
  <c r="B8182" i="13"/>
  <c r="B8174" i="13"/>
  <c r="B8166" i="13"/>
  <c r="B8158" i="13"/>
  <c r="B8150" i="13"/>
  <c r="B8142" i="13"/>
  <c r="B8134" i="13"/>
  <c r="B8126" i="13"/>
  <c r="B8118" i="13"/>
  <c r="B8106" i="13"/>
  <c r="B8097" i="13"/>
  <c r="B8083" i="13"/>
  <c r="B8074" i="13"/>
  <c r="B8065" i="13"/>
  <c r="B8051" i="13"/>
  <c r="B8042" i="13"/>
  <c r="B8033" i="13"/>
  <c r="B8019" i="13"/>
  <c r="B9528" i="13"/>
  <c r="B9241" i="13"/>
  <c r="B9099" i="13"/>
  <c r="B8971" i="13"/>
  <c r="B8920" i="13"/>
  <c r="B8567" i="13"/>
  <c r="B8518" i="13"/>
  <c r="B8483" i="13"/>
  <c r="B8111" i="13"/>
  <c r="B8101" i="13"/>
  <c r="B8087" i="13"/>
  <c r="B8078" i="13"/>
  <c r="B8069" i="13"/>
  <c r="B8055" i="13"/>
  <c r="B8046" i="13"/>
  <c r="B8037" i="13"/>
  <c r="B8023" i="13"/>
  <c r="B8014" i="13"/>
  <c r="B8005" i="13"/>
  <c r="B7991" i="13"/>
  <c r="B7982" i="13"/>
  <c r="B7973" i="13"/>
  <c r="B9496" i="13"/>
  <c r="B9232" i="13"/>
  <c r="B9091" i="13"/>
  <c r="B8966" i="13"/>
  <c r="B8919" i="13"/>
  <c r="B8591" i="13"/>
  <c r="B8517" i="13"/>
  <c r="B8482" i="13"/>
  <c r="B8469" i="13"/>
  <c r="B8461" i="13"/>
  <c r="B8453" i="13"/>
  <c r="B8445" i="13"/>
  <c r="B8437" i="13"/>
  <c r="B8429" i="13"/>
  <c r="B8421" i="13"/>
  <c r="B8413" i="13"/>
  <c r="B8405" i="13"/>
  <c r="B8397" i="13"/>
  <c r="B8389" i="13"/>
  <c r="B8381" i="13"/>
  <c r="B8373" i="13"/>
  <c r="B8365" i="13"/>
  <c r="B8357" i="13"/>
  <c r="B8349" i="13"/>
  <c r="B8341" i="13"/>
  <c r="B8333" i="13"/>
  <c r="B8325" i="13"/>
  <c r="B8317" i="13"/>
  <c r="B8309" i="13"/>
  <c r="B8301" i="13"/>
  <c r="B8293" i="13"/>
  <c r="B8285" i="13"/>
  <c r="B8277" i="13"/>
  <c r="B8269" i="13"/>
  <c r="B8261" i="13"/>
  <c r="B8253" i="13"/>
  <c r="B8245" i="13"/>
  <c r="B8237" i="13"/>
  <c r="B8229" i="13"/>
  <c r="B8221" i="13"/>
  <c r="B8213" i="13"/>
  <c r="B8205" i="13"/>
  <c r="B8197" i="13"/>
  <c r="B8189" i="13"/>
  <c r="B8181" i="13"/>
  <c r="B8173" i="13"/>
  <c r="B8165" i="13"/>
  <c r="B8157" i="13"/>
  <c r="B8149" i="13"/>
  <c r="B8141" i="13"/>
  <c r="B8133" i="13"/>
  <c r="B8125" i="13"/>
  <c r="B8117" i="13"/>
  <c r="B8110" i="13"/>
  <c r="B8105" i="13"/>
  <c r="B8091" i="13"/>
  <c r="B8082" i="13"/>
  <c r="B8073" i="13"/>
  <c r="B8059" i="13"/>
  <c r="B8050" i="13"/>
  <c r="B8041" i="13"/>
  <c r="B8027" i="13"/>
  <c r="B8018" i="13"/>
  <c r="B8009" i="13"/>
  <c r="B7995" i="13"/>
  <c r="B7986" i="13"/>
  <c r="B7977" i="13"/>
  <c r="B7963" i="13"/>
  <c r="B7959" i="13"/>
  <c r="B7955" i="13"/>
  <c r="B7951" i="13"/>
  <c r="B7947" i="13"/>
  <c r="B7943" i="13"/>
  <c r="B7939" i="13"/>
  <c r="B7935" i="13"/>
  <c r="B7931" i="13"/>
  <c r="B7927" i="13"/>
  <c r="B7923" i="13"/>
  <c r="B7919" i="13"/>
  <c r="B7915" i="13"/>
  <c r="B7911" i="13"/>
  <c r="B7907" i="13"/>
  <c r="B7903" i="13"/>
  <c r="B7899" i="13"/>
  <c r="B7895" i="13"/>
  <c r="B7891" i="13"/>
  <c r="B7887" i="13"/>
  <c r="B7883" i="13"/>
  <c r="B7879" i="13"/>
  <c r="B7875" i="13"/>
  <c r="B7871" i="13"/>
  <c r="B7867" i="13"/>
  <c r="B7863" i="13"/>
  <c r="B7859" i="13"/>
  <c r="B7855" i="13"/>
  <c r="B7851" i="13"/>
  <c r="B7847" i="13"/>
  <c r="B7843" i="13"/>
  <c r="B7839" i="13"/>
  <c r="B7835" i="13"/>
  <c r="B7831" i="13"/>
  <c r="B7827" i="13"/>
  <c r="B7823" i="13"/>
  <c r="B7819" i="13"/>
  <c r="B7815" i="13"/>
  <c r="B7811" i="13"/>
  <c r="B7807" i="13"/>
  <c r="B7803" i="13"/>
  <c r="B7799" i="13"/>
  <c r="B7795" i="13"/>
  <c r="B7791" i="13"/>
  <c r="B7787" i="13"/>
  <c r="B7783" i="13"/>
  <c r="B7779" i="13"/>
  <c r="B7775" i="13"/>
  <c r="B7771" i="13"/>
  <c r="B7767" i="13"/>
  <c r="B7763" i="13"/>
  <c r="B7759" i="13"/>
  <c r="B7755" i="13"/>
  <c r="B7751" i="13"/>
  <c r="B7747" i="13"/>
  <c r="B7743" i="13"/>
  <c r="B7739" i="13"/>
  <c r="B7735" i="13"/>
  <c r="B7731" i="13"/>
  <c r="B7727" i="13"/>
  <c r="B7723" i="13"/>
  <c r="B7719" i="13"/>
  <c r="B7715" i="13"/>
  <c r="B7711" i="13"/>
  <c r="B7707" i="13"/>
  <c r="B7703" i="13"/>
  <c r="B7699" i="13"/>
  <c r="B7695" i="13"/>
  <c r="B7691" i="13"/>
  <c r="B7687" i="13"/>
  <c r="B7683" i="13"/>
  <c r="B7679" i="13"/>
  <c r="B7675" i="13"/>
  <c r="B7671" i="13"/>
  <c r="B7667" i="13"/>
  <c r="B7663" i="13"/>
  <c r="B7659" i="13"/>
  <c r="B7655" i="13"/>
  <c r="B7651" i="13"/>
  <c r="B7647" i="13"/>
  <c r="B7643" i="13"/>
  <c r="B7639" i="13"/>
  <c r="B7635" i="13"/>
  <c r="B7631" i="13"/>
  <c r="B7627" i="13"/>
  <c r="B7623" i="13"/>
  <c r="B7619" i="13"/>
  <c r="B7615" i="13"/>
  <c r="B7611" i="13"/>
  <c r="B7607" i="13"/>
  <c r="B7603" i="13"/>
  <c r="B7599" i="13"/>
  <c r="B7595" i="13"/>
  <c r="B7591" i="13"/>
  <c r="B7587" i="13"/>
  <c r="B7583" i="13"/>
  <c r="B7579" i="13"/>
  <c r="B9406" i="13"/>
  <c r="B9067" i="13"/>
  <c r="B8952" i="13"/>
  <c r="B8911" i="13"/>
  <c r="B8535" i="13"/>
  <c r="B8495" i="13"/>
  <c r="B8479" i="13"/>
  <c r="B8467" i="13"/>
  <c r="B8459" i="13"/>
  <c r="B8451" i="13"/>
  <c r="B8443" i="13"/>
  <c r="B8435" i="13"/>
  <c r="B8427" i="13"/>
  <c r="B8419" i="13"/>
  <c r="B8411" i="13"/>
  <c r="B8403" i="13"/>
  <c r="B8395" i="13"/>
  <c r="B8387" i="13"/>
  <c r="B8379" i="13"/>
  <c r="B8371" i="13"/>
  <c r="B8363" i="13"/>
  <c r="B8355" i="13"/>
  <c r="B8347" i="13"/>
  <c r="B8339" i="13"/>
  <c r="B8331" i="13"/>
  <c r="B8323" i="13"/>
  <c r="B8315" i="13"/>
  <c r="B8307" i="13"/>
  <c r="B8299" i="13"/>
  <c r="B8291" i="13"/>
  <c r="B8283" i="13"/>
  <c r="B8275" i="13"/>
  <c r="B8267" i="13"/>
  <c r="B8259" i="13"/>
  <c r="B8251" i="13"/>
  <c r="B8243" i="13"/>
  <c r="B8235" i="13"/>
  <c r="B8227" i="13"/>
  <c r="B8219" i="13"/>
  <c r="B8211" i="13"/>
  <c r="B8203" i="13"/>
  <c r="B8195" i="13"/>
  <c r="B8187" i="13"/>
  <c r="B8179" i="13"/>
  <c r="B8171" i="13"/>
  <c r="B8163" i="13"/>
  <c r="B8155" i="13"/>
  <c r="B8147" i="13"/>
  <c r="B8139" i="13"/>
  <c r="B8131" i="13"/>
  <c r="B8123" i="13"/>
  <c r="B8115" i="13"/>
  <c r="B8095" i="13"/>
  <c r="B8086" i="13"/>
  <c r="B8077" i="13"/>
  <c r="B8063" i="13"/>
  <c r="B8054" i="13"/>
  <c r="B8045" i="13"/>
  <c r="B8031" i="13"/>
  <c r="B8022" i="13"/>
  <c r="B8013" i="13"/>
  <c r="B7999" i="13"/>
  <c r="B7990" i="13"/>
  <c r="B7981" i="13"/>
  <c r="B7967" i="13"/>
  <c r="B9314" i="13"/>
  <c r="B9168" i="13"/>
  <c r="B9035" i="13"/>
  <c r="B8902" i="13"/>
  <c r="B8509" i="13"/>
  <c r="B8491" i="13"/>
  <c r="B8475" i="13"/>
  <c r="B8103" i="13"/>
  <c r="B8094" i="13"/>
  <c r="B8085" i="13"/>
  <c r="B8071" i="13"/>
  <c r="B8062" i="13"/>
  <c r="B8053" i="13"/>
  <c r="B8039" i="13"/>
  <c r="B8030" i="13"/>
  <c r="B8021" i="13"/>
  <c r="B8007" i="13"/>
  <c r="B7998" i="13"/>
  <c r="B7989" i="13"/>
  <c r="B7975" i="13"/>
  <c r="B7966" i="13"/>
  <c r="B9381" i="13"/>
  <c r="B8910" i="13"/>
  <c r="B8466" i="13"/>
  <c r="B8434" i="13"/>
  <c r="B8402" i="13"/>
  <c r="B8370" i="13"/>
  <c r="B8338" i="13"/>
  <c r="B8306" i="13"/>
  <c r="B8274" i="13"/>
  <c r="B8242" i="13"/>
  <c r="B8210" i="13"/>
  <c r="B8178" i="13"/>
  <c r="B8146" i="13"/>
  <c r="B8114" i="13"/>
  <c r="B8058" i="13"/>
  <c r="B8011" i="13"/>
  <c r="B8002" i="13"/>
  <c r="B7993" i="13"/>
  <c r="B7957" i="13"/>
  <c r="B7949" i="13"/>
  <c r="B7941" i="13"/>
  <c r="B7933" i="13"/>
  <c r="B7925" i="13"/>
  <c r="B7917" i="13"/>
  <c r="B7909" i="13"/>
  <c r="B7901" i="13"/>
  <c r="B7893" i="13"/>
  <c r="B7885" i="13"/>
  <c r="B7877" i="13"/>
  <c r="B7869" i="13"/>
  <c r="B7861" i="13"/>
  <c r="B7853" i="13"/>
  <c r="B7845" i="13"/>
  <c r="B7837" i="13"/>
  <c r="B7829" i="13"/>
  <c r="B7821" i="13"/>
  <c r="B7813" i="13"/>
  <c r="B7805" i="13"/>
  <c r="B7797" i="13"/>
  <c r="B7789" i="13"/>
  <c r="B7781" i="13"/>
  <c r="B7773" i="13"/>
  <c r="B7765" i="13"/>
  <c r="B7757" i="13"/>
  <c r="B7749" i="13"/>
  <c r="B7741" i="13"/>
  <c r="B7733" i="13"/>
  <c r="B7725" i="13"/>
  <c r="B7717" i="13"/>
  <c r="B7709" i="13"/>
  <c r="B7702" i="13"/>
  <c r="B7686" i="13"/>
  <c r="B7670" i="13"/>
  <c r="B7654" i="13"/>
  <c r="B7645" i="13"/>
  <c r="B7636" i="13"/>
  <c r="B7622" i="13"/>
  <c r="B7613" i="13"/>
  <c r="B7604" i="13"/>
  <c r="B7590" i="13"/>
  <c r="B7581" i="13"/>
  <c r="B9305" i="13"/>
  <c r="B8527" i="13"/>
  <c r="B8465" i="13"/>
  <c r="B8433" i="13"/>
  <c r="B8401" i="13"/>
  <c r="B8369" i="13"/>
  <c r="B8337" i="13"/>
  <c r="B8305" i="13"/>
  <c r="B8273" i="13"/>
  <c r="B8241" i="13"/>
  <c r="B8209" i="13"/>
  <c r="B8177" i="13"/>
  <c r="B8145" i="13"/>
  <c r="B8113" i="13"/>
  <c r="B8075" i="13"/>
  <c r="B8057" i="13"/>
  <c r="B7983" i="13"/>
  <c r="B7974" i="13"/>
  <c r="B7965" i="13"/>
  <c r="B7701" i="13"/>
  <c r="B7696" i="13"/>
  <c r="B7685" i="13"/>
  <c r="B7680" i="13"/>
  <c r="B7669" i="13"/>
  <c r="B7664" i="13"/>
  <c r="B7649" i="13"/>
  <c r="B7640" i="13"/>
  <c r="B7626" i="13"/>
  <c r="B7617" i="13"/>
  <c r="B7608" i="13"/>
  <c r="B7594" i="13"/>
  <c r="B7585" i="13"/>
  <c r="B7576" i="13"/>
  <c r="B7572" i="13"/>
  <c r="B7568" i="13"/>
  <c r="B7564" i="13"/>
  <c r="B7560" i="13"/>
  <c r="B7556" i="13"/>
  <c r="B7552" i="13"/>
  <c r="B7548" i="13"/>
  <c r="B7544" i="13"/>
  <c r="B7540" i="13"/>
  <c r="B7536" i="13"/>
  <c r="B7532" i="13"/>
  <c r="B7528" i="13"/>
  <c r="B7524" i="13"/>
  <c r="B7520" i="13"/>
  <c r="B7516" i="13"/>
  <c r="B7512" i="13"/>
  <c r="B7508" i="13"/>
  <c r="B7504" i="13"/>
  <c r="B7500" i="13"/>
  <c r="B7496" i="13"/>
  <c r="B7492" i="13"/>
  <c r="B7488" i="13"/>
  <c r="B7484" i="13"/>
  <c r="B7480" i="13"/>
  <c r="B7476" i="13"/>
  <c r="B7472" i="13"/>
  <c r="B7468" i="13"/>
  <c r="B7464" i="13"/>
  <c r="B7460" i="13"/>
  <c r="B7456" i="13"/>
  <c r="B7452" i="13"/>
  <c r="B7448" i="13"/>
  <c r="B7444" i="13"/>
  <c r="B7440" i="13"/>
  <c r="B7436" i="13"/>
  <c r="B7432" i="13"/>
  <c r="B7428" i="13"/>
  <c r="B7424" i="13"/>
  <c r="B7420" i="13"/>
  <c r="B7416" i="13"/>
  <c r="B7412" i="13"/>
  <c r="B7408" i="13"/>
  <c r="B7404" i="13"/>
  <c r="B7400" i="13"/>
  <c r="B7396" i="13"/>
  <c r="B7392" i="13"/>
  <c r="B7388" i="13"/>
  <c r="B7384" i="13"/>
  <c r="B7380" i="13"/>
  <c r="B7376" i="13"/>
  <c r="B7372" i="13"/>
  <c r="B7368" i="13"/>
  <c r="B7364" i="13"/>
  <c r="B7360" i="13"/>
  <c r="B7356" i="13"/>
  <c r="B7352" i="13"/>
  <c r="B7348" i="13"/>
  <c r="B7344" i="13"/>
  <c r="B7340" i="13"/>
  <c r="B7336" i="13"/>
  <c r="B7332" i="13"/>
  <c r="B7328" i="13"/>
  <c r="B7324" i="13"/>
  <c r="B7320" i="13"/>
  <c r="B7316" i="13"/>
  <c r="B7312" i="13"/>
  <c r="B7308" i="13"/>
  <c r="B7304" i="13"/>
  <c r="B7300" i="13"/>
  <c r="B7296" i="13"/>
  <c r="B7292" i="13"/>
  <c r="B7288" i="13"/>
  <c r="B8458" i="13"/>
  <c r="B8426" i="13"/>
  <c r="B8394" i="13"/>
  <c r="B8362" i="13"/>
  <c r="B8330" i="13"/>
  <c r="B8298" i="13"/>
  <c r="B8266" i="13"/>
  <c r="B8234" i="13"/>
  <c r="B8202" i="13"/>
  <c r="B8170" i="13"/>
  <c r="B8138" i="13"/>
  <c r="B8109" i="13"/>
  <c r="B8090" i="13"/>
  <c r="B8035" i="13"/>
  <c r="B8010" i="13"/>
  <c r="B8001" i="13"/>
  <c r="B7956" i="13"/>
  <c r="B7948" i="13"/>
  <c r="B7940" i="13"/>
  <c r="B7932" i="13"/>
  <c r="B7924" i="13"/>
  <c r="B7916" i="13"/>
  <c r="B7908" i="13"/>
  <c r="B7900" i="13"/>
  <c r="B7892" i="13"/>
  <c r="B7884" i="13"/>
  <c r="B7876" i="13"/>
  <c r="B7868" i="13"/>
  <c r="B7860" i="13"/>
  <c r="B7852" i="13"/>
  <c r="B7844" i="13"/>
  <c r="B7836" i="13"/>
  <c r="B7828" i="13"/>
  <c r="B7820" i="13"/>
  <c r="B7812" i="13"/>
  <c r="B7804" i="13"/>
  <c r="B7796" i="13"/>
  <c r="B7788" i="13"/>
  <c r="B7780" i="13"/>
  <c r="B7772" i="13"/>
  <c r="B7764" i="13"/>
  <c r="B7756" i="13"/>
  <c r="B7748" i="13"/>
  <c r="B7740" i="13"/>
  <c r="B7732" i="13"/>
  <c r="B7724" i="13"/>
  <c r="B7716" i="13"/>
  <c r="B7708" i="13"/>
  <c r="B7690" i="13"/>
  <c r="B7674" i="13"/>
  <c r="B7658" i="13"/>
  <c r="B7653" i="13"/>
  <c r="B7644" i="13"/>
  <c r="B7630" i="13"/>
  <c r="B7621" i="13"/>
  <c r="B7612" i="13"/>
  <c r="B7598" i="13"/>
  <c r="B7589" i="13"/>
  <c r="B7580" i="13"/>
  <c r="B8864" i="13"/>
  <c r="B8457" i="13"/>
  <c r="B8425" i="13"/>
  <c r="B8393" i="13"/>
  <c r="B8361" i="13"/>
  <c r="B8329" i="13"/>
  <c r="B8297" i="13"/>
  <c r="B8265" i="13"/>
  <c r="B8233" i="13"/>
  <c r="B8201" i="13"/>
  <c r="B8169" i="13"/>
  <c r="B8137" i="13"/>
  <c r="B8089" i="13"/>
  <c r="B8034" i="13"/>
  <c r="B8017" i="13"/>
  <c r="B7971" i="13"/>
  <c r="B7962" i="13"/>
  <c r="B7954" i="13"/>
  <c r="B7946" i="13"/>
  <c r="B7938" i="13"/>
  <c r="B7930" i="13"/>
  <c r="B7922" i="13"/>
  <c r="B7914" i="13"/>
  <c r="B7906" i="13"/>
  <c r="B7898" i="13"/>
  <c r="B7890" i="13"/>
  <c r="B7882" i="13"/>
  <c r="B7874" i="13"/>
  <c r="B7866" i="13"/>
  <c r="B7858" i="13"/>
  <c r="B7850" i="13"/>
  <c r="B7842" i="13"/>
  <c r="B7834" i="13"/>
  <c r="B7826" i="13"/>
  <c r="B7818" i="13"/>
  <c r="B7810" i="13"/>
  <c r="B7802" i="13"/>
  <c r="B7794" i="13"/>
  <c r="B7786" i="13"/>
  <c r="B7778" i="13"/>
  <c r="B7770" i="13"/>
  <c r="B7762" i="13"/>
  <c r="B7754" i="13"/>
  <c r="B7746" i="13"/>
  <c r="B7738" i="13"/>
  <c r="B7730" i="13"/>
  <c r="B7722" i="13"/>
  <c r="B7714" i="13"/>
  <c r="B7706" i="13"/>
  <c r="B7700" i="13"/>
  <c r="B7689" i="13"/>
  <c r="B7684" i="13"/>
  <c r="B7673" i="13"/>
  <c r="B7668" i="13"/>
  <c r="B7657" i="13"/>
  <c r="B7648" i="13"/>
  <c r="B7634" i="13"/>
  <c r="B7625" i="13"/>
  <c r="B7616" i="13"/>
  <c r="B7602" i="13"/>
  <c r="B7593" i="13"/>
  <c r="B7584" i="13"/>
  <c r="B7575" i="13"/>
  <c r="B7571" i="13"/>
  <c r="B7567" i="13"/>
  <c r="B7563" i="13"/>
  <c r="B7559" i="13"/>
  <c r="B7555" i="13"/>
  <c r="B7551" i="13"/>
  <c r="B7547" i="13"/>
  <c r="B7543" i="13"/>
  <c r="B7539" i="13"/>
  <c r="B7535" i="13"/>
  <c r="B7531" i="13"/>
  <c r="B7527" i="13"/>
  <c r="B7523" i="13"/>
  <c r="B7519" i="13"/>
  <c r="B7515" i="13"/>
  <c r="B7511" i="13"/>
  <c r="B7507" i="13"/>
  <c r="B7503" i="13"/>
  <c r="B7499" i="13"/>
  <c r="B7495" i="13"/>
  <c r="B7491" i="13"/>
  <c r="B7487" i="13"/>
  <c r="B7483" i="13"/>
  <c r="B7479" i="13"/>
  <c r="B7475" i="13"/>
  <c r="B7471" i="13"/>
  <c r="B7467" i="13"/>
  <c r="B7463" i="13"/>
  <c r="B7459" i="13"/>
  <c r="B7455" i="13"/>
  <c r="B7451" i="13"/>
  <c r="B7447" i="13"/>
  <c r="B7443" i="13"/>
  <c r="B7439" i="13"/>
  <c r="B7435" i="13"/>
  <c r="B7431" i="13"/>
  <c r="B7427" i="13"/>
  <c r="B7423" i="13"/>
  <c r="B7419" i="13"/>
  <c r="B7415" i="13"/>
  <c r="B7411" i="13"/>
  <c r="B7407" i="13"/>
  <c r="B7403" i="13"/>
  <c r="B7399" i="13"/>
  <c r="B7395" i="13"/>
  <c r="B7391" i="13"/>
  <c r="B7387" i="13"/>
  <c r="B7383" i="13"/>
  <c r="B7379" i="13"/>
  <c r="B7375" i="13"/>
  <c r="B7371" i="13"/>
  <c r="B7367" i="13"/>
  <c r="B7363" i="13"/>
  <c r="B7359" i="13"/>
  <c r="B7355" i="13"/>
  <c r="B7351" i="13"/>
  <c r="B7347" i="13"/>
  <c r="B7343" i="13"/>
  <c r="B7339" i="13"/>
  <c r="B7335" i="13"/>
  <c r="B7331" i="13"/>
  <c r="B7327" i="13"/>
  <c r="B7323" i="13"/>
  <c r="B7319" i="13"/>
  <c r="B7315" i="13"/>
  <c r="B7311" i="13"/>
  <c r="B7307" i="13"/>
  <c r="B7303" i="13"/>
  <c r="B7299" i="13"/>
  <c r="B7295" i="13"/>
  <c r="B7291" i="13"/>
  <c r="B7287" i="13"/>
  <c r="B7283" i="13"/>
  <c r="B7279" i="13"/>
  <c r="B7275" i="13"/>
  <c r="B7271" i="13"/>
  <c r="B7267" i="13"/>
  <c r="B8559" i="13"/>
  <c r="B8478" i="13"/>
  <c r="B8442" i="13"/>
  <c r="B8410" i="13"/>
  <c r="B8378" i="13"/>
  <c r="B8346" i="13"/>
  <c r="B8314" i="13"/>
  <c r="B8282" i="13"/>
  <c r="B8250" i="13"/>
  <c r="B8218" i="13"/>
  <c r="B8186" i="13"/>
  <c r="B8154" i="13"/>
  <c r="B8122" i="13"/>
  <c r="B8099" i="13"/>
  <c r="B8081" i="13"/>
  <c r="B8026" i="13"/>
  <c r="B7987" i="13"/>
  <c r="B7978" i="13"/>
  <c r="B7969" i="13"/>
  <c r="B7960" i="13"/>
  <c r="B7952" i="13"/>
  <c r="B7944" i="13"/>
  <c r="B7936" i="13"/>
  <c r="B7928" i="13"/>
  <c r="B7920" i="13"/>
  <c r="B7912" i="13"/>
  <c r="B7904" i="13"/>
  <c r="B7896" i="13"/>
  <c r="B7888" i="13"/>
  <c r="B7880" i="13"/>
  <c r="B7872" i="13"/>
  <c r="B7864" i="13"/>
  <c r="B7856" i="13"/>
  <c r="B7848" i="13"/>
  <c r="B7840" i="13"/>
  <c r="B7832" i="13"/>
  <c r="B7824" i="13"/>
  <c r="B7816" i="13"/>
  <c r="B7808" i="13"/>
  <c r="B7800" i="13"/>
  <c r="B7792" i="13"/>
  <c r="B7784" i="13"/>
  <c r="B7776" i="13"/>
  <c r="B7768" i="13"/>
  <c r="B7760" i="13"/>
  <c r="B7752" i="13"/>
  <c r="B7744" i="13"/>
  <c r="B7736" i="13"/>
  <c r="B7728" i="13"/>
  <c r="B7720" i="13"/>
  <c r="B7712" i="13"/>
  <c r="B7704" i="13"/>
  <c r="B7698" i="13"/>
  <c r="B7682" i="13"/>
  <c r="B7666" i="13"/>
  <c r="B7646" i="13"/>
  <c r="B7637" i="13"/>
  <c r="B7628" i="13"/>
  <c r="B7614" i="13"/>
  <c r="B7605" i="13"/>
  <c r="B7596" i="13"/>
  <c r="B7582" i="13"/>
  <c r="B8474" i="13"/>
  <c r="B8441" i="13"/>
  <c r="B8409" i="13"/>
  <c r="B8377" i="13"/>
  <c r="B8345" i="13"/>
  <c r="B8313" i="13"/>
  <c r="B8281" i="13"/>
  <c r="B8249" i="13"/>
  <c r="B8217" i="13"/>
  <c r="B8185" i="13"/>
  <c r="B8153" i="13"/>
  <c r="B8121" i="13"/>
  <c r="B8098" i="13"/>
  <c r="B8043" i="13"/>
  <c r="B8025" i="13"/>
  <c r="B8003" i="13"/>
  <c r="B7994" i="13"/>
  <c r="B7985" i="13"/>
  <c r="B7958" i="13"/>
  <c r="B7950" i="13"/>
  <c r="B7942" i="13"/>
  <c r="B7934" i="13"/>
  <c r="B7926" i="13"/>
  <c r="B7918" i="13"/>
  <c r="B7910" i="13"/>
  <c r="B7902" i="13"/>
  <c r="B7894" i="13"/>
  <c r="B7886" i="13"/>
  <c r="B7878" i="13"/>
  <c r="B7870" i="13"/>
  <c r="B7862" i="13"/>
  <c r="B7854" i="13"/>
  <c r="B7846" i="13"/>
  <c r="B7838" i="13"/>
  <c r="B7830" i="13"/>
  <c r="B7822" i="13"/>
  <c r="B7814" i="13"/>
  <c r="B7806" i="13"/>
  <c r="B7798" i="13"/>
  <c r="B7790" i="13"/>
  <c r="B7782" i="13"/>
  <c r="B7774" i="13"/>
  <c r="B7766" i="13"/>
  <c r="B7758" i="13"/>
  <c r="B7750" i="13"/>
  <c r="B7742" i="13"/>
  <c r="B7734" i="13"/>
  <c r="B7726" i="13"/>
  <c r="B7718" i="13"/>
  <c r="B7710" i="13"/>
  <c r="B7697" i="13"/>
  <c r="B7692" i="13"/>
  <c r="B7681" i="13"/>
  <c r="B7676" i="13"/>
  <c r="B7665" i="13"/>
  <c r="B7660" i="13"/>
  <c r="B7650" i="13"/>
  <c r="B7641" i="13"/>
  <c r="B7632" i="13"/>
  <c r="B7618" i="13"/>
  <c r="B7609" i="13"/>
  <c r="B7600" i="13"/>
  <c r="B7586" i="13"/>
  <c r="B9059" i="13"/>
  <c r="B8494" i="13"/>
  <c r="B8354" i="13"/>
  <c r="B8226" i="13"/>
  <c r="B7953" i="13"/>
  <c r="B7921" i="13"/>
  <c r="B7889" i="13"/>
  <c r="B7857" i="13"/>
  <c r="B7825" i="13"/>
  <c r="B7793" i="13"/>
  <c r="B7761" i="13"/>
  <c r="B7729" i="13"/>
  <c r="B7678" i="13"/>
  <c r="B7638" i="13"/>
  <c r="B7620" i="13"/>
  <c r="B7561" i="13"/>
  <c r="B7550" i="13"/>
  <c r="B7529" i="13"/>
  <c r="B7518" i="13"/>
  <c r="B7497" i="13"/>
  <c r="B7486" i="13"/>
  <c r="B7465" i="13"/>
  <c r="B7454" i="13"/>
  <c r="B7433" i="13"/>
  <c r="B7422" i="13"/>
  <c r="B7413" i="13"/>
  <c r="B7405" i="13"/>
  <c r="B7398" i="13"/>
  <c r="B7373" i="13"/>
  <c r="B7366" i="13"/>
  <c r="B7280" i="13"/>
  <c r="B7266" i="13"/>
  <c r="B7262" i="13"/>
  <c r="B7258" i="13"/>
  <c r="B7254" i="13"/>
  <c r="B7250" i="13"/>
  <c r="B7246" i="13"/>
  <c r="B7242" i="13"/>
  <c r="B7238" i="13"/>
  <c r="B7234" i="13"/>
  <c r="B7230" i="13"/>
  <c r="B7226" i="13"/>
  <c r="B7222" i="13"/>
  <c r="B7218" i="13"/>
  <c r="B7214" i="13"/>
  <c r="B7210" i="13"/>
  <c r="B7206" i="13"/>
  <c r="B7202" i="13"/>
  <c r="B7198" i="13"/>
  <c r="B7194" i="13"/>
  <c r="B7190" i="13"/>
  <c r="B7186" i="13"/>
  <c r="B7182" i="13"/>
  <c r="B7178" i="13"/>
  <c r="B7174" i="13"/>
  <c r="B7170" i="13"/>
  <c r="B7166" i="13"/>
  <c r="B7162" i="13"/>
  <c r="B7158" i="13"/>
  <c r="B7154" i="13"/>
  <c r="B7150" i="13"/>
  <c r="B7146" i="13"/>
  <c r="B7142" i="13"/>
  <c r="B7138" i="13"/>
  <c r="B7134" i="13"/>
  <c r="B7130" i="13"/>
  <c r="B7126" i="13"/>
  <c r="B7122" i="13"/>
  <c r="B7118" i="13"/>
  <c r="B7114" i="13"/>
  <c r="B7110" i="13"/>
  <c r="B7106" i="13"/>
  <c r="B7102" i="13"/>
  <c r="B7098" i="13"/>
  <c r="B7094" i="13"/>
  <c r="B7090" i="13"/>
  <c r="B7086" i="13"/>
  <c r="B7082" i="13"/>
  <c r="B7078" i="13"/>
  <c r="B7074" i="13"/>
  <c r="B7070" i="13"/>
  <c r="B7066" i="13"/>
  <c r="B7062" i="13"/>
  <c r="B7058" i="13"/>
  <c r="B7054" i="13"/>
  <c r="B7050" i="13"/>
  <c r="B7046" i="13"/>
  <c r="B7042" i="13"/>
  <c r="B7038" i="13"/>
  <c r="B7034" i="13"/>
  <c r="B7030" i="13"/>
  <c r="B7026" i="13"/>
  <c r="B7022" i="13"/>
  <c r="B7018" i="13"/>
  <c r="B7014" i="13"/>
  <c r="B7010" i="13"/>
  <c r="B7006" i="13"/>
  <c r="B7002" i="13"/>
  <c r="B6998" i="13"/>
  <c r="B6994" i="13"/>
  <c r="B6990" i="13"/>
  <c r="B6986" i="13"/>
  <c r="B6982" i="13"/>
  <c r="B6978" i="13"/>
  <c r="B6974" i="13"/>
  <c r="B6970" i="13"/>
  <c r="B6966" i="13"/>
  <c r="B6962" i="13"/>
  <c r="B6958" i="13"/>
  <c r="B6954" i="13"/>
  <c r="B6950" i="13"/>
  <c r="B6946" i="13"/>
  <c r="B6942" i="13"/>
  <c r="B6938" i="13"/>
  <c r="B6934" i="13"/>
  <c r="B6930" i="13"/>
  <c r="B6926" i="13"/>
  <c r="B6922" i="13"/>
  <c r="B6918" i="13"/>
  <c r="B6914" i="13"/>
  <c r="B6910" i="13"/>
  <c r="B6906" i="13"/>
  <c r="B6902" i="13"/>
  <c r="B6898" i="13"/>
  <c r="B6894" i="13"/>
  <c r="B6890" i="13"/>
  <c r="B6886" i="13"/>
  <c r="B6882" i="13"/>
  <c r="B6878" i="13"/>
  <c r="B6874" i="13"/>
  <c r="B6870" i="13"/>
  <c r="B6866" i="13"/>
  <c r="B6862" i="13"/>
  <c r="B6858" i="13"/>
  <c r="B6854" i="13"/>
  <c r="B6850" i="13"/>
  <c r="B6846" i="13"/>
  <c r="B6842" i="13"/>
  <c r="B9027" i="13"/>
  <c r="B8490" i="13"/>
  <c r="B8353" i="13"/>
  <c r="B8225" i="13"/>
  <c r="B7677" i="13"/>
  <c r="B7656" i="13"/>
  <c r="B7601" i="13"/>
  <c r="B7570" i="13"/>
  <c r="B7549" i="13"/>
  <c r="B7538" i="13"/>
  <c r="B7517" i="13"/>
  <c r="B7506" i="13"/>
  <c r="B7485" i="13"/>
  <c r="B7474" i="13"/>
  <c r="B7453" i="13"/>
  <c r="B7442" i="13"/>
  <c r="B7421" i="13"/>
  <c r="B7385" i="13"/>
  <c r="B7378" i="13"/>
  <c r="B7353" i="13"/>
  <c r="B7342" i="13"/>
  <c r="B7337" i="13"/>
  <c r="B7326" i="13"/>
  <c r="B7321" i="13"/>
  <c r="B7310" i="13"/>
  <c r="B7305" i="13"/>
  <c r="B7294" i="13"/>
  <c r="B7289" i="13"/>
  <c r="B7284" i="13"/>
  <c r="B7270" i="13"/>
  <c r="B8450" i="13"/>
  <c r="B8322" i="13"/>
  <c r="B8194" i="13"/>
  <c r="B7979" i="13"/>
  <c r="B7945" i="13"/>
  <c r="B7913" i="13"/>
  <c r="B7881" i="13"/>
  <c r="B7849" i="13"/>
  <c r="B7817" i="13"/>
  <c r="B7785" i="13"/>
  <c r="B7753" i="13"/>
  <c r="B7721" i="13"/>
  <c r="B7694" i="13"/>
  <c r="B7652" i="13"/>
  <c r="B7597" i="13"/>
  <c r="B7569" i="13"/>
  <c r="B7558" i="13"/>
  <c r="B7537" i="13"/>
  <c r="B7526" i="13"/>
  <c r="B7505" i="13"/>
  <c r="B7494" i="13"/>
  <c r="B7473" i="13"/>
  <c r="B7462" i="13"/>
  <c r="B7441" i="13"/>
  <c r="B7430" i="13"/>
  <c r="B7410" i="13"/>
  <c r="B7397" i="13"/>
  <c r="B7390" i="13"/>
  <c r="B7365" i="13"/>
  <c r="B7358" i="13"/>
  <c r="B7274" i="13"/>
  <c r="B7265" i="13"/>
  <c r="B7261" i="13"/>
  <c r="B7257" i="13"/>
  <c r="B7253" i="13"/>
  <c r="B7249" i="13"/>
  <c r="B7245" i="13"/>
  <c r="B7241" i="13"/>
  <c r="B7237" i="13"/>
  <c r="B7233" i="13"/>
  <c r="B7229" i="13"/>
  <c r="B7225" i="13"/>
  <c r="B7221" i="13"/>
  <c r="B7217" i="13"/>
  <c r="B7213" i="13"/>
  <c r="B7209" i="13"/>
  <c r="B7205" i="13"/>
  <c r="B7201" i="13"/>
  <c r="B7197" i="13"/>
  <c r="B7193" i="13"/>
  <c r="B7189" i="13"/>
  <c r="B7185" i="13"/>
  <c r="B7181" i="13"/>
  <c r="B7177" i="13"/>
  <c r="B7173" i="13"/>
  <c r="B7169" i="13"/>
  <c r="B7165" i="13"/>
  <c r="B7161" i="13"/>
  <c r="B7157" i="13"/>
  <c r="B7153" i="13"/>
  <c r="B7149" i="13"/>
  <c r="B7145" i="13"/>
  <c r="B7141" i="13"/>
  <c r="B7137" i="13"/>
  <c r="B7133" i="13"/>
  <c r="B7129" i="13"/>
  <c r="B7125" i="13"/>
  <c r="B7121" i="13"/>
  <c r="B7117" i="13"/>
  <c r="B7113" i="13"/>
  <c r="B7109" i="13"/>
  <c r="B7105" i="13"/>
  <c r="B7101" i="13"/>
  <c r="B7097" i="13"/>
  <c r="B7093" i="13"/>
  <c r="B7089" i="13"/>
  <c r="B7085" i="13"/>
  <c r="B7081" i="13"/>
  <c r="B7077" i="13"/>
  <c r="B7073" i="13"/>
  <c r="B7069" i="13"/>
  <c r="B7065" i="13"/>
  <c r="B7061" i="13"/>
  <c r="B7057" i="13"/>
  <c r="B7053" i="13"/>
  <c r="B7049" i="13"/>
  <c r="B7045" i="13"/>
  <c r="B7041" i="13"/>
  <c r="B7037" i="13"/>
  <c r="B7033" i="13"/>
  <c r="B7029" i="13"/>
  <c r="B7025" i="13"/>
  <c r="B7021" i="13"/>
  <c r="B7017" i="13"/>
  <c r="B7013" i="13"/>
  <c r="B7009" i="13"/>
  <c r="B8449" i="13"/>
  <c r="B8321" i="13"/>
  <c r="B8193" i="13"/>
  <c r="B8015" i="13"/>
  <c r="B7693" i="13"/>
  <c r="B7672" i="13"/>
  <c r="B7633" i="13"/>
  <c r="B7578" i="13"/>
  <c r="B7557" i="13"/>
  <c r="B7546" i="13"/>
  <c r="B7525" i="13"/>
  <c r="B7514" i="13"/>
  <c r="B7493" i="13"/>
  <c r="B7482" i="13"/>
  <c r="B7461" i="13"/>
  <c r="B7450" i="13"/>
  <c r="B7429" i="13"/>
  <c r="B7418" i="13"/>
  <c r="B7402" i="13"/>
  <c r="B7377" i="13"/>
  <c r="B7370" i="13"/>
  <c r="B7346" i="13"/>
  <c r="B7341" i="13"/>
  <c r="B7330" i="13"/>
  <c r="B7325" i="13"/>
  <c r="B7314" i="13"/>
  <c r="B7309" i="13"/>
  <c r="B7298" i="13"/>
  <c r="B7293" i="13"/>
  <c r="B7278" i="13"/>
  <c r="B7269" i="13"/>
  <c r="B8386" i="13"/>
  <c r="B8258" i="13"/>
  <c r="B8130" i="13"/>
  <c r="B8049" i="13"/>
  <c r="B7961" i="13"/>
  <c r="B7929" i="13"/>
  <c r="B7897" i="13"/>
  <c r="B7865" i="13"/>
  <c r="B7833" i="13"/>
  <c r="B7801" i="13"/>
  <c r="B7769" i="13"/>
  <c r="B7737" i="13"/>
  <c r="B7705" i="13"/>
  <c r="B7662" i="13"/>
  <c r="B7606" i="13"/>
  <c r="B7588" i="13"/>
  <c r="B7574" i="13"/>
  <c r="B7553" i="13"/>
  <c r="B7542" i="13"/>
  <c r="B7521" i="13"/>
  <c r="B7510" i="13"/>
  <c r="B7489" i="13"/>
  <c r="B7478" i="13"/>
  <c r="B7457" i="13"/>
  <c r="B7446" i="13"/>
  <c r="B7425" i="13"/>
  <c r="B7414" i="13"/>
  <c r="B7406" i="13"/>
  <c r="B7381" i="13"/>
  <c r="B7374" i="13"/>
  <c r="B7281" i="13"/>
  <c r="B7272" i="13"/>
  <c r="B7263" i="13"/>
  <c r="B7259" i="13"/>
  <c r="B7255" i="13"/>
  <c r="B7251" i="13"/>
  <c r="B7247" i="13"/>
  <c r="B7243" i="13"/>
  <c r="B7239" i="13"/>
  <c r="B7235" i="13"/>
  <c r="B7231" i="13"/>
  <c r="B7227" i="13"/>
  <c r="B7223" i="13"/>
  <c r="B7219" i="13"/>
  <c r="B7215" i="13"/>
  <c r="B7211" i="13"/>
  <c r="B7207" i="13"/>
  <c r="B7203" i="13"/>
  <c r="B7199" i="13"/>
  <c r="B7195" i="13"/>
  <c r="B7191" i="13"/>
  <c r="B7187" i="13"/>
  <c r="B7183" i="13"/>
  <c r="B7179" i="13"/>
  <c r="B7175" i="13"/>
  <c r="B7171" i="13"/>
  <c r="B7167" i="13"/>
  <c r="B7163" i="13"/>
  <c r="B7159" i="13"/>
  <c r="B7155" i="13"/>
  <c r="B7151" i="13"/>
  <c r="B7147" i="13"/>
  <c r="B7143" i="13"/>
  <c r="B7139" i="13"/>
  <c r="B7135" i="13"/>
  <c r="B7131" i="13"/>
  <c r="B7127" i="13"/>
  <c r="B7123" i="13"/>
  <c r="B7119" i="13"/>
  <c r="B7115" i="13"/>
  <c r="B7111" i="13"/>
  <c r="B7107" i="13"/>
  <c r="B7103" i="13"/>
  <c r="B7099" i="13"/>
  <c r="B7095" i="13"/>
  <c r="B7091" i="13"/>
  <c r="B7087" i="13"/>
  <c r="B7083" i="13"/>
  <c r="B7079" i="13"/>
  <c r="B7075" i="13"/>
  <c r="B7071" i="13"/>
  <c r="B7067" i="13"/>
  <c r="B7063" i="13"/>
  <c r="B7059" i="13"/>
  <c r="B7055" i="13"/>
  <c r="B7051" i="13"/>
  <c r="B7047" i="13"/>
  <c r="B7043" i="13"/>
  <c r="B7039" i="13"/>
  <c r="B7035" i="13"/>
  <c r="B7031" i="13"/>
  <c r="B7027" i="13"/>
  <c r="B7023" i="13"/>
  <c r="B7019" i="13"/>
  <c r="B7015" i="13"/>
  <c r="B7011" i="13"/>
  <c r="B7007" i="13"/>
  <c r="B7003" i="13"/>
  <c r="B6999" i="13"/>
  <c r="B6995" i="13"/>
  <c r="B6991" i="13"/>
  <c r="B8385" i="13"/>
  <c r="B8257" i="13"/>
  <c r="B8129" i="13"/>
  <c r="B7997" i="13"/>
  <c r="B7661" i="13"/>
  <c r="B7642" i="13"/>
  <c r="B7624" i="13"/>
  <c r="B7573" i="13"/>
  <c r="B7562" i="13"/>
  <c r="B7541" i="13"/>
  <c r="B7530" i="13"/>
  <c r="B7509" i="13"/>
  <c r="B7498" i="13"/>
  <c r="B7477" i="13"/>
  <c r="B7466" i="13"/>
  <c r="B7445" i="13"/>
  <c r="B7434" i="13"/>
  <c r="B7393" i="13"/>
  <c r="B7386" i="13"/>
  <c r="B7361" i="13"/>
  <c r="B7354" i="13"/>
  <c r="B7349" i="13"/>
  <c r="B7338" i="13"/>
  <c r="B7333" i="13"/>
  <c r="B7322" i="13"/>
  <c r="B7317" i="13"/>
  <c r="B7306" i="13"/>
  <c r="B7301" i="13"/>
  <c r="B7290" i="13"/>
  <c r="B7285" i="13"/>
  <c r="B7276" i="13"/>
  <c r="B8067" i="13"/>
  <c r="B7905" i="13"/>
  <c r="B7777" i="13"/>
  <c r="B7545" i="13"/>
  <c r="B7502" i="13"/>
  <c r="B7417" i="13"/>
  <c r="B7389" i="13"/>
  <c r="B7260" i="13"/>
  <c r="B7244" i="13"/>
  <c r="B7228" i="13"/>
  <c r="B7212" i="13"/>
  <c r="B7196" i="13"/>
  <c r="B7180" i="13"/>
  <c r="B7164" i="13"/>
  <c r="B7148" i="13"/>
  <c r="B7132" i="13"/>
  <c r="B7116" i="13"/>
  <c r="B7100" i="13"/>
  <c r="B7084" i="13"/>
  <c r="B7068" i="13"/>
  <c r="B7052" i="13"/>
  <c r="B7036" i="13"/>
  <c r="B7020" i="13"/>
  <c r="B7005" i="13"/>
  <c r="B6973" i="13"/>
  <c r="B6964" i="13"/>
  <c r="B6955" i="13"/>
  <c r="B6941" i="13"/>
  <c r="B6932" i="13"/>
  <c r="B6923" i="13"/>
  <c r="B6909" i="13"/>
  <c r="B6900" i="13"/>
  <c r="B6891" i="13"/>
  <c r="B6877" i="13"/>
  <c r="B6868" i="13"/>
  <c r="B6859" i="13"/>
  <c r="B6845" i="13"/>
  <c r="B8066" i="13"/>
  <c r="B7592" i="13"/>
  <c r="B7501" i="13"/>
  <c r="B7458" i="13"/>
  <c r="B7362" i="13"/>
  <c r="B7318" i="13"/>
  <c r="B7297" i="13"/>
  <c r="B7277" i="13"/>
  <c r="B7004" i="13"/>
  <c r="B6987" i="13"/>
  <c r="B6977" i="13"/>
  <c r="B6968" i="13"/>
  <c r="B6959" i="13"/>
  <c r="B6945" i="13"/>
  <c r="B6936" i="13"/>
  <c r="B6927" i="13"/>
  <c r="B6913" i="13"/>
  <c r="B6904" i="13"/>
  <c r="B6895" i="13"/>
  <c r="B6881" i="13"/>
  <c r="B6872" i="13"/>
  <c r="B6863" i="13"/>
  <c r="B6849" i="13"/>
  <c r="B6840" i="13"/>
  <c r="B6836" i="13"/>
  <c r="B6832" i="13"/>
  <c r="B6828" i="13"/>
  <c r="B6824" i="13"/>
  <c r="B6820" i="13"/>
  <c r="B6816" i="13"/>
  <c r="B6812" i="13"/>
  <c r="B6808" i="13"/>
  <c r="B6804" i="13"/>
  <c r="B6800" i="13"/>
  <c r="B6796" i="13"/>
  <c r="B6792" i="13"/>
  <c r="B6788" i="13"/>
  <c r="B6784" i="13"/>
  <c r="B6780" i="13"/>
  <c r="B6776" i="13"/>
  <c r="B6772" i="13"/>
  <c r="B6768" i="13"/>
  <c r="B6764" i="13"/>
  <c r="B6760" i="13"/>
  <c r="B6756" i="13"/>
  <c r="B6752" i="13"/>
  <c r="B6748" i="13"/>
  <c r="B6744" i="13"/>
  <c r="B6740" i="13"/>
  <c r="B6736" i="13"/>
  <c r="B6732" i="13"/>
  <c r="B6728" i="13"/>
  <c r="B6724" i="13"/>
  <c r="B6720" i="13"/>
  <c r="B6716" i="13"/>
  <c r="B6712" i="13"/>
  <c r="B6708" i="13"/>
  <c r="B6704" i="13"/>
  <c r="B6700" i="13"/>
  <c r="B6696" i="13"/>
  <c r="B6692" i="13"/>
  <c r="B6688" i="13"/>
  <c r="B6684" i="13"/>
  <c r="B6680" i="13"/>
  <c r="B6676" i="13"/>
  <c r="B6672" i="13"/>
  <c r="B6668" i="13"/>
  <c r="B6664" i="13"/>
  <c r="B6660" i="13"/>
  <c r="B6656" i="13"/>
  <c r="B6652" i="13"/>
  <c r="B6648" i="13"/>
  <c r="B6644" i="13"/>
  <c r="B6640" i="13"/>
  <c r="B6636" i="13"/>
  <c r="B6632" i="13"/>
  <c r="B6628" i="13"/>
  <c r="B6624" i="13"/>
  <c r="B6620" i="13"/>
  <c r="B6616" i="13"/>
  <c r="B6612" i="13"/>
  <c r="B6608" i="13"/>
  <c r="B6604" i="13"/>
  <c r="B6600" i="13"/>
  <c r="B6596" i="13"/>
  <c r="B6592" i="13"/>
  <c r="B6588" i="13"/>
  <c r="B6584" i="13"/>
  <c r="B6580" i="13"/>
  <c r="B6576" i="13"/>
  <c r="B6572" i="13"/>
  <c r="B6568" i="13"/>
  <c r="B6564" i="13"/>
  <c r="B6560" i="13"/>
  <c r="B6556" i="13"/>
  <c r="B6552" i="13"/>
  <c r="B6548" i="13"/>
  <c r="B6544" i="13"/>
  <c r="B6540" i="13"/>
  <c r="B6536" i="13"/>
  <c r="B6532" i="13"/>
  <c r="B6528" i="13"/>
  <c r="B6524" i="13"/>
  <c r="B6520" i="13"/>
  <c r="B6516" i="13"/>
  <c r="B6512" i="13"/>
  <c r="B6508" i="13"/>
  <c r="B6504" i="13"/>
  <c r="B6500" i="13"/>
  <c r="B6496" i="13"/>
  <c r="B6492" i="13"/>
  <c r="B6488" i="13"/>
  <c r="B6484" i="13"/>
  <c r="B6480" i="13"/>
  <c r="B6476" i="13"/>
  <c r="B6472" i="13"/>
  <c r="B6468" i="13"/>
  <c r="B6464" i="13"/>
  <c r="B6460" i="13"/>
  <c r="B6456" i="13"/>
  <c r="B6452" i="13"/>
  <c r="B6448" i="13"/>
  <c r="B6444" i="13"/>
  <c r="B6440" i="13"/>
  <c r="B6436" i="13"/>
  <c r="B6432" i="13"/>
  <c r="B6428" i="13"/>
  <c r="B8418" i="13"/>
  <c r="B7873" i="13"/>
  <c r="B7745" i="13"/>
  <c r="B7577" i="13"/>
  <c r="B7534" i="13"/>
  <c r="B7449" i="13"/>
  <c r="B7409" i="13"/>
  <c r="B7382" i="13"/>
  <c r="B7357" i="13"/>
  <c r="B7273" i="13"/>
  <c r="B7256" i="13"/>
  <c r="B7240" i="13"/>
  <c r="B7224" i="13"/>
  <c r="B7208" i="13"/>
  <c r="B7192" i="13"/>
  <c r="B7176" i="13"/>
  <c r="B7160" i="13"/>
  <c r="B7144" i="13"/>
  <c r="B7128" i="13"/>
  <c r="B7112" i="13"/>
  <c r="B7096" i="13"/>
  <c r="B7080" i="13"/>
  <c r="B7064" i="13"/>
  <c r="B7048" i="13"/>
  <c r="B7032" i="13"/>
  <c r="B7016" i="13"/>
  <c r="B6993" i="13"/>
  <c r="B6981" i="13"/>
  <c r="B6972" i="13"/>
  <c r="B6963" i="13"/>
  <c r="B6949" i="13"/>
  <c r="B6940" i="13"/>
  <c r="B6931" i="13"/>
  <c r="B6917" i="13"/>
  <c r="B6908" i="13"/>
  <c r="B6899" i="13"/>
  <c r="B6885" i="13"/>
  <c r="B6876" i="13"/>
  <c r="B6867" i="13"/>
  <c r="B6853" i="13"/>
  <c r="B6844" i="13"/>
  <c r="B8417" i="13"/>
  <c r="B8006" i="13"/>
  <c r="B7533" i="13"/>
  <c r="B7490" i="13"/>
  <c r="B7334" i="13"/>
  <c r="B7313" i="13"/>
  <c r="B7001" i="13"/>
  <c r="B6992" i="13"/>
  <c r="B6985" i="13"/>
  <c r="B6976" i="13"/>
  <c r="B6967" i="13"/>
  <c r="B6953" i="13"/>
  <c r="B6944" i="13"/>
  <c r="B6935" i="13"/>
  <c r="B6921" i="13"/>
  <c r="B6912" i="13"/>
  <c r="B6903" i="13"/>
  <c r="B6889" i="13"/>
  <c r="B6880" i="13"/>
  <c r="B6871" i="13"/>
  <c r="B6857" i="13"/>
  <c r="B6848" i="13"/>
  <c r="B6839" i="13"/>
  <c r="B6835" i="13"/>
  <c r="B6831" i="13"/>
  <c r="B6827" i="13"/>
  <c r="B6823" i="13"/>
  <c r="B6819" i="13"/>
  <c r="B6815" i="13"/>
  <c r="B6811" i="13"/>
  <c r="B6807" i="13"/>
  <c r="B6803" i="13"/>
  <c r="B6799" i="13"/>
  <c r="B6795" i="13"/>
  <c r="B6791" i="13"/>
  <c r="B6787" i="13"/>
  <c r="B6783" i="13"/>
  <c r="B6779" i="13"/>
  <c r="B6775" i="13"/>
  <c r="B6771" i="13"/>
  <c r="B6767" i="13"/>
  <c r="B6763" i="13"/>
  <c r="B6759" i="13"/>
  <c r="B6755" i="13"/>
  <c r="B6751" i="13"/>
  <c r="B6747" i="13"/>
  <c r="B6743" i="13"/>
  <c r="B6739" i="13"/>
  <c r="B6735" i="13"/>
  <c r="B6731" i="13"/>
  <c r="B6727" i="13"/>
  <c r="B6723" i="13"/>
  <c r="B6719" i="13"/>
  <c r="B6715" i="13"/>
  <c r="B6711" i="13"/>
  <c r="B6707" i="13"/>
  <c r="B6703" i="13"/>
  <c r="B6699" i="13"/>
  <c r="B6695" i="13"/>
  <c r="B6691" i="13"/>
  <c r="B6687" i="13"/>
  <c r="B6683" i="13"/>
  <c r="B6679" i="13"/>
  <c r="B6675" i="13"/>
  <c r="B6671" i="13"/>
  <c r="B6667" i="13"/>
  <c r="B6663" i="13"/>
  <c r="B6659" i="13"/>
  <c r="B6655" i="13"/>
  <c r="B6651" i="13"/>
  <c r="B6647" i="13"/>
  <c r="B6643" i="13"/>
  <c r="B6639" i="13"/>
  <c r="B6635" i="13"/>
  <c r="B6631" i="13"/>
  <c r="B6627" i="13"/>
  <c r="B6623" i="13"/>
  <c r="B6619" i="13"/>
  <c r="B6615" i="13"/>
  <c r="B6611" i="13"/>
  <c r="B6607" i="13"/>
  <c r="B6603" i="13"/>
  <c r="B6599" i="13"/>
  <c r="B6595" i="13"/>
  <c r="B6591" i="13"/>
  <c r="B6587" i="13"/>
  <c r="B6583" i="13"/>
  <c r="B6579" i="13"/>
  <c r="B6575" i="13"/>
  <c r="B6571" i="13"/>
  <c r="B6567" i="13"/>
  <c r="B6563" i="13"/>
  <c r="B6559" i="13"/>
  <c r="B6555" i="13"/>
  <c r="B6551" i="13"/>
  <c r="B6547" i="13"/>
  <c r="B6543" i="13"/>
  <c r="B6539" i="13"/>
  <c r="B6535" i="13"/>
  <c r="B6531" i="13"/>
  <c r="B6527" i="13"/>
  <c r="B6523" i="13"/>
  <c r="B6519" i="13"/>
  <c r="B6515" i="13"/>
  <c r="B6511" i="13"/>
  <c r="B6507" i="13"/>
  <c r="B6503" i="13"/>
  <c r="B6499" i="13"/>
  <c r="B6495" i="13"/>
  <c r="B6491" i="13"/>
  <c r="B6487" i="13"/>
  <c r="B6483" i="13"/>
  <c r="B6479" i="13"/>
  <c r="B6475" i="13"/>
  <c r="B6471" i="13"/>
  <c r="B6467" i="13"/>
  <c r="B6463" i="13"/>
  <c r="B6459" i="13"/>
  <c r="B6455" i="13"/>
  <c r="B6451" i="13"/>
  <c r="B6447" i="13"/>
  <c r="B6443" i="13"/>
  <c r="B6439" i="13"/>
  <c r="B6435" i="13"/>
  <c r="B6431" i="13"/>
  <c r="B6427" i="13"/>
  <c r="B6423" i="13"/>
  <c r="B6419" i="13"/>
  <c r="B6415" i="13"/>
  <c r="B6411" i="13"/>
  <c r="B6407" i="13"/>
  <c r="B6403" i="13"/>
  <c r="B6399" i="13"/>
  <c r="B6395" i="13"/>
  <c r="B6391" i="13"/>
  <c r="B6387" i="13"/>
  <c r="B6383" i="13"/>
  <c r="B6379" i="13"/>
  <c r="B8162" i="13"/>
  <c r="B7937" i="13"/>
  <c r="B7809" i="13"/>
  <c r="B7513" i="13"/>
  <c r="B7470" i="13"/>
  <c r="B7282" i="13"/>
  <c r="B7264" i="13"/>
  <c r="B7248" i="13"/>
  <c r="B7232" i="13"/>
  <c r="B7216" i="13"/>
  <c r="B7200" i="13"/>
  <c r="B7184" i="13"/>
  <c r="B7168" i="13"/>
  <c r="B7152" i="13"/>
  <c r="B7136" i="13"/>
  <c r="B7120" i="13"/>
  <c r="B7104" i="13"/>
  <c r="B7088" i="13"/>
  <c r="B7072" i="13"/>
  <c r="B7056" i="13"/>
  <c r="B7040" i="13"/>
  <c r="B7024" i="13"/>
  <c r="B7008" i="13"/>
  <c r="B6997" i="13"/>
  <c r="B6989" i="13"/>
  <c r="B6979" i="13"/>
  <c r="B6965" i="13"/>
  <c r="B6956" i="13"/>
  <c r="B6947" i="13"/>
  <c r="B6933" i="13"/>
  <c r="B6924" i="13"/>
  <c r="B6915" i="13"/>
  <c r="B6901" i="13"/>
  <c r="B6892" i="13"/>
  <c r="B6883" i="13"/>
  <c r="B6869" i="13"/>
  <c r="B6860" i="13"/>
  <c r="B6851" i="13"/>
  <c r="B8161" i="13"/>
  <c r="B7688" i="13"/>
  <c r="B7610" i="13"/>
  <c r="B7554" i="13"/>
  <c r="B7469" i="13"/>
  <c r="B7426" i="13"/>
  <c r="B7394" i="13"/>
  <c r="B7369" i="13"/>
  <c r="B7345" i="13"/>
  <c r="B7302" i="13"/>
  <c r="B6996" i="13"/>
  <c r="B6988" i="13"/>
  <c r="B6983" i="13"/>
  <c r="B6969" i="13"/>
  <c r="B6960" i="13"/>
  <c r="B6951" i="13"/>
  <c r="B6937" i="13"/>
  <c r="B6928" i="13"/>
  <c r="B6919" i="13"/>
  <c r="B6905" i="13"/>
  <c r="B6896" i="13"/>
  <c r="B6887" i="13"/>
  <c r="B6873" i="13"/>
  <c r="B6864" i="13"/>
  <c r="B6855" i="13"/>
  <c r="B6841" i="13"/>
  <c r="B6837" i="13"/>
  <c r="B6833" i="13"/>
  <c r="B6829" i="13"/>
  <c r="B6825" i="13"/>
  <c r="B6821" i="13"/>
  <c r="B6817" i="13"/>
  <c r="B6813" i="13"/>
  <c r="B6809" i="13"/>
  <c r="B6805" i="13"/>
  <c r="B6801" i="13"/>
  <c r="B6797" i="13"/>
  <c r="B6793" i="13"/>
  <c r="B6789" i="13"/>
  <c r="B6785" i="13"/>
  <c r="B6781" i="13"/>
  <c r="B6777" i="13"/>
  <c r="B6773" i="13"/>
  <c r="B6769" i="13"/>
  <c r="B6765" i="13"/>
  <c r="B6761" i="13"/>
  <c r="B6757" i="13"/>
  <c r="B6753" i="13"/>
  <c r="B6749" i="13"/>
  <c r="B6745" i="13"/>
  <c r="B6741" i="13"/>
  <c r="B6737" i="13"/>
  <c r="B6733" i="13"/>
  <c r="B6729" i="13"/>
  <c r="B6725" i="13"/>
  <c r="B6721" i="13"/>
  <c r="B6717" i="13"/>
  <c r="B6713" i="13"/>
  <c r="B6709" i="13"/>
  <c r="B6705" i="13"/>
  <c r="B6701" i="13"/>
  <c r="B6697" i="13"/>
  <c r="B6693" i="13"/>
  <c r="B6689" i="13"/>
  <c r="B6685" i="13"/>
  <c r="B6681" i="13"/>
  <c r="B6677" i="13"/>
  <c r="B6673" i="13"/>
  <c r="B6669" i="13"/>
  <c r="B6665" i="13"/>
  <c r="B6661" i="13"/>
  <c r="B6657" i="13"/>
  <c r="B6653" i="13"/>
  <c r="B6649" i="13"/>
  <c r="B6645" i="13"/>
  <c r="B6641" i="13"/>
  <c r="B6637" i="13"/>
  <c r="B6633" i="13"/>
  <c r="B6629" i="13"/>
  <c r="B6625" i="13"/>
  <c r="B6621" i="13"/>
  <c r="B6617" i="13"/>
  <c r="B6613" i="13"/>
  <c r="B6609" i="13"/>
  <c r="B6605" i="13"/>
  <c r="B6601" i="13"/>
  <c r="B6597" i="13"/>
  <c r="B6593" i="13"/>
  <c r="B6589" i="13"/>
  <c r="B6585" i="13"/>
  <c r="B6581" i="13"/>
  <c r="B6577" i="13"/>
  <c r="B6573" i="13"/>
  <c r="B6569" i="13"/>
  <c r="B6565" i="13"/>
  <c r="B6561" i="13"/>
  <c r="B6557" i="13"/>
  <c r="B6553" i="13"/>
  <c r="B6549" i="13"/>
  <c r="B6545" i="13"/>
  <c r="B6541" i="13"/>
  <c r="B6537" i="13"/>
  <c r="B6533" i="13"/>
  <c r="B6529" i="13"/>
  <c r="B6525" i="13"/>
  <c r="B6521" i="13"/>
  <c r="B6517" i="13"/>
  <c r="B6513" i="13"/>
  <c r="B6509" i="13"/>
  <c r="B6505" i="13"/>
  <c r="B6501" i="13"/>
  <c r="B6497" i="13"/>
  <c r="B6493" i="13"/>
  <c r="B6489" i="13"/>
  <c r="B6485" i="13"/>
  <c r="B6481" i="13"/>
  <c r="B6477" i="13"/>
  <c r="B6473" i="13"/>
  <c r="B6469" i="13"/>
  <c r="B6465" i="13"/>
  <c r="B6461" i="13"/>
  <c r="B6457" i="13"/>
  <c r="B6453" i="13"/>
  <c r="B6449" i="13"/>
  <c r="B6445" i="13"/>
  <c r="B6441" i="13"/>
  <c r="B6437" i="13"/>
  <c r="B6433" i="13"/>
  <c r="B6429" i="13"/>
  <c r="B6425" i="13"/>
  <c r="B8290" i="13"/>
  <c r="B7629" i="13"/>
  <c r="B7438" i="13"/>
  <c r="B7252" i="13"/>
  <c r="B7188" i="13"/>
  <c r="B7124" i="13"/>
  <c r="B7060" i="13"/>
  <c r="B7000" i="13"/>
  <c r="B6957" i="13"/>
  <c r="B6939" i="13"/>
  <c r="B6884" i="13"/>
  <c r="B6546" i="13"/>
  <c r="B6526" i="13"/>
  <c r="B6494" i="13"/>
  <c r="B6462" i="13"/>
  <c r="B6430" i="13"/>
  <c r="B6424" i="13"/>
  <c r="B6410" i="13"/>
  <c r="B6401" i="13"/>
  <c r="B6392" i="13"/>
  <c r="B6378" i="13"/>
  <c r="B6374" i="13"/>
  <c r="B6370" i="13"/>
  <c r="B6366" i="13"/>
  <c r="B6362" i="13"/>
  <c r="B6358" i="13"/>
  <c r="B6354" i="13"/>
  <c r="B6350" i="13"/>
  <c r="B6346" i="13"/>
  <c r="B6342" i="13"/>
  <c r="B6338" i="13"/>
  <c r="B6334" i="13"/>
  <c r="B6330" i="13"/>
  <c r="B6326" i="13"/>
  <c r="B6322" i="13"/>
  <c r="B6318" i="13"/>
  <c r="B6314" i="13"/>
  <c r="B6310" i="13"/>
  <c r="B6306" i="13"/>
  <c r="B6302" i="13"/>
  <c r="B6298" i="13"/>
  <c r="B6294" i="13"/>
  <c r="B6290" i="13"/>
  <c r="B6286" i="13"/>
  <c r="B6282" i="13"/>
  <c r="B6278" i="13"/>
  <c r="B6274" i="13"/>
  <c r="B6270" i="13"/>
  <c r="B6266" i="13"/>
  <c r="B6262" i="13"/>
  <c r="B6258" i="13"/>
  <c r="B6254" i="13"/>
  <c r="B6250" i="13"/>
  <c r="B6246" i="13"/>
  <c r="B6242" i="13"/>
  <c r="B6238" i="13"/>
  <c r="B6234" i="13"/>
  <c r="B6230" i="13"/>
  <c r="B6226" i="13"/>
  <c r="B6222" i="13"/>
  <c r="B6218" i="13"/>
  <c r="B6214" i="13"/>
  <c r="B6210" i="13"/>
  <c r="B6206" i="13"/>
  <c r="B6202" i="13"/>
  <c r="B6198" i="13"/>
  <c r="B6194" i="13"/>
  <c r="B6190" i="13"/>
  <c r="B6186" i="13"/>
  <c r="B6182" i="13"/>
  <c r="B6178" i="13"/>
  <c r="B6174" i="13"/>
  <c r="B6170" i="13"/>
  <c r="B6166" i="13"/>
  <c r="B6162" i="13"/>
  <c r="B6158" i="13"/>
  <c r="B6154" i="13"/>
  <c r="B6150" i="13"/>
  <c r="B6146" i="13"/>
  <c r="B6142" i="13"/>
  <c r="B6138" i="13"/>
  <c r="B6134" i="13"/>
  <c r="B6130" i="13"/>
  <c r="B6126" i="13"/>
  <c r="B6122" i="13"/>
  <c r="B6118" i="13"/>
  <c r="B6114" i="13"/>
  <c r="B6110" i="13"/>
  <c r="B6106" i="13"/>
  <c r="B6102" i="13"/>
  <c r="B6098" i="13"/>
  <c r="B6094" i="13"/>
  <c r="B6090" i="13"/>
  <c r="B6086" i="13"/>
  <c r="B6082" i="13"/>
  <c r="B6078" i="13"/>
  <c r="B6074" i="13"/>
  <c r="B6070" i="13"/>
  <c r="B6066" i="13"/>
  <c r="B6062" i="13"/>
  <c r="B6058" i="13"/>
  <c r="B6054" i="13"/>
  <c r="B6050" i="13"/>
  <c r="B6046" i="13"/>
  <c r="B6042" i="13"/>
  <c r="B6038" i="13"/>
  <c r="B6034" i="13"/>
  <c r="B6030" i="13"/>
  <c r="B6026" i="13"/>
  <c r="B6022" i="13"/>
  <c r="B6018" i="13"/>
  <c r="B6014" i="13"/>
  <c r="B6010" i="13"/>
  <c r="B6006" i="13"/>
  <c r="B6002" i="13"/>
  <c r="B5998" i="13"/>
  <c r="B5994" i="13"/>
  <c r="B5990" i="13"/>
  <c r="B5986" i="13"/>
  <c r="B5982" i="13"/>
  <c r="B5978" i="13"/>
  <c r="B5974" i="13"/>
  <c r="B5970" i="13"/>
  <c r="B5966" i="13"/>
  <c r="B5962" i="13"/>
  <c r="B5958" i="13"/>
  <c r="B5954" i="13"/>
  <c r="B5950" i="13"/>
  <c r="B5946" i="13"/>
  <c r="B5942" i="13"/>
  <c r="B5938" i="13"/>
  <c r="B5934" i="13"/>
  <c r="B5930" i="13"/>
  <c r="B5926" i="13"/>
  <c r="B5922" i="13"/>
  <c r="B5918" i="13"/>
  <c r="B5914" i="13"/>
  <c r="B5910" i="13"/>
  <c r="B5906" i="13"/>
  <c r="B5902" i="13"/>
  <c r="B5898" i="13"/>
  <c r="B5894" i="13"/>
  <c r="B5890" i="13"/>
  <c r="B5886" i="13"/>
  <c r="B5882" i="13"/>
  <c r="B5878" i="13"/>
  <c r="B5874" i="13"/>
  <c r="B5870" i="13"/>
  <c r="B5866" i="13"/>
  <c r="B5862" i="13"/>
  <c r="B5858" i="13"/>
  <c r="B5854" i="13"/>
  <c r="B5850" i="13"/>
  <c r="B5846" i="13"/>
  <c r="B5842" i="13"/>
  <c r="B5838" i="13"/>
  <c r="B5834" i="13"/>
  <c r="B5830" i="13"/>
  <c r="B5826" i="13"/>
  <c r="B5822" i="13"/>
  <c r="B5818" i="13"/>
  <c r="B5814" i="13"/>
  <c r="B5810" i="13"/>
  <c r="B5806" i="13"/>
  <c r="B5802" i="13"/>
  <c r="B5798" i="13"/>
  <c r="B5794" i="13"/>
  <c r="B5790" i="13"/>
  <c r="B5786" i="13"/>
  <c r="B5782" i="13"/>
  <c r="B5778" i="13"/>
  <c r="B5774" i="13"/>
  <c r="B5770" i="13"/>
  <c r="B5766" i="13"/>
  <c r="B5762" i="13"/>
  <c r="B5758" i="13"/>
  <c r="B5754" i="13"/>
  <c r="B5750" i="13"/>
  <c r="B5746" i="13"/>
  <c r="B5742" i="13"/>
  <c r="B5738" i="13"/>
  <c r="B8289" i="13"/>
  <c r="B7437" i="13"/>
  <c r="B7329" i="13"/>
  <c r="B6975" i="13"/>
  <c r="B6920" i="13"/>
  <c r="B6865" i="13"/>
  <c r="B6847" i="13"/>
  <c r="B6830" i="13"/>
  <c r="B6814" i="13"/>
  <c r="B6798" i="13"/>
  <c r="B6782" i="13"/>
  <c r="B6766" i="13"/>
  <c r="B6750" i="13"/>
  <c r="B6734" i="13"/>
  <c r="B6718" i="13"/>
  <c r="B6702" i="13"/>
  <c r="B6686" i="13"/>
  <c r="B6670" i="13"/>
  <c r="B6654" i="13"/>
  <c r="B6638" i="13"/>
  <c r="B6622" i="13"/>
  <c r="B6606" i="13"/>
  <c r="B6590" i="13"/>
  <c r="B6574" i="13"/>
  <c r="B6558" i="13"/>
  <c r="B6538" i="13"/>
  <c r="B6506" i="13"/>
  <c r="B6474" i="13"/>
  <c r="B6442" i="13"/>
  <c r="B6414" i="13"/>
  <c r="B6405" i="13"/>
  <c r="B6396" i="13"/>
  <c r="B6382" i="13"/>
  <c r="B7970" i="13"/>
  <c r="B7566" i="13"/>
  <c r="B7236" i="13"/>
  <c r="B7172" i="13"/>
  <c r="B7108" i="13"/>
  <c r="B7044" i="13"/>
  <c r="B6971" i="13"/>
  <c r="B6916" i="13"/>
  <c r="B6861" i="13"/>
  <c r="B6843" i="13"/>
  <c r="B6518" i="13"/>
  <c r="B6486" i="13"/>
  <c r="B6454" i="13"/>
  <c r="B6418" i="13"/>
  <c r="B6409" i="13"/>
  <c r="B6400" i="13"/>
  <c r="B6386" i="13"/>
  <c r="B6377" i="13"/>
  <c r="B6373" i="13"/>
  <c r="B6369" i="13"/>
  <c r="B6365" i="13"/>
  <c r="B6361" i="13"/>
  <c r="B6357" i="13"/>
  <c r="B6353" i="13"/>
  <c r="B6349" i="13"/>
  <c r="B6345" i="13"/>
  <c r="B6341" i="13"/>
  <c r="B6337" i="13"/>
  <c r="B6333" i="13"/>
  <c r="B6329" i="13"/>
  <c r="B6325" i="13"/>
  <c r="B6321" i="13"/>
  <c r="B6317" i="13"/>
  <c r="B6313" i="13"/>
  <c r="B6309" i="13"/>
  <c r="B6305" i="13"/>
  <c r="B6301" i="13"/>
  <c r="B6297" i="13"/>
  <c r="B6293" i="13"/>
  <c r="B6289" i="13"/>
  <c r="B6285" i="13"/>
  <c r="B6281" i="13"/>
  <c r="B6277" i="13"/>
  <c r="B6273" i="13"/>
  <c r="B6269" i="13"/>
  <c r="B6265" i="13"/>
  <c r="B6261" i="13"/>
  <c r="B6257" i="13"/>
  <c r="B6253" i="13"/>
  <c r="B6249" i="13"/>
  <c r="B6245" i="13"/>
  <c r="B6241" i="13"/>
  <c r="B6237" i="13"/>
  <c r="B6233" i="13"/>
  <c r="B6229" i="13"/>
  <c r="B6225" i="13"/>
  <c r="B6221" i="13"/>
  <c r="B6217" i="13"/>
  <c r="B6213" i="13"/>
  <c r="B6209" i="13"/>
  <c r="B6205" i="13"/>
  <c r="B6201" i="13"/>
  <c r="B6197" i="13"/>
  <c r="B6193" i="13"/>
  <c r="B6189" i="13"/>
  <c r="B6185" i="13"/>
  <c r="B6181" i="13"/>
  <c r="B6177" i="13"/>
  <c r="B6173" i="13"/>
  <c r="B6169" i="13"/>
  <c r="B6165" i="13"/>
  <c r="B6161" i="13"/>
  <c r="B6157" i="13"/>
  <c r="B6153" i="13"/>
  <c r="B6149" i="13"/>
  <c r="B6145" i="13"/>
  <c r="B6141" i="13"/>
  <c r="B6137" i="13"/>
  <c r="B6133" i="13"/>
  <c r="B6129" i="13"/>
  <c r="B6125" i="13"/>
  <c r="B6121" i="13"/>
  <c r="B6117" i="13"/>
  <c r="B6113" i="13"/>
  <c r="B6109" i="13"/>
  <c r="B6105" i="13"/>
  <c r="B6101" i="13"/>
  <c r="B6097" i="13"/>
  <c r="B6093" i="13"/>
  <c r="B6089" i="13"/>
  <c r="B6085" i="13"/>
  <c r="B6081" i="13"/>
  <c r="B6077" i="13"/>
  <c r="B6073" i="13"/>
  <c r="B6069" i="13"/>
  <c r="B6065" i="13"/>
  <c r="B6061" i="13"/>
  <c r="B6057" i="13"/>
  <c r="B6053" i="13"/>
  <c r="B6049" i="13"/>
  <c r="B6045" i="13"/>
  <c r="B6041" i="13"/>
  <c r="B6037" i="13"/>
  <c r="B6033" i="13"/>
  <c r="B6029" i="13"/>
  <c r="B6025" i="13"/>
  <c r="B6021" i="13"/>
  <c r="B6017" i="13"/>
  <c r="B6013" i="13"/>
  <c r="B6009" i="13"/>
  <c r="B6005" i="13"/>
  <c r="B6001" i="13"/>
  <c r="B5997" i="13"/>
  <c r="B5993" i="13"/>
  <c r="B5989" i="13"/>
  <c r="B5985" i="13"/>
  <c r="B5981" i="13"/>
  <c r="B5977" i="13"/>
  <c r="B5973" i="13"/>
  <c r="B5969" i="13"/>
  <c r="B5965" i="13"/>
  <c r="B5961" i="13"/>
  <c r="B5957" i="13"/>
  <c r="B5953" i="13"/>
  <c r="B5949" i="13"/>
  <c r="B5945" i="13"/>
  <c r="B5941" i="13"/>
  <c r="B5937" i="13"/>
  <c r="B5933" i="13"/>
  <c r="B5929" i="13"/>
  <c r="B5925" i="13"/>
  <c r="B5921" i="13"/>
  <c r="B5917" i="13"/>
  <c r="B5913" i="13"/>
  <c r="B5909" i="13"/>
  <c r="B5905" i="13"/>
  <c r="B5901" i="13"/>
  <c r="B5897" i="13"/>
  <c r="B5893" i="13"/>
  <c r="B5889" i="13"/>
  <c r="B5885" i="13"/>
  <c r="B5881" i="13"/>
  <c r="B5877" i="13"/>
  <c r="B5873" i="13"/>
  <c r="B5869" i="13"/>
  <c r="B5865" i="13"/>
  <c r="B5861" i="13"/>
  <c r="B5857" i="13"/>
  <c r="B5853" i="13"/>
  <c r="B5849" i="13"/>
  <c r="B5845" i="13"/>
  <c r="B5841" i="13"/>
  <c r="B5837" i="13"/>
  <c r="B5833" i="13"/>
  <c r="B5829" i="13"/>
  <c r="B5825" i="13"/>
  <c r="B5821" i="13"/>
  <c r="B5817" i="13"/>
  <c r="B5813" i="13"/>
  <c r="B5809" i="13"/>
  <c r="B5805" i="13"/>
  <c r="B5801" i="13"/>
  <c r="B5797" i="13"/>
  <c r="B5793" i="13"/>
  <c r="B5789" i="13"/>
  <c r="B5785" i="13"/>
  <c r="B5781" i="13"/>
  <c r="B5777" i="13"/>
  <c r="B5773" i="13"/>
  <c r="B5769" i="13"/>
  <c r="B5765" i="13"/>
  <c r="B7565" i="13"/>
  <c r="B7401" i="13"/>
  <c r="B6952" i="13"/>
  <c r="B6897" i="13"/>
  <c r="B6879" i="13"/>
  <c r="B6826" i="13"/>
  <c r="B6810" i="13"/>
  <c r="B6794" i="13"/>
  <c r="B6778" i="13"/>
  <c r="B6762" i="13"/>
  <c r="B6746" i="13"/>
  <c r="B6730" i="13"/>
  <c r="B6714" i="13"/>
  <c r="B6698" i="13"/>
  <c r="B6682" i="13"/>
  <c r="B6666" i="13"/>
  <c r="B6650" i="13"/>
  <c r="B6634" i="13"/>
  <c r="B6618" i="13"/>
  <c r="B6602" i="13"/>
  <c r="B6586" i="13"/>
  <c r="B6570" i="13"/>
  <c r="B6554" i="13"/>
  <c r="B6530" i="13"/>
  <c r="B6498" i="13"/>
  <c r="B6466" i="13"/>
  <c r="B6434" i="13"/>
  <c r="B6422" i="13"/>
  <c r="B6413" i="13"/>
  <c r="B6404" i="13"/>
  <c r="B6390" i="13"/>
  <c r="B6381" i="13"/>
  <c r="B7713" i="13"/>
  <c r="B7481" i="13"/>
  <c r="B7204" i="13"/>
  <c r="B7140" i="13"/>
  <c r="B7076" i="13"/>
  <c r="B7012" i="13"/>
  <c r="B6980" i="13"/>
  <c r="B6925" i="13"/>
  <c r="B6907" i="13"/>
  <c r="B6852" i="13"/>
  <c r="B6534" i="13"/>
  <c r="B6502" i="13"/>
  <c r="B6470" i="13"/>
  <c r="B6438" i="13"/>
  <c r="B6416" i="13"/>
  <c r="B6402" i="13"/>
  <c r="B6393" i="13"/>
  <c r="B6384" i="13"/>
  <c r="B6375" i="13"/>
  <c r="B6371" i="13"/>
  <c r="B6367" i="13"/>
  <c r="B6363" i="13"/>
  <c r="B6359" i="13"/>
  <c r="B6355" i="13"/>
  <c r="B6351" i="13"/>
  <c r="B6347" i="13"/>
  <c r="B6343" i="13"/>
  <c r="B6339" i="13"/>
  <c r="B6335" i="13"/>
  <c r="B6331" i="13"/>
  <c r="B6327" i="13"/>
  <c r="B6323" i="13"/>
  <c r="B6319" i="13"/>
  <c r="B6315" i="13"/>
  <c r="B6311" i="13"/>
  <c r="B6307" i="13"/>
  <c r="B6303" i="13"/>
  <c r="B6299" i="13"/>
  <c r="B6295" i="13"/>
  <c r="B6291" i="13"/>
  <c r="B6287" i="13"/>
  <c r="B6283" i="13"/>
  <c r="B6279" i="13"/>
  <c r="B6275" i="13"/>
  <c r="B6271" i="13"/>
  <c r="B6267" i="13"/>
  <c r="B6263" i="13"/>
  <c r="B6259" i="13"/>
  <c r="B6255" i="13"/>
  <c r="B6251" i="13"/>
  <c r="B6247" i="13"/>
  <c r="B6243" i="13"/>
  <c r="B6239" i="13"/>
  <c r="B6235" i="13"/>
  <c r="B6231" i="13"/>
  <c r="B6227" i="13"/>
  <c r="B6223" i="13"/>
  <c r="B6219" i="13"/>
  <c r="B6215" i="13"/>
  <c r="B6211" i="13"/>
  <c r="B6207" i="13"/>
  <c r="B6203" i="13"/>
  <c r="B6199" i="13"/>
  <c r="B6195" i="13"/>
  <c r="B6191" i="13"/>
  <c r="B6187" i="13"/>
  <c r="B6183" i="13"/>
  <c r="B6179" i="13"/>
  <c r="B6175" i="13"/>
  <c r="B6171" i="13"/>
  <c r="B6167" i="13"/>
  <c r="B6163" i="13"/>
  <c r="B6159" i="13"/>
  <c r="B6155" i="13"/>
  <c r="B6151" i="13"/>
  <c r="B6147" i="13"/>
  <c r="B6143" i="13"/>
  <c r="B6139" i="13"/>
  <c r="B6135" i="13"/>
  <c r="B6131" i="13"/>
  <c r="B6127" i="13"/>
  <c r="B6123" i="13"/>
  <c r="B6119" i="13"/>
  <c r="B6115" i="13"/>
  <c r="B6111" i="13"/>
  <c r="B6107" i="13"/>
  <c r="B6103" i="13"/>
  <c r="B6099" i="13"/>
  <c r="B6095" i="13"/>
  <c r="B6091" i="13"/>
  <c r="B6087" i="13"/>
  <c r="B6083" i="13"/>
  <c r="B6079" i="13"/>
  <c r="B6075" i="13"/>
  <c r="B6071" i="13"/>
  <c r="B6067" i="13"/>
  <c r="B6063" i="13"/>
  <c r="B6059" i="13"/>
  <c r="B6055" i="13"/>
  <c r="B6051" i="13"/>
  <c r="B6047" i="13"/>
  <c r="B6043" i="13"/>
  <c r="B6039" i="13"/>
  <c r="B6035" i="13"/>
  <c r="B6031" i="13"/>
  <c r="B6027" i="13"/>
  <c r="B6023" i="13"/>
  <c r="B6019" i="13"/>
  <c r="B6015" i="13"/>
  <c r="B6011" i="13"/>
  <c r="B6007" i="13"/>
  <c r="B6003" i="13"/>
  <c r="B5999" i="13"/>
  <c r="B5995" i="13"/>
  <c r="B5991" i="13"/>
  <c r="B5987" i="13"/>
  <c r="B5983" i="13"/>
  <c r="B5979" i="13"/>
  <c r="B5975" i="13"/>
  <c r="B5971" i="13"/>
  <c r="B5967" i="13"/>
  <c r="B5963" i="13"/>
  <c r="B5959" i="13"/>
  <c r="B5955" i="13"/>
  <c r="B5951" i="13"/>
  <c r="B5947" i="13"/>
  <c r="B5943" i="13"/>
  <c r="B5939" i="13"/>
  <c r="B5935" i="13"/>
  <c r="B5931" i="13"/>
  <c r="B5927" i="13"/>
  <c r="B5923" i="13"/>
  <c r="B5919" i="13"/>
  <c r="B5915" i="13"/>
  <c r="B5911" i="13"/>
  <c r="B5907" i="13"/>
  <c r="B5903" i="13"/>
  <c r="B5899" i="13"/>
  <c r="B5895" i="13"/>
  <c r="B5891" i="13"/>
  <c r="B5887" i="13"/>
  <c r="B5883" i="13"/>
  <c r="B5879" i="13"/>
  <c r="B5875" i="13"/>
  <c r="B5871" i="13"/>
  <c r="B5867" i="13"/>
  <c r="B5863" i="13"/>
  <c r="B5859" i="13"/>
  <c r="B5855" i="13"/>
  <c r="B5851" i="13"/>
  <c r="B5847" i="13"/>
  <c r="B5843" i="13"/>
  <c r="B5839" i="13"/>
  <c r="B5835" i="13"/>
  <c r="B5831" i="13"/>
  <c r="B5827" i="13"/>
  <c r="B5823" i="13"/>
  <c r="B5819" i="13"/>
  <c r="B5815" i="13"/>
  <c r="B5811" i="13"/>
  <c r="B5807" i="13"/>
  <c r="B5803" i="13"/>
  <c r="B5799" i="13"/>
  <c r="B5795" i="13"/>
  <c r="B5791" i="13"/>
  <c r="B5787" i="13"/>
  <c r="B5783" i="13"/>
  <c r="B5779" i="13"/>
  <c r="B5775" i="13"/>
  <c r="B5771" i="13"/>
  <c r="B5767" i="13"/>
  <c r="B5763" i="13"/>
  <c r="B5759" i="13"/>
  <c r="B5755" i="13"/>
  <c r="B5751" i="13"/>
  <c r="B5747" i="13"/>
  <c r="B5743" i="13"/>
  <c r="B7350" i="13"/>
  <c r="B7268" i="13"/>
  <c r="B6961" i="13"/>
  <c r="B6943" i="13"/>
  <c r="B6888" i="13"/>
  <c r="B6834" i="13"/>
  <c r="B6818" i="13"/>
  <c r="B6802" i="13"/>
  <c r="B6786" i="13"/>
  <c r="B6770" i="13"/>
  <c r="B6754" i="13"/>
  <c r="B6738" i="13"/>
  <c r="B6722" i="13"/>
  <c r="B6706" i="13"/>
  <c r="B6690" i="13"/>
  <c r="B6674" i="13"/>
  <c r="B6658" i="13"/>
  <c r="B6642" i="13"/>
  <c r="B6626" i="13"/>
  <c r="B6610" i="13"/>
  <c r="B6594" i="13"/>
  <c r="B6578" i="13"/>
  <c r="B6562" i="13"/>
  <c r="B6514" i="13"/>
  <c r="B6482" i="13"/>
  <c r="B6450" i="13"/>
  <c r="B6420" i="13"/>
  <c r="B6406" i="13"/>
  <c r="B6397" i="13"/>
  <c r="B6388" i="13"/>
  <c r="B7841" i="13"/>
  <c r="B7220" i="13"/>
  <c r="B6510" i="13"/>
  <c r="B6394" i="13"/>
  <c r="B6376" i="13"/>
  <c r="B6360" i="13"/>
  <c r="B6344" i="13"/>
  <c r="B6328" i="13"/>
  <c r="B6312" i="13"/>
  <c r="B6296" i="13"/>
  <c r="B6280" i="13"/>
  <c r="B6264" i="13"/>
  <c r="B6248" i="13"/>
  <c r="B6232" i="13"/>
  <c r="B6216" i="13"/>
  <c r="B6200" i="13"/>
  <c r="B6184" i="13"/>
  <c r="B6168" i="13"/>
  <c r="B6152" i="13"/>
  <c r="B6136" i="13"/>
  <c r="B6120" i="13"/>
  <c r="B6104" i="13"/>
  <c r="B6088" i="13"/>
  <c r="B6072" i="13"/>
  <c r="B6056" i="13"/>
  <c r="B6040" i="13"/>
  <c r="B6024" i="13"/>
  <c r="B6008" i="13"/>
  <c r="B5992" i="13"/>
  <c r="B5980" i="13"/>
  <c r="B5924" i="13"/>
  <c r="B5892" i="13"/>
  <c r="B5860" i="13"/>
  <c r="B5828" i="13"/>
  <c r="B5796" i="13"/>
  <c r="B5764" i="13"/>
  <c r="B5753" i="13"/>
  <c r="B5748" i="13"/>
  <c r="B6984" i="13"/>
  <c r="B6911" i="13"/>
  <c r="B6838" i="13"/>
  <c r="B6774" i="13"/>
  <c r="B6710" i="13"/>
  <c r="B6646" i="13"/>
  <c r="B6582" i="13"/>
  <c r="B6458" i="13"/>
  <c r="B6412" i="13"/>
  <c r="B5968" i="13"/>
  <c r="B5936" i="13"/>
  <c r="B5904" i="13"/>
  <c r="B5872" i="13"/>
  <c r="B5840" i="13"/>
  <c r="B5808" i="13"/>
  <c r="B5776" i="13"/>
  <c r="B5737" i="13"/>
  <c r="B5733" i="13"/>
  <c r="B5729" i="13"/>
  <c r="B5725" i="13"/>
  <c r="B5721" i="13"/>
  <c r="B5717" i="13"/>
  <c r="B5713" i="13"/>
  <c r="B5709" i="13"/>
  <c r="B5705" i="13"/>
  <c r="B5701" i="13"/>
  <c r="B5697" i="13"/>
  <c r="B5693" i="13"/>
  <c r="B5689" i="13"/>
  <c r="B5685" i="13"/>
  <c r="B5681" i="13"/>
  <c r="B5677" i="13"/>
  <c r="B5673" i="13"/>
  <c r="B5669" i="13"/>
  <c r="B5665" i="13"/>
  <c r="B5661" i="13"/>
  <c r="B5657" i="13"/>
  <c r="B5653" i="13"/>
  <c r="B5649" i="13"/>
  <c r="B5645" i="13"/>
  <c r="B5641" i="13"/>
  <c r="B5637" i="13"/>
  <c r="B5633" i="13"/>
  <c r="B5629" i="13"/>
  <c r="B5625" i="13"/>
  <c r="B5621" i="13"/>
  <c r="B5617" i="13"/>
  <c r="B5613" i="13"/>
  <c r="B5609" i="13"/>
  <c r="B5605" i="13"/>
  <c r="B5601" i="13"/>
  <c r="B5597" i="13"/>
  <c r="B5593" i="13"/>
  <c r="B5589" i="13"/>
  <c r="B5585" i="13"/>
  <c r="B5581" i="13"/>
  <c r="B5577" i="13"/>
  <c r="B5573" i="13"/>
  <c r="B5569" i="13"/>
  <c r="B5565" i="13"/>
  <c r="B5561" i="13"/>
  <c r="B5557" i="13"/>
  <c r="B5553" i="13"/>
  <c r="B5549" i="13"/>
  <c r="B5545" i="13"/>
  <c r="B5541" i="13"/>
  <c r="B5537" i="13"/>
  <c r="B5533" i="13"/>
  <c r="B5529" i="13"/>
  <c r="B5525" i="13"/>
  <c r="B5521" i="13"/>
  <c r="B5517" i="13"/>
  <c r="B5513" i="13"/>
  <c r="B5509" i="13"/>
  <c r="B5505" i="13"/>
  <c r="B5501" i="13"/>
  <c r="B5497" i="13"/>
  <c r="B5493" i="13"/>
  <c r="B5489" i="13"/>
  <c r="B5485" i="13"/>
  <c r="B5481" i="13"/>
  <c r="B5477" i="13"/>
  <c r="B5473" i="13"/>
  <c r="B5469" i="13"/>
  <c r="B5465" i="13"/>
  <c r="B5461" i="13"/>
  <c r="B5457" i="13"/>
  <c r="B5453" i="13"/>
  <c r="B5449" i="13"/>
  <c r="B5445" i="13"/>
  <c r="B5441" i="13"/>
  <c r="B5437" i="13"/>
  <c r="B5433" i="13"/>
  <c r="B5429" i="13"/>
  <c r="B5425" i="13"/>
  <c r="B5421" i="13"/>
  <c r="B5417" i="13"/>
  <c r="B5413" i="13"/>
  <c r="B5409" i="13"/>
  <c r="B5405" i="13"/>
  <c r="B5401" i="13"/>
  <c r="B5397" i="13"/>
  <c r="B5393" i="13"/>
  <c r="B5389" i="13"/>
  <c r="B5385" i="13"/>
  <c r="B5381" i="13"/>
  <c r="B5377" i="13"/>
  <c r="B5373" i="13"/>
  <c r="B5369" i="13"/>
  <c r="B5365" i="13"/>
  <c r="B5361" i="13"/>
  <c r="B5357" i="13"/>
  <c r="B5353" i="13"/>
  <c r="B5349" i="13"/>
  <c r="B5345" i="13"/>
  <c r="B5341" i="13"/>
  <c r="B5337" i="13"/>
  <c r="B5333" i="13"/>
  <c r="B5329" i="13"/>
  <c r="B5325" i="13"/>
  <c r="B5321" i="13"/>
  <c r="B5317" i="13"/>
  <c r="B5313" i="13"/>
  <c r="B5309" i="13"/>
  <c r="B5305" i="13"/>
  <c r="B5301" i="13"/>
  <c r="B5297" i="13"/>
  <c r="B5293" i="13"/>
  <c r="B5289" i="13"/>
  <c r="B5285" i="13"/>
  <c r="B5281" i="13"/>
  <c r="B5277" i="13"/>
  <c r="B5273" i="13"/>
  <c r="B5269" i="13"/>
  <c r="B5265" i="13"/>
  <c r="B5261" i="13"/>
  <c r="B5257" i="13"/>
  <c r="B5253" i="13"/>
  <c r="B5249" i="13"/>
  <c r="B5245" i="13"/>
  <c r="B5241" i="13"/>
  <c r="B5237" i="13"/>
  <c r="B5233" i="13"/>
  <c r="B5229" i="13"/>
  <c r="B5225" i="13"/>
  <c r="B5221" i="13"/>
  <c r="B5217" i="13"/>
  <c r="B5213" i="13"/>
  <c r="B5209" i="13"/>
  <c r="B5205" i="13"/>
  <c r="B5201" i="13"/>
  <c r="B5197" i="13"/>
  <c r="B5193" i="13"/>
  <c r="B5189" i="13"/>
  <c r="B5185" i="13"/>
  <c r="B5181" i="13"/>
  <c r="B5177" i="13"/>
  <c r="B5173" i="13"/>
  <c r="B5169" i="13"/>
  <c r="B5165" i="13"/>
  <c r="B5161" i="13"/>
  <c r="B5157" i="13"/>
  <c r="B5153" i="13"/>
  <c r="B5149" i="13"/>
  <c r="B5145" i="13"/>
  <c r="B5141" i="13"/>
  <c r="B5137" i="13"/>
  <c r="B5133" i="13"/>
  <c r="B5129" i="13"/>
  <c r="B5125" i="13"/>
  <c r="B5121" i="13"/>
  <c r="B5117" i="13"/>
  <c r="B5113" i="13"/>
  <c r="B5109" i="13"/>
  <c r="B5105" i="13"/>
  <c r="B5101" i="13"/>
  <c r="B5097" i="13"/>
  <c r="B5093" i="13"/>
  <c r="B5089" i="13"/>
  <c r="B5085" i="13"/>
  <c r="B5081" i="13"/>
  <c r="B5077" i="13"/>
  <c r="B5073" i="13"/>
  <c r="B5069" i="13"/>
  <c r="B5065" i="13"/>
  <c r="B5061" i="13"/>
  <c r="B5057" i="13"/>
  <c r="B5053" i="13"/>
  <c r="B5049" i="13"/>
  <c r="B5045" i="13"/>
  <c r="B5041" i="13"/>
  <c r="B5037" i="13"/>
  <c r="B5033" i="13"/>
  <c r="B5029" i="13"/>
  <c r="B5025" i="13"/>
  <c r="B5021" i="13"/>
  <c r="B5017" i="13"/>
  <c r="B5013" i="13"/>
  <c r="B5009" i="13"/>
  <c r="B5005" i="13"/>
  <c r="B5001" i="13"/>
  <c r="B4997" i="13"/>
  <c r="B4993" i="13"/>
  <c r="B4989" i="13"/>
  <c r="B4985" i="13"/>
  <c r="B4981" i="13"/>
  <c r="B4977" i="13"/>
  <c r="B4973" i="13"/>
  <c r="B4969" i="13"/>
  <c r="B4965" i="13"/>
  <c r="B4961" i="13"/>
  <c r="B4957" i="13"/>
  <c r="B4953" i="13"/>
  <c r="B4949" i="13"/>
  <c r="B4945" i="13"/>
  <c r="B4941" i="13"/>
  <c r="B4937" i="13"/>
  <c r="B4933" i="13"/>
  <c r="B4929" i="13"/>
  <c r="B4925" i="13"/>
  <c r="B4921" i="13"/>
  <c r="B4917" i="13"/>
  <c r="B4913" i="13"/>
  <c r="B4909" i="13"/>
  <c r="B4905" i="13"/>
  <c r="B4901" i="13"/>
  <c r="B4897" i="13"/>
  <c r="B4893" i="13"/>
  <c r="B4889" i="13"/>
  <c r="B4885" i="13"/>
  <c r="B4881" i="13"/>
  <c r="B4877" i="13"/>
  <c r="B4873" i="13"/>
  <c r="B4869" i="13"/>
  <c r="B4865" i="13"/>
  <c r="B4861" i="13"/>
  <c r="B4857" i="13"/>
  <c r="B4853" i="13"/>
  <c r="B4849" i="13"/>
  <c r="B4845" i="13"/>
  <c r="B4841" i="13"/>
  <c r="B4837" i="13"/>
  <c r="B4833" i="13"/>
  <c r="B4829" i="13"/>
  <c r="B4825" i="13"/>
  <c r="B4821" i="13"/>
  <c r="B4817" i="13"/>
  <c r="B4813" i="13"/>
  <c r="B4809" i="13"/>
  <c r="B4805" i="13"/>
  <c r="B4801" i="13"/>
  <c r="B4797" i="13"/>
  <c r="B4793" i="13"/>
  <c r="B4789" i="13"/>
  <c r="B4785" i="13"/>
  <c r="B4781" i="13"/>
  <c r="B4777" i="13"/>
  <c r="B4773" i="13"/>
  <c r="B4769" i="13"/>
  <c r="B4765" i="13"/>
  <c r="B4761" i="13"/>
  <c r="B4757" i="13"/>
  <c r="B4753" i="13"/>
  <c r="B4749" i="13"/>
  <c r="B4745" i="13"/>
  <c r="B4741" i="13"/>
  <c r="B4737" i="13"/>
  <c r="B4733" i="13"/>
  <c r="B4729" i="13"/>
  <c r="B4725" i="13"/>
  <c r="B4721" i="13"/>
  <c r="B4717" i="13"/>
  <c r="B4713" i="13"/>
  <c r="B4709" i="13"/>
  <c r="B4705" i="13"/>
  <c r="B4701" i="13"/>
  <c r="B4697" i="13"/>
  <c r="B4693" i="13"/>
  <c r="B4689" i="13"/>
  <c r="B7156" i="13"/>
  <c r="B6893" i="13"/>
  <c r="B6478" i="13"/>
  <c r="B6408" i="13"/>
  <c r="B6372" i="13"/>
  <c r="B6356" i="13"/>
  <c r="B6340" i="13"/>
  <c r="B6324" i="13"/>
  <c r="B6308" i="13"/>
  <c r="B6292" i="13"/>
  <c r="B6276" i="13"/>
  <c r="B6260" i="13"/>
  <c r="B6244" i="13"/>
  <c r="B6228" i="13"/>
  <c r="B6212" i="13"/>
  <c r="B6196" i="13"/>
  <c r="B6180" i="13"/>
  <c r="B6164" i="13"/>
  <c r="B6148" i="13"/>
  <c r="B6132" i="13"/>
  <c r="B6116" i="13"/>
  <c r="B6100" i="13"/>
  <c r="B6084" i="13"/>
  <c r="B6068" i="13"/>
  <c r="B6052" i="13"/>
  <c r="B6036" i="13"/>
  <c r="B6020" i="13"/>
  <c r="B6004" i="13"/>
  <c r="B5988" i="13"/>
  <c r="B5956" i="13"/>
  <c r="B5948" i="13"/>
  <c r="B5916" i="13"/>
  <c r="B5884" i="13"/>
  <c r="B5852" i="13"/>
  <c r="B5820" i="13"/>
  <c r="B5788" i="13"/>
  <c r="B5757" i="13"/>
  <c r="B5752" i="13"/>
  <c r="B5741" i="13"/>
  <c r="B7522" i="13"/>
  <c r="B6822" i="13"/>
  <c r="B6758" i="13"/>
  <c r="B6694" i="13"/>
  <c r="B6630" i="13"/>
  <c r="B6566" i="13"/>
  <c r="B6426" i="13"/>
  <c r="B6389" i="13"/>
  <c r="B5976" i="13"/>
  <c r="B5928" i="13"/>
  <c r="B5896" i="13"/>
  <c r="B5864" i="13"/>
  <c r="B5832" i="13"/>
  <c r="B5800" i="13"/>
  <c r="B5768" i="13"/>
  <c r="B5736" i="13"/>
  <c r="B5732" i="13"/>
  <c r="B5728" i="13"/>
  <c r="B5724" i="13"/>
  <c r="B5720" i="13"/>
  <c r="B5716" i="13"/>
  <c r="B5712" i="13"/>
  <c r="B5708" i="13"/>
  <c r="B5704" i="13"/>
  <c r="B5700" i="13"/>
  <c r="B5696" i="13"/>
  <c r="B5692" i="13"/>
  <c r="B5688" i="13"/>
  <c r="B5684" i="13"/>
  <c r="B5680" i="13"/>
  <c r="B5676" i="13"/>
  <c r="B5672" i="13"/>
  <c r="B5668" i="13"/>
  <c r="B5664" i="13"/>
  <c r="B5660" i="13"/>
  <c r="B5656" i="13"/>
  <c r="B5652" i="13"/>
  <c r="B5648" i="13"/>
  <c r="B5644" i="13"/>
  <c r="B5640" i="13"/>
  <c r="B5636" i="13"/>
  <c r="B5632" i="13"/>
  <c r="B5628" i="13"/>
  <c r="B5624" i="13"/>
  <c r="B5620" i="13"/>
  <c r="B5616" i="13"/>
  <c r="B5612" i="13"/>
  <c r="B5608" i="13"/>
  <c r="B5604" i="13"/>
  <c r="B5600" i="13"/>
  <c r="B5596" i="13"/>
  <c r="B5592" i="13"/>
  <c r="B5588" i="13"/>
  <c r="B5584" i="13"/>
  <c r="B5580" i="13"/>
  <c r="B5576" i="13"/>
  <c r="B5572" i="13"/>
  <c r="B5568" i="13"/>
  <c r="B5564" i="13"/>
  <c r="B5560" i="13"/>
  <c r="B5556" i="13"/>
  <c r="B5552" i="13"/>
  <c r="B5548" i="13"/>
  <c r="B5544" i="13"/>
  <c r="B5540" i="13"/>
  <c r="B5536" i="13"/>
  <c r="B5532" i="13"/>
  <c r="B5528" i="13"/>
  <c r="B5524" i="13"/>
  <c r="B5520" i="13"/>
  <c r="B5516" i="13"/>
  <c r="B5512" i="13"/>
  <c r="B5508" i="13"/>
  <c r="B5504" i="13"/>
  <c r="B5500" i="13"/>
  <c r="B5496" i="13"/>
  <c r="B5492" i="13"/>
  <c r="B5488" i="13"/>
  <c r="B5484" i="13"/>
  <c r="B5480" i="13"/>
  <c r="B5476" i="13"/>
  <c r="B5472" i="13"/>
  <c r="B5468" i="13"/>
  <c r="B5464" i="13"/>
  <c r="B5460" i="13"/>
  <c r="B5456" i="13"/>
  <c r="B5452" i="13"/>
  <c r="B5448" i="13"/>
  <c r="B5444" i="13"/>
  <c r="B5440" i="13"/>
  <c r="B5436" i="13"/>
  <c r="B5432" i="13"/>
  <c r="B5428" i="13"/>
  <c r="B5424" i="13"/>
  <c r="B5420" i="13"/>
  <c r="B5416" i="13"/>
  <c r="B5412" i="13"/>
  <c r="B5408" i="13"/>
  <c r="B5404" i="13"/>
  <c r="B5400" i="13"/>
  <c r="B5396" i="13"/>
  <c r="B5392" i="13"/>
  <c r="B5388" i="13"/>
  <c r="B5384" i="13"/>
  <c r="B5380" i="13"/>
  <c r="B5376" i="13"/>
  <c r="B5372" i="13"/>
  <c r="B5368" i="13"/>
  <c r="B5364" i="13"/>
  <c r="B5360" i="13"/>
  <c r="B5356" i="13"/>
  <c r="B5352" i="13"/>
  <c r="B5348" i="13"/>
  <c r="B5344" i="13"/>
  <c r="B5340" i="13"/>
  <c r="B5336" i="13"/>
  <c r="B5332" i="13"/>
  <c r="B5328" i="13"/>
  <c r="B5324" i="13"/>
  <c r="B5320" i="13"/>
  <c r="B5316" i="13"/>
  <c r="B5312" i="13"/>
  <c r="B5308" i="13"/>
  <c r="B5304" i="13"/>
  <c r="B5300" i="13"/>
  <c r="B5296" i="13"/>
  <c r="B5292" i="13"/>
  <c r="B5288" i="13"/>
  <c r="B5284" i="13"/>
  <c r="B5280" i="13"/>
  <c r="B5276" i="13"/>
  <c r="B5272" i="13"/>
  <c r="B5268" i="13"/>
  <c r="B5264" i="13"/>
  <c r="B5260" i="13"/>
  <c r="B5256" i="13"/>
  <c r="B5252" i="13"/>
  <c r="B5248" i="13"/>
  <c r="B5244" i="13"/>
  <c r="B5240" i="13"/>
  <c r="B5236" i="13"/>
  <c r="B5232" i="13"/>
  <c r="B5228" i="13"/>
  <c r="B5224" i="13"/>
  <c r="B5220" i="13"/>
  <c r="B5216" i="13"/>
  <c r="B5212" i="13"/>
  <c r="B5208" i="13"/>
  <c r="B5204" i="13"/>
  <c r="B5200" i="13"/>
  <c r="B5196" i="13"/>
  <c r="B5192" i="13"/>
  <c r="B5188" i="13"/>
  <c r="B5184" i="13"/>
  <c r="B5180" i="13"/>
  <c r="B5176" i="13"/>
  <c r="B5172" i="13"/>
  <c r="B5168" i="13"/>
  <c r="B5164" i="13"/>
  <c r="B5160" i="13"/>
  <c r="B5156" i="13"/>
  <c r="B5152" i="13"/>
  <c r="B5148" i="13"/>
  <c r="B5144" i="13"/>
  <c r="B5140" i="13"/>
  <c r="B5136" i="13"/>
  <c r="B5132" i="13"/>
  <c r="B5128" i="13"/>
  <c r="B5124" i="13"/>
  <c r="B5120" i="13"/>
  <c r="B5116" i="13"/>
  <c r="B5112" i="13"/>
  <c r="B5108" i="13"/>
  <c r="B5104" i="13"/>
  <c r="B5100" i="13"/>
  <c r="B5096" i="13"/>
  <c r="B5092" i="13"/>
  <c r="B5088" i="13"/>
  <c r="B5084" i="13"/>
  <c r="B5080" i="13"/>
  <c r="B5076" i="13"/>
  <c r="B5072" i="13"/>
  <c r="B5068" i="13"/>
  <c r="B5064" i="13"/>
  <c r="B5060" i="13"/>
  <c r="B5056" i="13"/>
  <c r="B5052" i="13"/>
  <c r="B5048" i="13"/>
  <c r="B5044" i="13"/>
  <c r="B5040" i="13"/>
  <c r="B5036" i="13"/>
  <c r="B5032" i="13"/>
  <c r="B5028" i="13"/>
  <c r="B5024" i="13"/>
  <c r="B5020" i="13"/>
  <c r="B5016" i="13"/>
  <c r="B5012" i="13"/>
  <c r="B5008" i="13"/>
  <c r="B5004" i="13"/>
  <c r="B5000" i="13"/>
  <c r="B4996" i="13"/>
  <c r="B4992" i="13"/>
  <c r="B4988" i="13"/>
  <c r="B4984" i="13"/>
  <c r="B4980" i="13"/>
  <c r="B4976" i="13"/>
  <c r="B4972" i="13"/>
  <c r="B4968" i="13"/>
  <c r="B4964" i="13"/>
  <c r="B4960" i="13"/>
  <c r="B4956" i="13"/>
  <c r="B4952" i="13"/>
  <c r="B4948" i="13"/>
  <c r="B4944" i="13"/>
  <c r="B4940" i="13"/>
  <c r="B4936" i="13"/>
  <c r="B4932" i="13"/>
  <c r="B4928" i="13"/>
  <c r="B4924" i="13"/>
  <c r="B4920" i="13"/>
  <c r="B4916" i="13"/>
  <c r="B4912" i="13"/>
  <c r="B4908" i="13"/>
  <c r="B4904" i="13"/>
  <c r="B4900" i="13"/>
  <c r="B4896" i="13"/>
  <c r="B4892" i="13"/>
  <c r="B4888" i="13"/>
  <c r="B4884" i="13"/>
  <c r="B4880" i="13"/>
  <c r="B4876" i="13"/>
  <c r="B4872" i="13"/>
  <c r="B4868" i="13"/>
  <c r="B4864" i="13"/>
  <c r="B4860" i="13"/>
  <c r="B4856" i="13"/>
  <c r="B4852" i="13"/>
  <c r="B4848" i="13"/>
  <c r="B4844" i="13"/>
  <c r="B4840" i="13"/>
  <c r="B4836" i="13"/>
  <c r="B4832" i="13"/>
  <c r="B4828" i="13"/>
  <c r="B4824" i="13"/>
  <c r="B4820" i="13"/>
  <c r="B4816" i="13"/>
  <c r="B4812" i="13"/>
  <c r="B4808" i="13"/>
  <c r="B4804" i="13"/>
  <c r="B4800" i="13"/>
  <c r="B4796" i="13"/>
  <c r="B4792" i="13"/>
  <c r="B4788" i="13"/>
  <c r="B4784" i="13"/>
  <c r="B4780" i="13"/>
  <c r="B4776" i="13"/>
  <c r="B4772" i="13"/>
  <c r="B4768" i="13"/>
  <c r="B4764" i="13"/>
  <c r="B4760" i="13"/>
  <c r="B4756" i="13"/>
  <c r="B4752" i="13"/>
  <c r="B4748" i="13"/>
  <c r="B4744" i="13"/>
  <c r="B4740" i="13"/>
  <c r="B4736" i="13"/>
  <c r="B4732" i="13"/>
  <c r="B4728" i="13"/>
  <c r="B4724" i="13"/>
  <c r="B4720" i="13"/>
  <c r="B4716" i="13"/>
  <c r="B4712" i="13"/>
  <c r="B4708" i="13"/>
  <c r="B4704" i="13"/>
  <c r="B4700" i="13"/>
  <c r="B4696" i="13"/>
  <c r="B4692" i="13"/>
  <c r="B4688" i="13"/>
  <c r="B7028" i="13"/>
  <c r="B6542" i="13"/>
  <c r="B6417" i="13"/>
  <c r="B6364" i="13"/>
  <c r="B6348" i="13"/>
  <c r="B6332" i="13"/>
  <c r="B6316" i="13"/>
  <c r="B6300" i="13"/>
  <c r="B6284" i="13"/>
  <c r="B6268" i="13"/>
  <c r="B6252" i="13"/>
  <c r="B6236" i="13"/>
  <c r="B6220" i="13"/>
  <c r="B6204" i="13"/>
  <c r="B6188" i="13"/>
  <c r="B6172" i="13"/>
  <c r="B6156" i="13"/>
  <c r="B6140" i="13"/>
  <c r="B6124" i="13"/>
  <c r="B6108" i="13"/>
  <c r="B6092" i="13"/>
  <c r="B6076" i="13"/>
  <c r="B6060" i="13"/>
  <c r="B6044" i="13"/>
  <c r="B6028" i="13"/>
  <c r="B6012" i="13"/>
  <c r="B5996" i="13"/>
  <c r="B5972" i="13"/>
  <c r="B5932" i="13"/>
  <c r="B5900" i="13"/>
  <c r="B5868" i="13"/>
  <c r="B5836" i="13"/>
  <c r="B5804" i="13"/>
  <c r="B5772" i="13"/>
  <c r="B5760" i="13"/>
  <c r="B5749" i="13"/>
  <c r="B5744" i="13"/>
  <c r="B5739" i="13"/>
  <c r="B6929" i="13"/>
  <c r="B6742" i="13"/>
  <c r="B6490" i="13"/>
  <c r="B6421" i="13"/>
  <c r="B6368" i="13"/>
  <c r="B6240" i="13"/>
  <c r="B6112" i="13"/>
  <c r="B5960" i="13"/>
  <c r="B5888" i="13"/>
  <c r="B5718" i="13"/>
  <c r="B5707" i="13"/>
  <c r="B5686" i="13"/>
  <c r="B5675" i="13"/>
  <c r="B5654" i="13"/>
  <c r="B5643" i="13"/>
  <c r="B6875" i="13"/>
  <c r="B6726" i="13"/>
  <c r="B6550" i="13"/>
  <c r="B6320" i="13"/>
  <c r="B6192" i="13"/>
  <c r="B6064" i="13"/>
  <c r="B5984" i="13"/>
  <c r="B5920" i="13"/>
  <c r="B5784" i="13"/>
  <c r="B5727" i="13"/>
  <c r="B5706" i="13"/>
  <c r="B5695" i="13"/>
  <c r="B5674" i="13"/>
  <c r="B5663" i="13"/>
  <c r="B5642" i="13"/>
  <c r="B5631" i="13"/>
  <c r="B5623" i="13"/>
  <c r="B5615" i="13"/>
  <c r="B5607" i="13"/>
  <c r="B5599" i="13"/>
  <c r="B5591" i="13"/>
  <c r="B5583" i="13"/>
  <c r="B5575" i="13"/>
  <c r="B5567" i="13"/>
  <c r="B5559" i="13"/>
  <c r="B5551" i="13"/>
  <c r="B5543" i="13"/>
  <c r="B5535" i="13"/>
  <c r="B5527" i="13"/>
  <c r="B5519" i="13"/>
  <c r="B5511" i="13"/>
  <c r="B5503" i="13"/>
  <c r="B5495" i="13"/>
  <c r="B5487" i="13"/>
  <c r="B5479" i="13"/>
  <c r="B5471" i="13"/>
  <c r="B5463" i="13"/>
  <c r="B5455" i="13"/>
  <c r="B5447" i="13"/>
  <c r="B5439" i="13"/>
  <c r="B5431" i="13"/>
  <c r="B5423" i="13"/>
  <c r="B5415" i="13"/>
  <c r="B5407" i="13"/>
  <c r="B5399" i="13"/>
  <c r="B5391" i="13"/>
  <c r="B5383" i="13"/>
  <c r="B5375" i="13"/>
  <c r="B5367" i="13"/>
  <c r="B5359" i="13"/>
  <c r="B5351" i="13"/>
  <c r="B5343" i="13"/>
  <c r="B5335" i="13"/>
  <c r="B5327" i="13"/>
  <c r="B5319" i="13"/>
  <c r="B5311" i="13"/>
  <c r="B5303" i="13"/>
  <c r="B5295" i="13"/>
  <c r="B5287" i="13"/>
  <c r="B5279" i="13"/>
  <c r="B5271" i="13"/>
  <c r="B5263" i="13"/>
  <c r="B5255" i="13"/>
  <c r="B5247" i="13"/>
  <c r="B5239" i="13"/>
  <c r="B5231" i="13"/>
  <c r="B5223" i="13"/>
  <c r="B5215" i="13"/>
  <c r="B5207" i="13"/>
  <c r="B5199" i="13"/>
  <c r="B5191" i="13"/>
  <c r="B5183" i="13"/>
  <c r="B5175" i="13"/>
  <c r="B5167" i="13"/>
  <c r="B5159" i="13"/>
  <c r="B5151" i="13"/>
  <c r="B5143" i="13"/>
  <c r="B5135" i="13"/>
  <c r="B5127" i="13"/>
  <c r="B5119" i="13"/>
  <c r="B5111" i="13"/>
  <c r="B5103" i="13"/>
  <c r="B5095" i="13"/>
  <c r="B5087" i="13"/>
  <c r="B5079" i="13"/>
  <c r="B5071" i="13"/>
  <c r="B5063" i="13"/>
  <c r="B5058" i="13"/>
  <c r="B5047" i="13"/>
  <c r="B5042" i="13"/>
  <c r="B5031" i="13"/>
  <c r="B5026" i="13"/>
  <c r="B5015" i="13"/>
  <c r="B5010" i="13"/>
  <c r="B4999" i="13"/>
  <c r="B4994" i="13"/>
  <c r="B4983" i="13"/>
  <c r="B4978" i="13"/>
  <c r="B4967" i="13"/>
  <c r="B4962" i="13"/>
  <c r="B4951" i="13"/>
  <c r="B4946" i="13"/>
  <c r="B4935" i="13"/>
  <c r="B4930" i="13"/>
  <c r="B4919" i="13"/>
  <c r="B4914" i="13"/>
  <c r="B4903" i="13"/>
  <c r="B4898" i="13"/>
  <c r="B4887" i="13"/>
  <c r="B4882" i="13"/>
  <c r="B4871" i="13"/>
  <c r="B4866" i="13"/>
  <c r="B4855" i="13"/>
  <c r="B4850" i="13"/>
  <c r="B4839" i="13"/>
  <c r="B4834" i="13"/>
  <c r="B4823" i="13"/>
  <c r="B4818" i="13"/>
  <c r="B4807" i="13"/>
  <c r="B4802" i="13"/>
  <c r="B4791" i="13"/>
  <c r="B4786" i="13"/>
  <c r="B4775" i="13"/>
  <c r="B4770" i="13"/>
  <c r="B4759" i="13"/>
  <c r="B4754" i="13"/>
  <c r="B4743" i="13"/>
  <c r="B4738" i="13"/>
  <c r="B4727" i="13"/>
  <c r="B4722" i="13"/>
  <c r="B4711" i="13"/>
  <c r="B4706" i="13"/>
  <c r="B4695" i="13"/>
  <c r="B4690" i="13"/>
  <c r="B4685" i="13"/>
  <c r="B4681" i="13"/>
  <c r="B4677" i="13"/>
  <c r="B4673" i="13"/>
  <c r="B4669" i="13"/>
  <c r="B4665" i="13"/>
  <c r="B4661" i="13"/>
  <c r="B4657" i="13"/>
  <c r="B4653" i="13"/>
  <c r="B4649" i="13"/>
  <c r="B4645" i="13"/>
  <c r="B4641" i="13"/>
  <c r="B4637" i="13"/>
  <c r="B4633" i="13"/>
  <c r="B4629" i="13"/>
  <c r="B4625" i="13"/>
  <c r="B4621" i="13"/>
  <c r="B4617" i="13"/>
  <c r="B4613" i="13"/>
  <c r="B4609" i="13"/>
  <c r="B4605" i="13"/>
  <c r="B4601" i="13"/>
  <c r="B4597" i="13"/>
  <c r="B4593" i="13"/>
  <c r="B4589" i="13"/>
  <c r="B4585" i="13"/>
  <c r="B4581" i="13"/>
  <c r="B4577" i="13"/>
  <c r="B4573" i="13"/>
  <c r="B4569" i="13"/>
  <c r="B4565" i="13"/>
  <c r="B4561" i="13"/>
  <c r="B4557" i="13"/>
  <c r="B4553" i="13"/>
  <c r="B4549" i="13"/>
  <c r="B4545" i="13"/>
  <c r="B4541" i="13"/>
  <c r="B4537" i="13"/>
  <c r="B4533" i="13"/>
  <c r="B4529" i="13"/>
  <c r="B4525" i="13"/>
  <c r="B4521" i="13"/>
  <c r="B4517" i="13"/>
  <c r="B4513" i="13"/>
  <c r="B4509" i="13"/>
  <c r="B4505" i="13"/>
  <c r="B4501" i="13"/>
  <c r="B4497" i="13"/>
  <c r="B4493" i="13"/>
  <c r="B4489" i="13"/>
  <c r="B4485" i="13"/>
  <c r="B4481" i="13"/>
  <c r="B4477" i="13"/>
  <c r="B4473" i="13"/>
  <c r="B4469" i="13"/>
  <c r="B4465" i="13"/>
  <c r="B4461" i="13"/>
  <c r="B4457" i="13"/>
  <c r="B4453" i="13"/>
  <c r="B4449" i="13"/>
  <c r="B4445" i="13"/>
  <c r="B4441" i="13"/>
  <c r="B4437" i="13"/>
  <c r="B4433" i="13"/>
  <c r="B4429" i="13"/>
  <c r="B4425" i="13"/>
  <c r="B4421" i="13"/>
  <c r="B4417" i="13"/>
  <c r="B4413" i="13"/>
  <c r="B4409" i="13"/>
  <c r="B4405" i="13"/>
  <c r="B4401" i="13"/>
  <c r="B4397" i="13"/>
  <c r="B4393" i="13"/>
  <c r="B4389" i="13"/>
  <c r="B4385" i="13"/>
  <c r="B4381" i="13"/>
  <c r="B4377" i="13"/>
  <c r="B4373" i="13"/>
  <c r="B4369" i="13"/>
  <c r="B4365" i="13"/>
  <c r="B4361" i="13"/>
  <c r="B4357" i="13"/>
  <c r="B4353" i="13"/>
  <c r="B4349" i="13"/>
  <c r="B4345" i="13"/>
  <c r="B4341" i="13"/>
  <c r="B4337" i="13"/>
  <c r="B4333" i="13"/>
  <c r="B4329" i="13"/>
  <c r="B4325" i="13"/>
  <c r="B4321" i="13"/>
  <c r="B4317" i="13"/>
  <c r="B4313" i="13"/>
  <c r="B4309" i="13"/>
  <c r="B4305" i="13"/>
  <c r="B4301" i="13"/>
  <c r="B4297" i="13"/>
  <c r="B4293" i="13"/>
  <c r="B4289" i="13"/>
  <c r="B4285" i="13"/>
  <c r="B4281" i="13"/>
  <c r="B4277" i="13"/>
  <c r="B4273" i="13"/>
  <c r="B4269" i="13"/>
  <c r="B4265" i="13"/>
  <c r="B4261" i="13"/>
  <c r="B4257" i="13"/>
  <c r="B4253" i="13"/>
  <c r="B4249" i="13"/>
  <c r="B4245" i="13"/>
  <c r="B4241" i="13"/>
  <c r="B4237" i="13"/>
  <c r="B4233" i="13"/>
  <c r="B4229" i="13"/>
  <c r="B4225" i="13"/>
  <c r="B4221" i="13"/>
  <c r="B4217" i="13"/>
  <c r="B4213" i="13"/>
  <c r="B4209" i="13"/>
  <c r="B4205" i="13"/>
  <c r="B4201" i="13"/>
  <c r="B4197" i="13"/>
  <c r="B4193" i="13"/>
  <c r="B4189" i="13"/>
  <c r="B4185" i="13"/>
  <c r="B4181" i="13"/>
  <c r="B4177" i="13"/>
  <c r="B4173" i="13"/>
  <c r="B4169" i="13"/>
  <c r="B4165" i="13"/>
  <c r="B4161" i="13"/>
  <c r="B4157" i="13"/>
  <c r="B4153" i="13"/>
  <c r="B4149" i="13"/>
  <c r="B4145" i="13"/>
  <c r="B4141" i="13"/>
  <c r="B4137" i="13"/>
  <c r="B4133" i="13"/>
  <c r="B4129" i="13"/>
  <c r="B4125" i="13"/>
  <c r="B4121" i="13"/>
  <c r="B4117" i="13"/>
  <c r="B4113" i="13"/>
  <c r="B4109" i="13"/>
  <c r="B4105" i="13"/>
  <c r="B4101" i="13"/>
  <c r="B4097" i="13"/>
  <c r="B4093" i="13"/>
  <c r="B4089" i="13"/>
  <c r="B4085" i="13"/>
  <c r="B4081" i="13"/>
  <c r="B4077" i="13"/>
  <c r="B4073" i="13"/>
  <c r="B4069" i="13"/>
  <c r="B4065" i="13"/>
  <c r="B4061" i="13"/>
  <c r="B4057" i="13"/>
  <c r="B4053" i="13"/>
  <c r="B4049" i="13"/>
  <c r="B4045" i="13"/>
  <c r="B4041" i="13"/>
  <c r="B4037" i="13"/>
  <c r="B4033" i="13"/>
  <c r="B4029" i="13"/>
  <c r="B4025" i="13"/>
  <c r="B4021" i="13"/>
  <c r="B4017" i="13"/>
  <c r="B4013" i="13"/>
  <c r="B4009" i="13"/>
  <c r="B4005" i="13"/>
  <c r="B4001" i="13"/>
  <c r="B3997" i="13"/>
  <c r="B3993" i="13"/>
  <c r="B3989" i="13"/>
  <c r="B3985" i="13"/>
  <c r="B3981" i="13"/>
  <c r="B3977" i="13"/>
  <c r="B3973" i="13"/>
  <c r="B3969" i="13"/>
  <c r="B3965" i="13"/>
  <c r="B3961" i="13"/>
  <c r="B3957" i="13"/>
  <c r="B3953" i="13"/>
  <c r="B3949" i="13"/>
  <c r="B3945" i="13"/>
  <c r="B3941" i="13"/>
  <c r="B3937" i="13"/>
  <c r="B3933" i="13"/>
  <c r="B3929" i="13"/>
  <c r="B3925" i="13"/>
  <c r="B3921" i="13"/>
  <c r="B3917" i="13"/>
  <c r="B3913" i="13"/>
  <c r="B3909" i="13"/>
  <c r="B3905" i="13"/>
  <c r="B3901" i="13"/>
  <c r="B3897" i="13"/>
  <c r="B3893" i="13"/>
  <c r="B3889" i="13"/>
  <c r="B3885" i="13"/>
  <c r="B3881" i="13"/>
  <c r="B3877" i="13"/>
  <c r="B3873" i="13"/>
  <c r="B3869" i="13"/>
  <c r="B3865" i="13"/>
  <c r="B3861" i="13"/>
  <c r="B3857" i="13"/>
  <c r="B3853" i="13"/>
  <c r="B3849" i="13"/>
  <c r="B3845" i="13"/>
  <c r="B3841" i="13"/>
  <c r="B3837" i="13"/>
  <c r="B3833" i="13"/>
  <c r="B3829" i="13"/>
  <c r="B3825" i="13"/>
  <c r="B3821" i="13"/>
  <c r="B3817" i="13"/>
  <c r="B3813" i="13"/>
  <c r="B3809" i="13"/>
  <c r="B3805" i="13"/>
  <c r="B3801" i="13"/>
  <c r="B3797" i="13"/>
  <c r="B3793" i="13"/>
  <c r="B3789" i="13"/>
  <c r="B3785" i="13"/>
  <c r="B3781" i="13"/>
  <c r="B3777" i="13"/>
  <c r="B3773" i="13"/>
  <c r="B3769" i="13"/>
  <c r="B3765" i="13"/>
  <c r="B3761" i="13"/>
  <c r="B3757" i="13"/>
  <c r="B3753" i="13"/>
  <c r="B3749" i="13"/>
  <c r="B3745" i="13"/>
  <c r="B3741" i="13"/>
  <c r="B3737" i="13"/>
  <c r="B3733" i="13"/>
  <c r="B3729" i="13"/>
  <c r="B3725" i="13"/>
  <c r="B3721" i="13"/>
  <c r="B3717" i="13"/>
  <c r="B3713" i="13"/>
  <c r="B3709" i="13"/>
  <c r="B3705" i="13"/>
  <c r="B3701" i="13"/>
  <c r="B3697" i="13"/>
  <c r="B3693" i="13"/>
  <c r="B3689" i="13"/>
  <c r="B3685" i="13"/>
  <c r="B3681" i="13"/>
  <c r="B3677" i="13"/>
  <c r="B3673" i="13"/>
  <c r="B3669" i="13"/>
  <c r="B3665" i="13"/>
  <c r="B3661" i="13"/>
  <c r="B3657" i="13"/>
  <c r="B3653" i="13"/>
  <c r="B3649" i="13"/>
  <c r="B3645" i="13"/>
  <c r="B3641" i="13"/>
  <c r="B3637" i="13"/>
  <c r="B3633" i="13"/>
  <c r="B3629" i="13"/>
  <c r="B3625" i="13"/>
  <c r="B3621" i="13"/>
  <c r="B3617" i="13"/>
  <c r="B3613" i="13"/>
  <c r="B3609" i="13"/>
  <c r="B3605" i="13"/>
  <c r="B3601" i="13"/>
  <c r="B3597" i="13"/>
  <c r="B3593" i="13"/>
  <c r="B3589" i="13"/>
  <c r="B3585" i="13"/>
  <c r="B3581" i="13"/>
  <c r="B3577" i="13"/>
  <c r="B3573" i="13"/>
  <c r="B3569" i="13"/>
  <c r="B7286" i="13"/>
  <c r="B6272" i="13"/>
  <c r="B6144" i="13"/>
  <c r="B6016" i="13"/>
  <c r="B5952" i="13"/>
  <c r="B5816" i="13"/>
  <c r="B5780" i="13"/>
  <c r="B5726" i="13"/>
  <c r="B5715" i="13"/>
  <c r="B5694" i="13"/>
  <c r="B5683" i="13"/>
  <c r="B5662" i="13"/>
  <c r="B5651" i="13"/>
  <c r="B5630" i="13"/>
  <c r="B5622" i="13"/>
  <c r="B5614" i="13"/>
  <c r="B5606" i="13"/>
  <c r="B5598" i="13"/>
  <c r="B5590" i="13"/>
  <c r="B5582" i="13"/>
  <c r="B5574" i="13"/>
  <c r="B5566" i="13"/>
  <c r="B5558" i="13"/>
  <c r="B5550" i="13"/>
  <c r="B5542" i="13"/>
  <c r="B5534" i="13"/>
  <c r="B5526" i="13"/>
  <c r="B5518" i="13"/>
  <c r="B5510" i="13"/>
  <c r="B5502" i="13"/>
  <c r="B5494" i="13"/>
  <c r="B5486" i="13"/>
  <c r="B5478" i="13"/>
  <c r="B5470" i="13"/>
  <c r="B5462" i="13"/>
  <c r="B5454" i="13"/>
  <c r="B5446" i="13"/>
  <c r="B5438" i="13"/>
  <c r="B5430" i="13"/>
  <c r="B5422" i="13"/>
  <c r="B5414" i="13"/>
  <c r="B5406" i="13"/>
  <c r="B5398" i="13"/>
  <c r="B5390" i="13"/>
  <c r="B5382" i="13"/>
  <c r="B5374" i="13"/>
  <c r="B5366" i="13"/>
  <c r="B5358" i="13"/>
  <c r="B5350" i="13"/>
  <c r="B5342" i="13"/>
  <c r="B5334" i="13"/>
  <c r="B5326" i="13"/>
  <c r="B5318" i="13"/>
  <c r="B5310" i="13"/>
  <c r="B5302" i="13"/>
  <c r="B5294" i="13"/>
  <c r="B5286" i="13"/>
  <c r="B5278" i="13"/>
  <c r="B5270" i="13"/>
  <c r="B5262" i="13"/>
  <c r="B5254" i="13"/>
  <c r="B5246" i="13"/>
  <c r="B5238" i="13"/>
  <c r="B5230" i="13"/>
  <c r="B5222" i="13"/>
  <c r="B5214" i="13"/>
  <c r="B5206" i="13"/>
  <c r="B5198" i="13"/>
  <c r="B5190" i="13"/>
  <c r="B5182" i="13"/>
  <c r="B5174" i="13"/>
  <c r="B5166" i="13"/>
  <c r="B5158" i="13"/>
  <c r="B5150" i="13"/>
  <c r="B5142" i="13"/>
  <c r="B5134" i="13"/>
  <c r="B5126" i="13"/>
  <c r="B5118" i="13"/>
  <c r="B5110" i="13"/>
  <c r="B5102" i="13"/>
  <c r="B5094" i="13"/>
  <c r="B5086" i="13"/>
  <c r="B5078" i="13"/>
  <c r="B5070" i="13"/>
  <c r="B7092" i="13"/>
  <c r="B6856" i="13"/>
  <c r="B6678" i="13"/>
  <c r="B6352" i="13"/>
  <c r="B6224" i="13"/>
  <c r="B6096" i="13"/>
  <c r="B5848" i="13"/>
  <c r="B5812" i="13"/>
  <c r="B5761" i="13"/>
  <c r="B5735" i="13"/>
  <c r="B5714" i="13"/>
  <c r="B5703" i="13"/>
  <c r="B5682" i="13"/>
  <c r="B5671" i="13"/>
  <c r="B5650" i="13"/>
  <c r="B5639" i="13"/>
  <c r="B5062" i="13"/>
  <c r="B5051" i="13"/>
  <c r="B5046" i="13"/>
  <c r="B5035" i="13"/>
  <c r="B5030" i="13"/>
  <c r="B5019" i="13"/>
  <c r="B5014" i="13"/>
  <c r="B5003" i="13"/>
  <c r="B4998" i="13"/>
  <c r="B4987" i="13"/>
  <c r="B4982" i="13"/>
  <c r="B4971" i="13"/>
  <c r="B4966" i="13"/>
  <c r="B4955" i="13"/>
  <c r="B4950" i="13"/>
  <c r="B4939" i="13"/>
  <c r="B4934" i="13"/>
  <c r="B4923" i="13"/>
  <c r="B4918" i="13"/>
  <c r="B4907" i="13"/>
  <c r="B4902" i="13"/>
  <c r="B4891" i="13"/>
  <c r="B4886" i="13"/>
  <c r="B4875" i="13"/>
  <c r="B4870" i="13"/>
  <c r="B4859" i="13"/>
  <c r="B4854" i="13"/>
  <c r="B4843" i="13"/>
  <c r="B4838" i="13"/>
  <c r="B4827" i="13"/>
  <c r="B4822" i="13"/>
  <c r="B4811" i="13"/>
  <c r="B4806" i="13"/>
  <c r="B4795" i="13"/>
  <c r="B4790" i="13"/>
  <c r="B4779" i="13"/>
  <c r="B4774" i="13"/>
  <c r="B4763" i="13"/>
  <c r="B4758" i="13"/>
  <c r="B4747" i="13"/>
  <c r="B4742" i="13"/>
  <c r="B4731" i="13"/>
  <c r="B4726" i="13"/>
  <c r="B4715" i="13"/>
  <c r="B4710" i="13"/>
  <c r="B4699" i="13"/>
  <c r="B4694" i="13"/>
  <c r="B4684" i="13"/>
  <c r="B4680" i="13"/>
  <c r="B4676" i="13"/>
  <c r="B4672" i="13"/>
  <c r="B4668" i="13"/>
  <c r="B4664" i="13"/>
  <c r="B4660" i="13"/>
  <c r="B4656" i="13"/>
  <c r="B4652" i="13"/>
  <c r="B4648" i="13"/>
  <c r="B4644" i="13"/>
  <c r="B4640" i="13"/>
  <c r="B4636" i="13"/>
  <c r="B4632" i="13"/>
  <c r="B4628" i="13"/>
  <c r="B4624" i="13"/>
  <c r="B4620" i="13"/>
  <c r="B4616" i="13"/>
  <c r="B4612" i="13"/>
  <c r="B4608" i="13"/>
  <c r="B4604" i="13"/>
  <c r="B4600" i="13"/>
  <c r="B4596" i="13"/>
  <c r="B4592" i="13"/>
  <c r="B4588" i="13"/>
  <c r="B4584" i="13"/>
  <c r="B4580" i="13"/>
  <c r="B4576" i="13"/>
  <c r="B4572" i="13"/>
  <c r="B4568" i="13"/>
  <c r="B4564" i="13"/>
  <c r="B4560" i="13"/>
  <c r="B4556" i="13"/>
  <c r="B4552" i="13"/>
  <c r="B4548" i="13"/>
  <c r="B4544" i="13"/>
  <c r="B4540" i="13"/>
  <c r="B4536" i="13"/>
  <c r="B4532" i="13"/>
  <c r="B4528" i="13"/>
  <c r="B4524" i="13"/>
  <c r="B4520" i="13"/>
  <c r="B4516" i="13"/>
  <c r="B4512" i="13"/>
  <c r="B4508" i="13"/>
  <c r="B4504" i="13"/>
  <c r="B4500" i="13"/>
  <c r="B4496" i="13"/>
  <c r="B4492" i="13"/>
  <c r="B4488" i="13"/>
  <c r="B4484" i="13"/>
  <c r="B4480" i="13"/>
  <c r="B4476" i="13"/>
  <c r="B4472" i="13"/>
  <c r="B4468" i="13"/>
  <c r="B4464" i="13"/>
  <c r="B4460" i="13"/>
  <c r="B4456" i="13"/>
  <c r="B4452" i="13"/>
  <c r="B4448" i="13"/>
  <c r="B4444" i="13"/>
  <c r="B4440" i="13"/>
  <c r="B4436" i="13"/>
  <c r="B4432" i="13"/>
  <c r="B4428" i="13"/>
  <c r="B4424" i="13"/>
  <c r="B4420" i="13"/>
  <c r="B4416" i="13"/>
  <c r="B4412" i="13"/>
  <c r="B4408" i="13"/>
  <c r="B4404" i="13"/>
  <c r="B4400" i="13"/>
  <c r="B4396" i="13"/>
  <c r="B4392" i="13"/>
  <c r="B4388" i="13"/>
  <c r="B4384" i="13"/>
  <c r="B4380" i="13"/>
  <c r="B4376" i="13"/>
  <c r="B4372" i="13"/>
  <c r="B4368" i="13"/>
  <c r="B4364" i="13"/>
  <c r="B4360" i="13"/>
  <c r="B4356" i="13"/>
  <c r="B4352" i="13"/>
  <c r="B4348" i="13"/>
  <c r="B4344" i="13"/>
  <c r="B4340" i="13"/>
  <c r="B4336" i="13"/>
  <c r="B4332" i="13"/>
  <c r="B4328" i="13"/>
  <c r="B4324" i="13"/>
  <c r="B4320" i="13"/>
  <c r="B4316" i="13"/>
  <c r="B4312" i="13"/>
  <c r="B4308" i="13"/>
  <c r="B4304" i="13"/>
  <c r="B4300" i="13"/>
  <c r="B4296" i="13"/>
  <c r="B4292" i="13"/>
  <c r="B4288" i="13"/>
  <c r="B4284" i="13"/>
  <c r="B4280" i="13"/>
  <c r="B4276" i="13"/>
  <c r="B4272" i="13"/>
  <c r="B4268" i="13"/>
  <c r="B4264" i="13"/>
  <c r="B4260" i="13"/>
  <c r="B4256" i="13"/>
  <c r="B4252" i="13"/>
  <c r="B4248" i="13"/>
  <c r="B4244" i="13"/>
  <c r="B4240" i="13"/>
  <c r="B4236" i="13"/>
  <c r="B4232" i="13"/>
  <c r="B4228" i="13"/>
  <c r="B4224" i="13"/>
  <c r="B4220" i="13"/>
  <c r="B4216" i="13"/>
  <c r="B4212" i="13"/>
  <c r="B4208" i="13"/>
  <c r="B4204" i="13"/>
  <c r="B4200" i="13"/>
  <c r="B4196" i="13"/>
  <c r="B4192" i="13"/>
  <c r="B4188" i="13"/>
  <c r="B4184" i="13"/>
  <c r="B4180" i="13"/>
  <c r="B4176" i="13"/>
  <c r="B4172" i="13"/>
  <c r="B4168" i="13"/>
  <c r="B4164" i="13"/>
  <c r="B4160" i="13"/>
  <c r="B4156" i="13"/>
  <c r="B4152" i="13"/>
  <c r="B4148" i="13"/>
  <c r="B4144" i="13"/>
  <c r="B4140" i="13"/>
  <c r="B4136" i="13"/>
  <c r="B4132" i="13"/>
  <c r="B4128" i="13"/>
  <c r="B4124" i="13"/>
  <c r="B4120" i="13"/>
  <c r="B4116" i="13"/>
  <c r="B4112" i="13"/>
  <c r="B4108" i="13"/>
  <c r="B4104" i="13"/>
  <c r="B4100" i="13"/>
  <c r="B4096" i="13"/>
  <c r="B4092" i="13"/>
  <c r="B4088" i="13"/>
  <c r="B4084" i="13"/>
  <c r="B4080" i="13"/>
  <c r="B4076" i="13"/>
  <c r="B4072" i="13"/>
  <c r="B4068" i="13"/>
  <c r="B4064" i="13"/>
  <c r="B4060" i="13"/>
  <c r="B4056" i="13"/>
  <c r="B4052" i="13"/>
  <c r="B4048" i="13"/>
  <c r="B4044" i="13"/>
  <c r="B4040" i="13"/>
  <c r="B4036" i="13"/>
  <c r="B4032" i="13"/>
  <c r="B4028" i="13"/>
  <c r="B4024" i="13"/>
  <c r="B4020" i="13"/>
  <c r="B4016" i="13"/>
  <c r="B4012" i="13"/>
  <c r="B4008" i="13"/>
  <c r="B4004" i="13"/>
  <c r="B4000" i="13"/>
  <c r="B3996" i="13"/>
  <c r="B3992" i="13"/>
  <c r="B3988" i="13"/>
  <c r="B3984" i="13"/>
  <c r="B3980" i="13"/>
  <c r="B3976" i="13"/>
  <c r="B3972" i="13"/>
  <c r="B3968" i="13"/>
  <c r="B3964" i="13"/>
  <c r="B3960" i="13"/>
  <c r="B3956" i="13"/>
  <c r="B3952" i="13"/>
  <c r="B3948" i="13"/>
  <c r="B3944" i="13"/>
  <c r="B3940" i="13"/>
  <c r="B3936" i="13"/>
  <c r="B3932" i="13"/>
  <c r="B3928" i="13"/>
  <c r="B3924" i="13"/>
  <c r="B3920" i="13"/>
  <c r="B3916" i="13"/>
  <c r="B3912" i="13"/>
  <c r="B3908" i="13"/>
  <c r="B3904" i="13"/>
  <c r="B3900" i="13"/>
  <c r="B3896" i="13"/>
  <c r="B3892" i="13"/>
  <c r="B3888" i="13"/>
  <c r="B3884" i="13"/>
  <c r="B3880" i="13"/>
  <c r="B3876" i="13"/>
  <c r="B3872" i="13"/>
  <c r="B3868" i="13"/>
  <c r="B3864" i="13"/>
  <c r="B3860" i="13"/>
  <c r="B3856" i="13"/>
  <c r="B3852" i="13"/>
  <c r="B3848" i="13"/>
  <c r="B3844" i="13"/>
  <c r="B3840" i="13"/>
  <c r="B6948" i="13"/>
  <c r="B6790" i="13"/>
  <c r="B6614" i="13"/>
  <c r="B6336" i="13"/>
  <c r="B6208" i="13"/>
  <c r="B6080" i="13"/>
  <c r="B5964" i="13"/>
  <c r="B5944" i="13"/>
  <c r="B5908" i="13"/>
  <c r="B5824" i="13"/>
  <c r="B5756" i="13"/>
  <c r="B5731" i="13"/>
  <c r="B5710" i="13"/>
  <c r="B5699" i="13"/>
  <c r="B5678" i="13"/>
  <c r="B5667" i="13"/>
  <c r="B5646" i="13"/>
  <c r="B5635" i="13"/>
  <c r="B5626" i="13"/>
  <c r="B5618" i="13"/>
  <c r="B5610" i="13"/>
  <c r="B5602" i="13"/>
  <c r="B5594" i="13"/>
  <c r="B5586" i="13"/>
  <c r="B5578" i="13"/>
  <c r="B5570" i="13"/>
  <c r="B5562" i="13"/>
  <c r="B5554" i="13"/>
  <c r="B5546" i="13"/>
  <c r="B5538" i="13"/>
  <c r="B5530" i="13"/>
  <c r="B5522" i="13"/>
  <c r="B5514" i="13"/>
  <c r="B5506" i="13"/>
  <c r="B5498" i="13"/>
  <c r="B5490" i="13"/>
  <c r="B5482" i="13"/>
  <c r="B5474" i="13"/>
  <c r="B5466" i="13"/>
  <c r="B5458" i="13"/>
  <c r="B5450" i="13"/>
  <c r="B5442" i="13"/>
  <c r="B5434" i="13"/>
  <c r="B5426" i="13"/>
  <c r="B5418" i="13"/>
  <c r="B5410" i="13"/>
  <c r="B5402" i="13"/>
  <c r="B5394" i="13"/>
  <c r="B5386" i="13"/>
  <c r="B5378" i="13"/>
  <c r="B5370" i="13"/>
  <c r="B5362" i="13"/>
  <c r="B5354" i="13"/>
  <c r="B5346" i="13"/>
  <c r="B5338" i="13"/>
  <c r="B5330" i="13"/>
  <c r="B5322" i="13"/>
  <c r="B5314" i="13"/>
  <c r="B5306" i="13"/>
  <c r="B5298" i="13"/>
  <c r="B5290" i="13"/>
  <c r="B5282" i="13"/>
  <c r="B5274" i="13"/>
  <c r="B5266" i="13"/>
  <c r="B5258" i="13"/>
  <c r="B5250" i="13"/>
  <c r="B5242" i="13"/>
  <c r="B5234" i="13"/>
  <c r="B5226" i="13"/>
  <c r="B5218" i="13"/>
  <c r="B5210" i="13"/>
  <c r="B5202" i="13"/>
  <c r="B5194" i="13"/>
  <c r="B5186" i="13"/>
  <c r="B5178" i="13"/>
  <c r="B5170" i="13"/>
  <c r="B5162" i="13"/>
  <c r="B5154" i="13"/>
  <c r="B5146" i="13"/>
  <c r="B5138" i="13"/>
  <c r="B5130" i="13"/>
  <c r="B5122" i="13"/>
  <c r="B5114" i="13"/>
  <c r="B5106" i="13"/>
  <c r="B5098" i="13"/>
  <c r="B5090" i="13"/>
  <c r="B5082" i="13"/>
  <c r="B5074" i="13"/>
  <c r="B5066" i="13"/>
  <c r="B6598" i="13"/>
  <c r="B6385" i="13"/>
  <c r="B6160" i="13"/>
  <c r="B5702" i="13"/>
  <c r="B5647" i="13"/>
  <c r="B5579" i="13"/>
  <c r="B5515" i="13"/>
  <c r="B5451" i="13"/>
  <c r="B5387" i="13"/>
  <c r="B5323" i="13"/>
  <c r="B5259" i="13"/>
  <c r="B5195" i="13"/>
  <c r="B5131" i="13"/>
  <c r="B5067" i="13"/>
  <c r="B5038" i="13"/>
  <c r="B5023" i="13"/>
  <c r="B4995" i="13"/>
  <c r="B4938" i="13"/>
  <c r="B4910" i="13"/>
  <c r="B4895" i="13"/>
  <c r="B4867" i="13"/>
  <c r="B4810" i="13"/>
  <c r="B4782" i="13"/>
  <c r="B4767" i="13"/>
  <c r="B4739" i="13"/>
  <c r="B4683" i="13"/>
  <c r="B4662" i="13"/>
  <c r="B4651" i="13"/>
  <c r="B4630" i="13"/>
  <c r="B4619" i="13"/>
  <c r="B4598" i="13"/>
  <c r="B4587" i="13"/>
  <c r="B4566" i="13"/>
  <c r="B4555" i="13"/>
  <c r="B4534" i="13"/>
  <c r="B4523" i="13"/>
  <c r="B4502" i="13"/>
  <c r="B4491" i="13"/>
  <c r="B4470" i="13"/>
  <c r="B4459" i="13"/>
  <c r="B4438" i="13"/>
  <c r="B4427" i="13"/>
  <c r="B4406" i="13"/>
  <c r="B4395" i="13"/>
  <c r="B4374" i="13"/>
  <c r="B4363" i="13"/>
  <c r="B4342" i="13"/>
  <c r="B4331" i="13"/>
  <c r="B4310" i="13"/>
  <c r="B4299" i="13"/>
  <c r="B4278" i="13"/>
  <c r="B4267" i="13"/>
  <c r="B4246" i="13"/>
  <c r="B4235" i="13"/>
  <c r="B4214" i="13"/>
  <c r="B4203" i="13"/>
  <c r="B4182" i="13"/>
  <c r="B4171" i="13"/>
  <c r="B4150" i="13"/>
  <c r="B4139" i="13"/>
  <c r="B4118" i="13"/>
  <c r="B4107" i="13"/>
  <c r="B4086" i="13"/>
  <c r="B4075" i="13"/>
  <c r="B4054" i="13"/>
  <c r="B3834" i="13"/>
  <c r="B3820" i="13"/>
  <c r="B3811" i="13"/>
  <c r="B3802" i="13"/>
  <c r="B3788" i="13"/>
  <c r="B3779" i="13"/>
  <c r="B3770" i="13"/>
  <c r="B3756" i="13"/>
  <c r="B3747" i="13"/>
  <c r="B3738" i="13"/>
  <c r="B3724" i="13"/>
  <c r="B3715" i="13"/>
  <c r="B3706" i="13"/>
  <c r="B3692" i="13"/>
  <c r="B3683" i="13"/>
  <c r="B3674" i="13"/>
  <c r="B3660" i="13"/>
  <c r="B3651" i="13"/>
  <c r="B3642" i="13"/>
  <c r="B3628" i="13"/>
  <c r="B3619" i="13"/>
  <c r="B3610" i="13"/>
  <c r="B3596" i="13"/>
  <c r="B3587" i="13"/>
  <c r="B3578" i="13"/>
  <c r="B6522" i="13"/>
  <c r="B6380" i="13"/>
  <c r="B6256" i="13"/>
  <c r="B6032" i="13"/>
  <c r="B5856" i="13"/>
  <c r="B5730" i="13"/>
  <c r="B5670" i="13"/>
  <c r="B5619" i="13"/>
  <c r="B5555" i="13"/>
  <c r="B5491" i="13"/>
  <c r="B5427" i="13"/>
  <c r="B5363" i="13"/>
  <c r="B5299" i="13"/>
  <c r="B5235" i="13"/>
  <c r="B5171" i="13"/>
  <c r="B5107" i="13"/>
  <c r="B5050" i="13"/>
  <c r="B5022" i="13"/>
  <c r="B5007" i="13"/>
  <c r="B4979" i="13"/>
  <c r="B4922" i="13"/>
  <c r="B4894" i="13"/>
  <c r="B4879" i="13"/>
  <c r="B4851" i="13"/>
  <c r="B4794" i="13"/>
  <c r="B4766" i="13"/>
  <c r="B4751" i="13"/>
  <c r="B4723" i="13"/>
  <c r="B4682" i="13"/>
  <c r="B4671" i="13"/>
  <c r="B4650" i="13"/>
  <c r="B4639" i="13"/>
  <c r="B4618" i="13"/>
  <c r="B4607" i="13"/>
  <c r="B4586" i="13"/>
  <c r="B4575" i="13"/>
  <c r="B4554" i="13"/>
  <c r="B4543" i="13"/>
  <c r="B4522" i="13"/>
  <c r="B4511" i="13"/>
  <c r="B4490" i="13"/>
  <c r="B4479" i="13"/>
  <c r="B4458" i="13"/>
  <c r="B4447" i="13"/>
  <c r="B4426" i="13"/>
  <c r="B4415" i="13"/>
  <c r="B4394" i="13"/>
  <c r="B4383" i="13"/>
  <c r="B4362" i="13"/>
  <c r="B4351" i="13"/>
  <c r="B4330" i="13"/>
  <c r="B4319" i="13"/>
  <c r="B4298" i="13"/>
  <c r="B4287" i="13"/>
  <c r="B4266" i="13"/>
  <c r="B4255" i="13"/>
  <c r="B4234" i="13"/>
  <c r="B4223" i="13"/>
  <c r="B4202" i="13"/>
  <c r="B4191" i="13"/>
  <c r="B4170" i="13"/>
  <c r="B4159" i="13"/>
  <c r="B4138" i="13"/>
  <c r="B4127" i="13"/>
  <c r="B4106" i="13"/>
  <c r="B4095" i="13"/>
  <c r="B4074" i="13"/>
  <c r="B4063" i="13"/>
  <c r="B4046" i="13"/>
  <c r="B4035" i="13"/>
  <c r="B4030" i="13"/>
  <c r="B4019" i="13"/>
  <c r="B4014" i="13"/>
  <c r="B4003" i="13"/>
  <c r="B3998" i="13"/>
  <c r="B3987" i="13"/>
  <c r="B3982" i="13"/>
  <c r="B3971" i="13"/>
  <c r="B3966" i="13"/>
  <c r="B3955" i="13"/>
  <c r="B3950" i="13"/>
  <c r="B3939" i="13"/>
  <c r="B3934" i="13"/>
  <c r="B3923" i="13"/>
  <c r="B3918" i="13"/>
  <c r="B3907" i="13"/>
  <c r="B3902" i="13"/>
  <c r="B3891" i="13"/>
  <c r="B3886" i="13"/>
  <c r="B3875" i="13"/>
  <c r="B3870" i="13"/>
  <c r="B3859" i="13"/>
  <c r="B3854" i="13"/>
  <c r="B3843" i="13"/>
  <c r="B3838" i="13"/>
  <c r="B3824" i="13"/>
  <c r="B3815" i="13"/>
  <c r="B3806" i="13"/>
  <c r="B3792" i="13"/>
  <c r="B3783" i="13"/>
  <c r="B3774" i="13"/>
  <c r="B3760" i="13"/>
  <c r="B3751" i="13"/>
  <c r="B3742" i="13"/>
  <c r="B3728" i="13"/>
  <c r="B3719" i="13"/>
  <c r="B3710" i="13"/>
  <c r="B3696" i="13"/>
  <c r="B3687" i="13"/>
  <c r="B3678" i="13"/>
  <c r="B3664" i="13"/>
  <c r="B3655" i="13"/>
  <c r="B3646" i="13"/>
  <c r="B3632" i="13"/>
  <c r="B3623" i="13"/>
  <c r="B3614" i="13"/>
  <c r="B3600" i="13"/>
  <c r="B3591" i="13"/>
  <c r="B3582" i="13"/>
  <c r="B3568" i="13"/>
  <c r="B3564" i="13"/>
  <c r="B3560" i="13"/>
  <c r="B3556" i="13"/>
  <c r="B3552" i="13"/>
  <c r="B3548" i="13"/>
  <c r="B3544" i="13"/>
  <c r="B3540" i="13"/>
  <c r="B3536" i="13"/>
  <c r="B3532" i="13"/>
  <c r="B3528" i="13"/>
  <c r="B3524" i="13"/>
  <c r="B3520" i="13"/>
  <c r="B3516" i="13"/>
  <c r="B3512" i="13"/>
  <c r="B3508" i="13"/>
  <c r="B3504" i="13"/>
  <c r="B3500" i="13"/>
  <c r="B3496" i="13"/>
  <c r="B3492" i="13"/>
  <c r="B3488" i="13"/>
  <c r="B3484" i="13"/>
  <c r="B3480" i="13"/>
  <c r="B3476" i="13"/>
  <c r="B3472" i="13"/>
  <c r="B3468" i="13"/>
  <c r="B3464" i="13"/>
  <c r="B3460" i="13"/>
  <c r="B3456" i="13"/>
  <c r="B3452" i="13"/>
  <c r="B3448" i="13"/>
  <c r="B3444" i="13"/>
  <c r="B3440" i="13"/>
  <c r="B3436" i="13"/>
  <c r="B3432" i="13"/>
  <c r="B3428" i="13"/>
  <c r="B3424" i="13"/>
  <c r="B3420" i="13"/>
  <c r="B3416" i="13"/>
  <c r="B3412" i="13"/>
  <c r="B3408" i="13"/>
  <c r="B3404" i="13"/>
  <c r="B3400" i="13"/>
  <c r="B3396" i="13"/>
  <c r="B3392" i="13"/>
  <c r="B3388" i="13"/>
  <c r="B3384" i="13"/>
  <c r="B3380" i="13"/>
  <c r="B3376" i="13"/>
  <c r="B3372" i="13"/>
  <c r="B3368" i="13"/>
  <c r="B3364" i="13"/>
  <c r="B3360" i="13"/>
  <c r="B3356" i="13"/>
  <c r="B3352" i="13"/>
  <c r="B3348" i="13"/>
  <c r="B3344" i="13"/>
  <c r="B3340" i="13"/>
  <c r="B3336" i="13"/>
  <c r="B3332" i="13"/>
  <c r="B3328" i="13"/>
  <c r="B3324" i="13"/>
  <c r="B3320" i="13"/>
  <c r="B3316" i="13"/>
  <c r="B3312" i="13"/>
  <c r="B3308" i="13"/>
  <c r="B3304" i="13"/>
  <c r="B3300" i="13"/>
  <c r="B3296" i="13"/>
  <c r="B3292" i="13"/>
  <c r="B3288" i="13"/>
  <c r="B3284" i="13"/>
  <c r="B3280" i="13"/>
  <c r="B3276" i="13"/>
  <c r="B3272" i="13"/>
  <c r="B3268" i="13"/>
  <c r="B3264" i="13"/>
  <c r="B3260" i="13"/>
  <c r="B3256" i="13"/>
  <c r="B3252" i="13"/>
  <c r="B3248" i="13"/>
  <c r="B3244" i="13"/>
  <c r="B3240" i="13"/>
  <c r="B3236" i="13"/>
  <c r="B3232" i="13"/>
  <c r="B3228" i="13"/>
  <c r="B3224" i="13"/>
  <c r="B3220" i="13"/>
  <c r="B3216" i="13"/>
  <c r="B3212" i="13"/>
  <c r="B3208" i="13"/>
  <c r="B3204" i="13"/>
  <c r="B3200" i="13"/>
  <c r="B3196" i="13"/>
  <c r="B3192" i="13"/>
  <c r="B3188" i="13"/>
  <c r="B3184" i="13"/>
  <c r="B3180" i="13"/>
  <c r="B3176" i="13"/>
  <c r="B3172" i="13"/>
  <c r="B3168" i="13"/>
  <c r="B3164" i="13"/>
  <c r="B3160" i="13"/>
  <c r="B3156" i="13"/>
  <c r="B3152" i="13"/>
  <c r="B3148" i="13"/>
  <c r="B3144" i="13"/>
  <c r="B3140" i="13"/>
  <c r="B3136" i="13"/>
  <c r="B3132" i="13"/>
  <c r="B3128" i="13"/>
  <c r="B3124" i="13"/>
  <c r="B3120" i="13"/>
  <c r="B3116" i="13"/>
  <c r="B3112" i="13"/>
  <c r="B3108" i="13"/>
  <c r="B3104" i="13"/>
  <c r="B6128" i="13"/>
  <c r="B5940" i="13"/>
  <c r="B5844" i="13"/>
  <c r="B5723" i="13"/>
  <c r="B5698" i="13"/>
  <c r="B5638" i="13"/>
  <c r="B5595" i="13"/>
  <c r="B5531" i="13"/>
  <c r="B5467" i="13"/>
  <c r="B5403" i="13"/>
  <c r="B5339" i="13"/>
  <c r="B5275" i="13"/>
  <c r="B5211" i="13"/>
  <c r="B5147" i="13"/>
  <c r="B5083" i="13"/>
  <c r="B5034" i="13"/>
  <c r="B5006" i="13"/>
  <c r="B4991" i="13"/>
  <c r="B4963" i="13"/>
  <c r="B4906" i="13"/>
  <c r="B4878" i="13"/>
  <c r="B4863" i="13"/>
  <c r="B4835" i="13"/>
  <c r="B4778" i="13"/>
  <c r="B4750" i="13"/>
  <c r="B4735" i="13"/>
  <c r="B4707" i="13"/>
  <c r="B4670" i="13"/>
  <c r="B4659" i="13"/>
  <c r="B4638" i="13"/>
  <c r="B4627" i="13"/>
  <c r="B4606" i="13"/>
  <c r="B4595" i="13"/>
  <c r="B4574" i="13"/>
  <c r="B4563" i="13"/>
  <c r="B4542" i="13"/>
  <c r="B4531" i="13"/>
  <c r="B4510" i="13"/>
  <c r="B4499" i="13"/>
  <c r="B4478" i="13"/>
  <c r="B4467" i="13"/>
  <c r="B4446" i="13"/>
  <c r="B4435" i="13"/>
  <c r="B4414" i="13"/>
  <c r="B4403" i="13"/>
  <c r="B4382" i="13"/>
  <c r="B4371" i="13"/>
  <c r="B4350" i="13"/>
  <c r="B4339" i="13"/>
  <c r="B4318" i="13"/>
  <c r="B4307" i="13"/>
  <c r="B4286" i="13"/>
  <c r="B4275" i="13"/>
  <c r="B4254" i="13"/>
  <c r="B4243" i="13"/>
  <c r="B4222" i="13"/>
  <c r="B4211" i="13"/>
  <c r="B4190" i="13"/>
  <c r="B4179" i="13"/>
  <c r="B4158" i="13"/>
  <c r="B4147" i="13"/>
  <c r="B4126" i="13"/>
  <c r="B4115" i="13"/>
  <c r="B4094" i="13"/>
  <c r="B4083" i="13"/>
  <c r="B4062" i="13"/>
  <c r="B3828" i="13"/>
  <c r="B3819" i="13"/>
  <c r="B3810" i="13"/>
  <c r="B3796" i="13"/>
  <c r="B3787" i="13"/>
  <c r="B3778" i="13"/>
  <c r="B3764" i="13"/>
  <c r="B3755" i="13"/>
  <c r="B3746" i="13"/>
  <c r="B3732" i="13"/>
  <c r="B3723" i="13"/>
  <c r="B3714" i="13"/>
  <c r="B3700" i="13"/>
  <c r="B3691" i="13"/>
  <c r="B3682" i="13"/>
  <c r="B3668" i="13"/>
  <c r="B3659" i="13"/>
  <c r="B3650" i="13"/>
  <c r="B3636" i="13"/>
  <c r="B3627" i="13"/>
  <c r="B3618" i="13"/>
  <c r="B3604" i="13"/>
  <c r="B3595" i="13"/>
  <c r="B3586" i="13"/>
  <c r="B3572" i="13"/>
  <c r="B6000" i="13"/>
  <c r="B5722" i="13"/>
  <c r="B5691" i="13"/>
  <c r="B5666" i="13"/>
  <c r="B5571" i="13"/>
  <c r="B5507" i="13"/>
  <c r="B5443" i="13"/>
  <c r="B5379" i="13"/>
  <c r="B5315" i="13"/>
  <c r="B5251" i="13"/>
  <c r="B5187" i="13"/>
  <c r="B5123" i="13"/>
  <c r="B5018" i="13"/>
  <c r="B4990" i="13"/>
  <c r="B4975" i="13"/>
  <c r="B4947" i="13"/>
  <c r="B4890" i="13"/>
  <c r="B4862" i="13"/>
  <c r="B4847" i="13"/>
  <c r="B4819" i="13"/>
  <c r="B4762" i="13"/>
  <c r="B4734" i="13"/>
  <c r="B4719" i="13"/>
  <c r="B4691" i="13"/>
  <c r="B4679" i="13"/>
  <c r="B4658" i="13"/>
  <c r="B4647" i="13"/>
  <c r="B4626" i="13"/>
  <c r="B4615" i="13"/>
  <c r="B4594" i="13"/>
  <c r="B4583" i="13"/>
  <c r="B4562" i="13"/>
  <c r="B4551" i="13"/>
  <c r="B4530" i="13"/>
  <c r="B4519" i="13"/>
  <c r="B4498" i="13"/>
  <c r="B4487" i="13"/>
  <c r="B4466" i="13"/>
  <c r="B4455" i="13"/>
  <c r="B4434" i="13"/>
  <c r="B4423" i="13"/>
  <c r="B4402" i="13"/>
  <c r="B4391" i="13"/>
  <c r="B4370" i="13"/>
  <c r="B4359" i="13"/>
  <c r="B4338" i="13"/>
  <c r="B4327" i="13"/>
  <c r="B4306" i="13"/>
  <c r="B4295" i="13"/>
  <c r="B4274" i="13"/>
  <c r="B4263" i="13"/>
  <c r="B4242" i="13"/>
  <c r="B4231" i="13"/>
  <c r="B4210" i="13"/>
  <c r="B4199" i="13"/>
  <c r="B4178" i="13"/>
  <c r="B4167" i="13"/>
  <c r="B4146" i="13"/>
  <c r="B4135" i="13"/>
  <c r="B4114" i="13"/>
  <c r="B4103" i="13"/>
  <c r="B4082" i="13"/>
  <c r="B4071" i="13"/>
  <c r="B4051" i="13"/>
  <c r="B4039" i="13"/>
  <c r="B4034" i="13"/>
  <c r="B4023" i="13"/>
  <c r="B4018" i="13"/>
  <c r="B4007" i="13"/>
  <c r="B4002" i="13"/>
  <c r="B3991" i="13"/>
  <c r="B3986" i="13"/>
  <c r="B3975" i="13"/>
  <c r="B3970" i="13"/>
  <c r="B3959" i="13"/>
  <c r="B3954" i="13"/>
  <c r="B3943" i="13"/>
  <c r="B3938" i="13"/>
  <c r="B3927" i="13"/>
  <c r="B3922" i="13"/>
  <c r="B3911" i="13"/>
  <c r="B3906" i="13"/>
  <c r="B3895" i="13"/>
  <c r="B3890" i="13"/>
  <c r="B3879" i="13"/>
  <c r="B3874" i="13"/>
  <c r="B3863" i="13"/>
  <c r="B3858" i="13"/>
  <c r="B3847" i="13"/>
  <c r="B3842" i="13"/>
  <c r="B3832" i="13"/>
  <c r="B3823" i="13"/>
  <c r="B3814" i="13"/>
  <c r="B3800" i="13"/>
  <c r="B3791" i="13"/>
  <c r="B3782" i="13"/>
  <c r="B3768" i="13"/>
  <c r="B3759" i="13"/>
  <c r="B3750" i="13"/>
  <c r="B3736" i="13"/>
  <c r="B3727" i="13"/>
  <c r="B3718" i="13"/>
  <c r="B3704" i="13"/>
  <c r="B3695" i="13"/>
  <c r="B3686" i="13"/>
  <c r="B3672" i="13"/>
  <c r="B3663" i="13"/>
  <c r="B3654" i="13"/>
  <c r="B3640" i="13"/>
  <c r="B3631" i="13"/>
  <c r="B3622" i="13"/>
  <c r="B3608" i="13"/>
  <c r="B3599" i="13"/>
  <c r="B3590" i="13"/>
  <c r="B3576" i="13"/>
  <c r="B3567" i="13"/>
  <c r="B3563" i="13"/>
  <c r="B3559" i="13"/>
  <c r="B3555" i="13"/>
  <c r="B3551" i="13"/>
  <c r="B3547" i="13"/>
  <c r="B3543" i="13"/>
  <c r="B3539" i="13"/>
  <c r="B3535" i="13"/>
  <c r="B3531" i="13"/>
  <c r="B3527" i="13"/>
  <c r="B3523" i="13"/>
  <c r="B3519" i="13"/>
  <c r="B3515" i="13"/>
  <c r="B3511" i="13"/>
  <c r="B3507" i="13"/>
  <c r="B3503" i="13"/>
  <c r="B3499" i="13"/>
  <c r="B3495" i="13"/>
  <c r="B3491" i="13"/>
  <c r="B3487" i="13"/>
  <c r="B3483" i="13"/>
  <c r="B3479" i="13"/>
  <c r="B3475" i="13"/>
  <c r="B3471" i="13"/>
  <c r="B3467" i="13"/>
  <c r="B3463" i="13"/>
  <c r="B3459" i="13"/>
  <c r="B3455" i="13"/>
  <c r="B3451" i="13"/>
  <c r="B3447" i="13"/>
  <c r="B3443" i="13"/>
  <c r="B3439" i="13"/>
  <c r="B3435" i="13"/>
  <c r="B3431" i="13"/>
  <c r="B3427" i="13"/>
  <c r="B3423" i="13"/>
  <c r="B3419" i="13"/>
  <c r="B3415" i="13"/>
  <c r="B3411" i="13"/>
  <c r="B3407" i="13"/>
  <c r="B3403" i="13"/>
  <c r="B3399" i="13"/>
  <c r="B3395" i="13"/>
  <c r="B3391" i="13"/>
  <c r="B3387" i="13"/>
  <c r="B3383" i="13"/>
  <c r="B3379" i="13"/>
  <c r="B3375" i="13"/>
  <c r="B3371" i="13"/>
  <c r="B3367" i="13"/>
  <c r="B3363" i="13"/>
  <c r="B3359" i="13"/>
  <c r="B3355" i="13"/>
  <c r="B3351" i="13"/>
  <c r="B3347" i="13"/>
  <c r="B3343" i="13"/>
  <c r="B3339" i="13"/>
  <c r="B3335" i="13"/>
  <c r="B3331" i="13"/>
  <c r="B3327" i="13"/>
  <c r="B3323" i="13"/>
  <c r="B3319" i="13"/>
  <c r="B3315" i="13"/>
  <c r="B3311" i="13"/>
  <c r="B3307" i="13"/>
  <c r="B3303" i="13"/>
  <c r="B3299" i="13"/>
  <c r="B3295" i="13"/>
  <c r="B3291" i="13"/>
  <c r="B3287" i="13"/>
  <c r="B3283" i="13"/>
  <c r="B3279" i="13"/>
  <c r="B3275" i="13"/>
  <c r="B3271" i="13"/>
  <c r="B3267" i="13"/>
  <c r="B3263" i="13"/>
  <c r="B3259" i="13"/>
  <c r="B3255" i="13"/>
  <c r="B3251" i="13"/>
  <c r="B3247" i="13"/>
  <c r="B3243" i="13"/>
  <c r="B3239" i="13"/>
  <c r="B3235" i="13"/>
  <c r="B3231" i="13"/>
  <c r="B3227" i="13"/>
  <c r="B3223" i="13"/>
  <c r="B3219" i="13"/>
  <c r="B3215" i="13"/>
  <c r="B3211" i="13"/>
  <c r="B3207" i="13"/>
  <c r="B3203" i="13"/>
  <c r="B3199" i="13"/>
  <c r="B3195" i="13"/>
  <c r="B3191" i="13"/>
  <c r="B3187" i="13"/>
  <c r="B3183" i="13"/>
  <c r="B3179" i="13"/>
  <c r="B3175" i="13"/>
  <c r="B3171" i="13"/>
  <c r="B3167" i="13"/>
  <c r="B3163" i="13"/>
  <c r="B3159" i="13"/>
  <c r="B3155" i="13"/>
  <c r="B3151" i="13"/>
  <c r="B3147" i="13"/>
  <c r="B3143" i="13"/>
  <c r="B3139" i="13"/>
  <c r="B3135" i="13"/>
  <c r="B3131" i="13"/>
  <c r="B3127" i="13"/>
  <c r="B3123" i="13"/>
  <c r="B3119" i="13"/>
  <c r="B3115" i="13"/>
  <c r="B3111" i="13"/>
  <c r="B3107" i="13"/>
  <c r="B3103" i="13"/>
  <c r="B3099" i="13"/>
  <c r="B6662" i="13"/>
  <c r="B6176" i="13"/>
  <c r="B5740" i="13"/>
  <c r="B5711" i="13"/>
  <c r="B5655" i="13"/>
  <c r="B5627" i="13"/>
  <c r="B5563" i="13"/>
  <c r="B5499" i="13"/>
  <c r="B5435" i="13"/>
  <c r="B5371" i="13"/>
  <c r="B5307" i="13"/>
  <c r="B5243" i="13"/>
  <c r="B5179" i="13"/>
  <c r="B5115" i="13"/>
  <c r="B5055" i="13"/>
  <c r="B5027" i="13"/>
  <c r="B4970" i="13"/>
  <c r="B4942" i="13"/>
  <c r="B4927" i="13"/>
  <c r="B4899" i="13"/>
  <c r="B4842" i="13"/>
  <c r="B4814" i="13"/>
  <c r="B4799" i="13"/>
  <c r="B4771" i="13"/>
  <c r="B4714" i="13"/>
  <c r="B4686" i="13"/>
  <c r="B4675" i="13"/>
  <c r="B4654" i="13"/>
  <c r="B4643" i="13"/>
  <c r="B4622" i="13"/>
  <c r="B4611" i="13"/>
  <c r="B4590" i="13"/>
  <c r="B4579" i="13"/>
  <c r="B4558" i="13"/>
  <c r="B4547" i="13"/>
  <c r="B4526" i="13"/>
  <c r="B4515" i="13"/>
  <c r="B4494" i="13"/>
  <c r="B4483" i="13"/>
  <c r="B4462" i="13"/>
  <c r="B4451" i="13"/>
  <c r="B4430" i="13"/>
  <c r="B4419" i="13"/>
  <c r="B4398" i="13"/>
  <c r="B4387" i="13"/>
  <c r="B4366" i="13"/>
  <c r="B4355" i="13"/>
  <c r="B4334" i="13"/>
  <c r="B4323" i="13"/>
  <c r="B4302" i="13"/>
  <c r="B4291" i="13"/>
  <c r="B4270" i="13"/>
  <c r="B4259" i="13"/>
  <c r="B4238" i="13"/>
  <c r="B4227" i="13"/>
  <c r="B4206" i="13"/>
  <c r="B4195" i="13"/>
  <c r="B4174" i="13"/>
  <c r="B4163" i="13"/>
  <c r="B4142" i="13"/>
  <c r="B4131" i="13"/>
  <c r="B4110" i="13"/>
  <c r="B4099" i="13"/>
  <c r="B4078" i="13"/>
  <c r="B4067" i="13"/>
  <c r="B3835" i="13"/>
  <c r="B3826" i="13"/>
  <c r="B3812" i="13"/>
  <c r="B3803" i="13"/>
  <c r="B3794" i="13"/>
  <c r="B3780" i="13"/>
  <c r="B3771" i="13"/>
  <c r="B3762" i="13"/>
  <c r="B3748" i="13"/>
  <c r="B3739" i="13"/>
  <c r="B3730" i="13"/>
  <c r="B3716" i="13"/>
  <c r="B3707" i="13"/>
  <c r="B3698" i="13"/>
  <c r="B3684" i="13"/>
  <c r="B3675" i="13"/>
  <c r="B3666" i="13"/>
  <c r="B3652" i="13"/>
  <c r="B3643" i="13"/>
  <c r="B3634" i="13"/>
  <c r="B3620" i="13"/>
  <c r="B3611" i="13"/>
  <c r="B3602" i="13"/>
  <c r="B3588" i="13"/>
  <c r="B3579" i="13"/>
  <c r="B3570" i="13"/>
  <c r="B6398" i="13"/>
  <c r="B6288" i="13"/>
  <c r="B6048" i="13"/>
  <c r="B5912" i="13"/>
  <c r="B5734" i="13"/>
  <c r="B5679" i="13"/>
  <c r="B5603" i="13"/>
  <c r="B5539" i="13"/>
  <c r="B5475" i="13"/>
  <c r="B5411" i="13"/>
  <c r="B5347" i="13"/>
  <c r="B5283" i="13"/>
  <c r="B5219" i="13"/>
  <c r="B5155" i="13"/>
  <c r="B5091" i="13"/>
  <c r="B5054" i="13"/>
  <c r="B5039" i="13"/>
  <c r="B5011" i="13"/>
  <c r="B4954" i="13"/>
  <c r="B4926" i="13"/>
  <c r="B4911" i="13"/>
  <c r="B4883" i="13"/>
  <c r="B4826" i="13"/>
  <c r="B4798" i="13"/>
  <c r="B4783" i="13"/>
  <c r="B4755" i="13"/>
  <c r="B4698" i="13"/>
  <c r="B4674" i="13"/>
  <c r="B4663" i="13"/>
  <c r="B4642" i="13"/>
  <c r="B4631" i="13"/>
  <c r="B4610" i="13"/>
  <c r="B4599" i="13"/>
  <c r="B4578" i="13"/>
  <c r="B4567" i="13"/>
  <c r="B4546" i="13"/>
  <c r="B4535" i="13"/>
  <c r="B4514" i="13"/>
  <c r="B4503" i="13"/>
  <c r="B4482" i="13"/>
  <c r="B4471" i="13"/>
  <c r="B4450" i="13"/>
  <c r="B4439" i="13"/>
  <c r="B4418" i="13"/>
  <c r="B4407" i="13"/>
  <c r="B4386" i="13"/>
  <c r="B4375" i="13"/>
  <c r="B4354" i="13"/>
  <c r="B4343" i="13"/>
  <c r="B4322" i="13"/>
  <c r="B4311" i="13"/>
  <c r="B4290" i="13"/>
  <c r="B4279" i="13"/>
  <c r="B4258" i="13"/>
  <c r="B4247" i="13"/>
  <c r="B4226" i="13"/>
  <c r="B4215" i="13"/>
  <c r="B4194" i="13"/>
  <c r="B4183" i="13"/>
  <c r="B4162" i="13"/>
  <c r="B4151" i="13"/>
  <c r="B4130" i="13"/>
  <c r="B4119" i="13"/>
  <c r="B4098" i="13"/>
  <c r="B4087" i="13"/>
  <c r="B4066" i="13"/>
  <c r="B4055" i="13"/>
  <c r="B4047" i="13"/>
  <c r="B4042" i="13"/>
  <c r="B4031" i="13"/>
  <c r="B4026" i="13"/>
  <c r="B4015" i="13"/>
  <c r="B4010" i="13"/>
  <c r="B3999" i="13"/>
  <c r="B3994" i="13"/>
  <c r="B3983" i="13"/>
  <c r="B3978" i="13"/>
  <c r="B3967" i="13"/>
  <c r="B3962" i="13"/>
  <c r="B3951" i="13"/>
  <c r="B3946" i="13"/>
  <c r="B3935" i="13"/>
  <c r="B3930" i="13"/>
  <c r="B3919" i="13"/>
  <c r="B3914" i="13"/>
  <c r="B3903" i="13"/>
  <c r="B3898" i="13"/>
  <c r="B3887" i="13"/>
  <c r="B3882" i="13"/>
  <c r="B3871" i="13"/>
  <c r="B3866" i="13"/>
  <c r="B3855" i="13"/>
  <c r="B3850" i="13"/>
  <c r="B3839" i="13"/>
  <c r="B3830" i="13"/>
  <c r="B3816" i="13"/>
  <c r="B3807" i="13"/>
  <c r="B3798" i="13"/>
  <c r="B3784" i="13"/>
  <c r="B3775" i="13"/>
  <c r="B3766" i="13"/>
  <c r="B3752" i="13"/>
  <c r="B3743" i="13"/>
  <c r="B3734" i="13"/>
  <c r="B3720" i="13"/>
  <c r="B3711" i="13"/>
  <c r="B3702" i="13"/>
  <c r="B3688" i="13"/>
  <c r="B3679" i="13"/>
  <c r="B3670" i="13"/>
  <c r="B3656" i="13"/>
  <c r="B3647" i="13"/>
  <c r="B3638" i="13"/>
  <c r="B3624" i="13"/>
  <c r="B3615" i="13"/>
  <c r="B3606" i="13"/>
  <c r="B3592" i="13"/>
  <c r="B3583" i="13"/>
  <c r="B3574" i="13"/>
  <c r="B3565" i="13"/>
  <c r="B3561" i="13"/>
  <c r="B3557" i="13"/>
  <c r="B3553" i="13"/>
  <c r="B3549" i="13"/>
  <c r="B3545" i="13"/>
  <c r="B3541" i="13"/>
  <c r="B3537" i="13"/>
  <c r="B3533" i="13"/>
  <c r="B3529" i="13"/>
  <c r="B3525" i="13"/>
  <c r="B3521" i="13"/>
  <c r="B3517" i="13"/>
  <c r="B3513" i="13"/>
  <c r="B3509" i="13"/>
  <c r="B3505" i="13"/>
  <c r="B3501" i="13"/>
  <c r="B3497" i="13"/>
  <c r="B3493" i="13"/>
  <c r="B3489" i="13"/>
  <c r="B3485" i="13"/>
  <c r="B3481" i="13"/>
  <c r="B3477" i="13"/>
  <c r="B3473" i="13"/>
  <c r="B3469" i="13"/>
  <c r="B3465" i="13"/>
  <c r="B3461" i="13"/>
  <c r="B3457" i="13"/>
  <c r="B3453" i="13"/>
  <c r="B3449" i="13"/>
  <c r="B3445" i="13"/>
  <c r="B3441" i="13"/>
  <c r="B3437" i="13"/>
  <c r="B3433" i="13"/>
  <c r="B3429" i="13"/>
  <c r="B3425" i="13"/>
  <c r="B3421" i="13"/>
  <c r="B3417" i="13"/>
  <c r="B3413" i="13"/>
  <c r="B3409" i="13"/>
  <c r="B3405" i="13"/>
  <c r="B3401" i="13"/>
  <c r="B3397" i="13"/>
  <c r="B3393" i="13"/>
  <c r="B3389" i="13"/>
  <c r="B3385" i="13"/>
  <c r="B3381" i="13"/>
  <c r="B3377" i="13"/>
  <c r="B3373" i="13"/>
  <c r="B3369" i="13"/>
  <c r="B3365" i="13"/>
  <c r="B3361" i="13"/>
  <c r="B3357" i="13"/>
  <c r="B3353" i="13"/>
  <c r="B3349" i="13"/>
  <c r="B3345" i="13"/>
  <c r="B3341" i="13"/>
  <c r="B3337" i="13"/>
  <c r="B3333" i="13"/>
  <c r="B3329" i="13"/>
  <c r="B3325" i="13"/>
  <c r="B3321" i="13"/>
  <c r="B3317" i="13"/>
  <c r="B3313" i="13"/>
  <c r="B3309" i="13"/>
  <c r="B3305" i="13"/>
  <c r="B3301" i="13"/>
  <c r="B3297" i="13"/>
  <c r="B3293" i="13"/>
  <c r="B3289" i="13"/>
  <c r="B3285" i="13"/>
  <c r="B3281" i="13"/>
  <c r="B3277" i="13"/>
  <c r="B3273" i="13"/>
  <c r="B3269" i="13"/>
  <c r="B3265" i="13"/>
  <c r="B3261" i="13"/>
  <c r="B3257" i="13"/>
  <c r="B3253" i="13"/>
  <c r="B3249" i="13"/>
  <c r="B3245" i="13"/>
  <c r="B3241" i="13"/>
  <c r="B3237" i="13"/>
  <c r="B3233" i="13"/>
  <c r="B3229" i="13"/>
  <c r="B3225" i="13"/>
  <c r="B3221" i="13"/>
  <c r="B3217" i="13"/>
  <c r="B3213" i="13"/>
  <c r="B3209" i="13"/>
  <c r="B3205" i="13"/>
  <c r="B3201" i="13"/>
  <c r="B3197" i="13"/>
  <c r="B3193" i="13"/>
  <c r="B3189" i="13"/>
  <c r="B3185" i="13"/>
  <c r="B3181" i="13"/>
  <c r="B3177" i="13"/>
  <c r="B3173" i="13"/>
  <c r="B3169" i="13"/>
  <c r="B3165" i="13"/>
  <c r="B3161" i="13"/>
  <c r="B3157" i="13"/>
  <c r="B3153" i="13"/>
  <c r="B3149" i="13"/>
  <c r="B3145" i="13"/>
  <c r="B3141" i="13"/>
  <c r="B3137" i="13"/>
  <c r="B3133" i="13"/>
  <c r="B3129" i="13"/>
  <c r="B3125" i="13"/>
  <c r="B3121" i="13"/>
  <c r="B3117" i="13"/>
  <c r="B3113" i="13"/>
  <c r="B3109" i="13"/>
  <c r="B6806" i="13"/>
  <c r="B5690" i="13"/>
  <c r="B5419" i="13"/>
  <c r="B5163" i="13"/>
  <c r="B4959" i="13"/>
  <c r="B4846" i="13"/>
  <c r="B4678" i="13"/>
  <c r="B4635" i="13"/>
  <c r="B4550" i="13"/>
  <c r="B4507" i="13"/>
  <c r="B4422" i="13"/>
  <c r="B4379" i="13"/>
  <c r="B4294" i="13"/>
  <c r="B4251" i="13"/>
  <c r="B4166" i="13"/>
  <c r="B4123" i="13"/>
  <c r="B3795" i="13"/>
  <c r="B3740" i="13"/>
  <c r="B3722" i="13"/>
  <c r="B3667" i="13"/>
  <c r="B3612" i="13"/>
  <c r="B3594" i="13"/>
  <c r="B3214" i="13"/>
  <c r="B3182" i="13"/>
  <c r="B3150" i="13"/>
  <c r="B3118" i="13"/>
  <c r="B3096" i="13"/>
  <c r="B3092" i="13"/>
  <c r="B3088" i="13"/>
  <c r="B3084" i="13"/>
  <c r="B3080" i="13"/>
  <c r="B3076" i="13"/>
  <c r="B3072" i="13"/>
  <c r="B3068" i="13"/>
  <c r="B3064" i="13"/>
  <c r="B3060" i="13"/>
  <c r="B3056" i="13"/>
  <c r="B3052" i="13"/>
  <c r="B3048" i="13"/>
  <c r="B3044" i="13"/>
  <c r="B3040" i="13"/>
  <c r="B3036" i="13"/>
  <c r="B3032" i="13"/>
  <c r="B3028" i="13"/>
  <c r="B3024" i="13"/>
  <c r="B3020" i="13"/>
  <c r="B3016" i="13"/>
  <c r="B3012" i="13"/>
  <c r="B3008" i="13"/>
  <c r="B3004" i="13"/>
  <c r="B3000" i="13"/>
  <c r="B2996" i="13"/>
  <c r="B2992" i="13"/>
  <c r="B2988" i="13"/>
  <c r="B2984" i="13"/>
  <c r="B2980" i="13"/>
  <c r="B2976" i="13"/>
  <c r="B2972" i="13"/>
  <c r="B2968" i="13"/>
  <c r="B2964" i="13"/>
  <c r="B2960" i="13"/>
  <c r="B2956" i="13"/>
  <c r="B2952" i="13"/>
  <c r="B2948" i="13"/>
  <c r="B2944" i="13"/>
  <c r="B2940" i="13"/>
  <c r="B2936" i="13"/>
  <c r="B2932" i="13"/>
  <c r="B2928" i="13"/>
  <c r="B2924" i="13"/>
  <c r="B2920" i="13"/>
  <c r="B2916" i="13"/>
  <c r="B2912" i="13"/>
  <c r="B2908" i="13"/>
  <c r="B2904" i="13"/>
  <c r="B2900" i="13"/>
  <c r="B2896" i="13"/>
  <c r="B2892" i="13"/>
  <c r="B2888" i="13"/>
  <c r="B2884" i="13"/>
  <c r="B2880" i="13"/>
  <c r="B2876" i="13"/>
  <c r="B2872" i="13"/>
  <c r="B2868" i="13"/>
  <c r="B2864" i="13"/>
  <c r="B2860" i="13"/>
  <c r="B2856" i="13"/>
  <c r="B2852" i="13"/>
  <c r="B2848" i="13"/>
  <c r="B2844" i="13"/>
  <c r="B2840" i="13"/>
  <c r="B2836" i="13"/>
  <c r="B2832" i="13"/>
  <c r="B2828" i="13"/>
  <c r="B2824" i="13"/>
  <c r="B2820" i="13"/>
  <c r="B2816" i="13"/>
  <c r="B2812" i="13"/>
  <c r="B2808" i="13"/>
  <c r="B2804" i="13"/>
  <c r="B2800" i="13"/>
  <c r="B2796" i="13"/>
  <c r="B2792" i="13"/>
  <c r="B2788" i="13"/>
  <c r="B2784" i="13"/>
  <c r="B2780" i="13"/>
  <c r="B2776" i="13"/>
  <c r="B2772" i="13"/>
  <c r="B2768" i="13"/>
  <c r="B2764" i="13"/>
  <c r="B2760" i="13"/>
  <c r="B2756" i="13"/>
  <c r="B2752" i="13"/>
  <c r="B2748" i="13"/>
  <c r="B2744" i="13"/>
  <c r="B2740" i="13"/>
  <c r="B2736" i="13"/>
  <c r="B2732" i="13"/>
  <c r="B2728" i="13"/>
  <c r="B2724" i="13"/>
  <c r="B2720" i="13"/>
  <c r="B2716" i="13"/>
  <c r="B2712" i="13"/>
  <c r="B2708" i="13"/>
  <c r="B2704" i="13"/>
  <c r="B2700" i="13"/>
  <c r="B2696" i="13"/>
  <c r="B2692" i="13"/>
  <c r="B2688" i="13"/>
  <c r="B2684" i="13"/>
  <c r="B2680" i="13"/>
  <c r="B2676" i="13"/>
  <c r="B2672" i="13"/>
  <c r="B2668" i="13"/>
  <c r="B2664" i="13"/>
  <c r="B2660" i="13"/>
  <c r="B2656" i="13"/>
  <c r="B2652" i="13"/>
  <c r="B2648" i="13"/>
  <c r="B2644" i="13"/>
  <c r="B2640" i="13"/>
  <c r="B2636" i="13"/>
  <c r="B2632" i="13"/>
  <c r="B2628" i="13"/>
  <c r="B2624" i="13"/>
  <c r="B2620" i="13"/>
  <c r="B2616" i="13"/>
  <c r="B2612" i="13"/>
  <c r="B2608" i="13"/>
  <c r="B2604" i="13"/>
  <c r="B2600" i="13"/>
  <c r="B2596" i="13"/>
  <c r="B2592" i="13"/>
  <c r="B2588" i="13"/>
  <c r="B2584" i="13"/>
  <c r="B2580" i="13"/>
  <c r="B2576" i="13"/>
  <c r="B2572" i="13"/>
  <c r="B2568" i="13"/>
  <c r="B2564" i="13"/>
  <c r="B2560" i="13"/>
  <c r="B2556" i="13"/>
  <c r="B2552" i="13"/>
  <c r="B2548" i="13"/>
  <c r="B2544" i="13"/>
  <c r="B2540" i="13"/>
  <c r="B2536" i="13"/>
  <c r="B2532" i="13"/>
  <c r="B2528" i="13"/>
  <c r="B2524" i="13"/>
  <c r="B2520" i="13"/>
  <c r="B2516" i="13"/>
  <c r="B2512" i="13"/>
  <c r="B2508" i="13"/>
  <c r="B2504" i="13"/>
  <c r="B2500" i="13"/>
  <c r="B2496" i="13"/>
  <c r="B2492" i="13"/>
  <c r="B2488" i="13"/>
  <c r="B2484" i="13"/>
  <c r="B2480" i="13"/>
  <c r="B2476" i="13"/>
  <c r="B2472" i="13"/>
  <c r="B2468" i="13"/>
  <c r="B2464" i="13"/>
  <c r="B2460" i="13"/>
  <c r="B2456" i="13"/>
  <c r="B2452" i="13"/>
  <c r="B2448" i="13"/>
  <c r="B2444" i="13"/>
  <c r="B2440" i="13"/>
  <c r="B2436" i="13"/>
  <c r="B2432" i="13"/>
  <c r="B2428" i="13"/>
  <c r="B2424" i="13"/>
  <c r="B2420" i="13"/>
  <c r="B2416" i="13"/>
  <c r="B2412" i="13"/>
  <c r="B2408" i="13"/>
  <c r="B2404" i="13"/>
  <c r="B2400" i="13"/>
  <c r="B2396" i="13"/>
  <c r="B2392" i="13"/>
  <c r="B2388" i="13"/>
  <c r="B2384" i="13"/>
  <c r="B2380" i="13"/>
  <c r="B2376" i="13"/>
  <c r="B2372" i="13"/>
  <c r="B2368" i="13"/>
  <c r="B2364" i="13"/>
  <c r="B2360" i="13"/>
  <c r="B2356" i="13"/>
  <c r="B2352" i="13"/>
  <c r="B2348" i="13"/>
  <c r="B2344" i="13"/>
  <c r="B2340" i="13"/>
  <c r="B2336" i="13"/>
  <c r="B2332" i="13"/>
  <c r="B2328" i="13"/>
  <c r="B2324" i="13"/>
  <c r="B2320" i="13"/>
  <c r="B2316" i="13"/>
  <c r="B2312" i="13"/>
  <c r="B2308" i="13"/>
  <c r="B2304" i="13"/>
  <c r="B2300" i="13"/>
  <c r="B2296" i="13"/>
  <c r="B2292" i="13"/>
  <c r="B2288" i="13"/>
  <c r="B2284" i="13"/>
  <c r="B2280" i="13"/>
  <c r="B2276" i="13"/>
  <c r="B2272" i="13"/>
  <c r="B2268" i="13"/>
  <c r="B2264" i="13"/>
  <c r="B2260" i="13"/>
  <c r="B2256" i="13"/>
  <c r="B2252" i="13"/>
  <c r="B2248" i="13"/>
  <c r="B2244" i="13"/>
  <c r="B2240" i="13"/>
  <c r="B2236" i="13"/>
  <c r="B2232" i="13"/>
  <c r="B2228" i="13"/>
  <c r="B2224" i="13"/>
  <c r="B2220" i="13"/>
  <c r="B2216" i="13"/>
  <c r="B2212" i="13"/>
  <c r="B2208" i="13"/>
  <c r="B2204" i="13"/>
  <c r="B2200" i="13"/>
  <c r="B2196" i="13"/>
  <c r="B2192" i="13"/>
  <c r="B2188" i="13"/>
  <c r="B2184" i="13"/>
  <c r="B2180" i="13"/>
  <c r="B5687" i="13"/>
  <c r="B5587" i="13"/>
  <c r="B5331" i="13"/>
  <c r="B5075" i="13"/>
  <c r="B4958" i="13"/>
  <c r="B4787" i="13"/>
  <c r="B4730" i="13"/>
  <c r="B4634" i="13"/>
  <c r="B4591" i="13"/>
  <c r="B4506" i="13"/>
  <c r="B4463" i="13"/>
  <c r="B4378" i="13"/>
  <c r="B4335" i="13"/>
  <c r="B4250" i="13"/>
  <c r="B4207" i="13"/>
  <c r="B4122" i="13"/>
  <c r="B4079" i="13"/>
  <c r="B4043" i="13"/>
  <c r="B4022" i="13"/>
  <c r="B3979" i="13"/>
  <c r="B3958" i="13"/>
  <c r="B3915" i="13"/>
  <c r="B3894" i="13"/>
  <c r="B3851" i="13"/>
  <c r="B3831" i="13"/>
  <c r="B3776" i="13"/>
  <c r="B3758" i="13"/>
  <c r="B3703" i="13"/>
  <c r="B3648" i="13"/>
  <c r="B3630" i="13"/>
  <c r="B3575" i="13"/>
  <c r="B3558" i="13"/>
  <c r="B3542" i="13"/>
  <c r="B3526" i="13"/>
  <c r="B3510" i="13"/>
  <c r="B3494" i="13"/>
  <c r="B3478" i="13"/>
  <c r="B3462" i="13"/>
  <c r="B3446" i="13"/>
  <c r="B3430" i="13"/>
  <c r="B3414" i="13"/>
  <c r="B3398" i="13"/>
  <c r="B3382" i="13"/>
  <c r="B3366" i="13"/>
  <c r="B3350" i="13"/>
  <c r="B3334" i="13"/>
  <c r="B3318" i="13"/>
  <c r="B3302" i="13"/>
  <c r="B3286" i="13"/>
  <c r="B3270" i="13"/>
  <c r="B3254" i="13"/>
  <c r="B3238" i="13"/>
  <c r="B3194" i="13"/>
  <c r="B3162" i="13"/>
  <c r="B3130" i="13"/>
  <c r="B3105" i="13"/>
  <c r="B3100" i="13"/>
  <c r="B6446" i="13"/>
  <c r="B5792" i="13"/>
  <c r="B5659" i="13"/>
  <c r="B5483" i="13"/>
  <c r="B5227" i="13"/>
  <c r="B5059" i="13"/>
  <c r="B5002" i="13"/>
  <c r="B4831" i="13"/>
  <c r="B4718" i="13"/>
  <c r="B4667" i="13"/>
  <c r="B4582" i="13"/>
  <c r="B4539" i="13"/>
  <c r="B4454" i="13"/>
  <c r="B4411" i="13"/>
  <c r="B4326" i="13"/>
  <c r="B4283" i="13"/>
  <c r="B4198" i="13"/>
  <c r="B4155" i="13"/>
  <c r="B4070" i="13"/>
  <c r="B3827" i="13"/>
  <c r="B3772" i="13"/>
  <c r="B3754" i="13"/>
  <c r="B3699" i="13"/>
  <c r="B3644" i="13"/>
  <c r="B3626" i="13"/>
  <c r="B3571" i="13"/>
  <c r="B3226" i="13"/>
  <c r="B3206" i="13"/>
  <c r="B3174" i="13"/>
  <c r="B3142" i="13"/>
  <c r="B3110" i="13"/>
  <c r="B3095" i="13"/>
  <c r="B3091" i="13"/>
  <c r="B3087" i="13"/>
  <c r="B3083" i="13"/>
  <c r="B3079" i="13"/>
  <c r="B3075" i="13"/>
  <c r="B3071" i="13"/>
  <c r="B3067" i="13"/>
  <c r="B3063" i="13"/>
  <c r="B3059" i="13"/>
  <c r="B3055" i="13"/>
  <c r="B3051" i="13"/>
  <c r="B3047" i="13"/>
  <c r="B3043" i="13"/>
  <c r="B3039" i="13"/>
  <c r="B3035" i="13"/>
  <c r="B3031" i="13"/>
  <c r="B3027" i="13"/>
  <c r="B3023" i="13"/>
  <c r="B3019" i="13"/>
  <c r="B3015" i="13"/>
  <c r="B3011" i="13"/>
  <c r="B3007" i="13"/>
  <c r="B3003" i="13"/>
  <c r="B2999" i="13"/>
  <c r="B2995" i="13"/>
  <c r="B2991" i="13"/>
  <c r="B2987" i="13"/>
  <c r="B2983" i="13"/>
  <c r="B2979" i="13"/>
  <c r="B2975" i="13"/>
  <c r="B2971" i="13"/>
  <c r="B2967" i="13"/>
  <c r="B2963" i="13"/>
  <c r="B2959" i="13"/>
  <c r="B2955" i="13"/>
  <c r="B2951" i="13"/>
  <c r="B2947" i="13"/>
  <c r="B2943" i="13"/>
  <c r="B2939" i="13"/>
  <c r="B2935" i="13"/>
  <c r="B2931" i="13"/>
  <c r="B2927" i="13"/>
  <c r="B2923" i="13"/>
  <c r="B2919" i="13"/>
  <c r="B2915" i="13"/>
  <c r="B2911" i="13"/>
  <c r="B2907" i="13"/>
  <c r="B2903" i="13"/>
  <c r="B2899" i="13"/>
  <c r="B2895" i="13"/>
  <c r="B2891" i="13"/>
  <c r="B2887" i="13"/>
  <c r="B2883" i="13"/>
  <c r="B2879" i="13"/>
  <c r="B2875" i="13"/>
  <c r="B2871" i="13"/>
  <c r="B2867" i="13"/>
  <c r="B2863" i="13"/>
  <c r="B2859" i="13"/>
  <c r="B2855" i="13"/>
  <c r="B2851" i="13"/>
  <c r="B2847" i="13"/>
  <c r="B2843" i="13"/>
  <c r="B2839" i="13"/>
  <c r="B2835" i="13"/>
  <c r="B2831" i="13"/>
  <c r="B2827" i="13"/>
  <c r="B2823" i="13"/>
  <c r="B2819" i="13"/>
  <c r="B2815" i="13"/>
  <c r="B2811" i="13"/>
  <c r="B2807" i="13"/>
  <c r="B2803" i="13"/>
  <c r="B2799" i="13"/>
  <c r="B2795" i="13"/>
  <c r="B2791" i="13"/>
  <c r="B2787" i="13"/>
  <c r="B2783" i="13"/>
  <c r="B2779" i="13"/>
  <c r="B2775" i="13"/>
  <c r="B2771" i="13"/>
  <c r="B2767" i="13"/>
  <c r="B2763" i="13"/>
  <c r="B2759" i="13"/>
  <c r="B2755" i="13"/>
  <c r="B2751" i="13"/>
  <c r="B2747" i="13"/>
  <c r="B2743" i="13"/>
  <c r="B2739" i="13"/>
  <c r="B2735" i="13"/>
  <c r="B2731" i="13"/>
  <c r="B2727" i="13"/>
  <c r="B2723" i="13"/>
  <c r="B2719" i="13"/>
  <c r="B2715" i="13"/>
  <c r="B2711" i="13"/>
  <c r="B2707" i="13"/>
  <c r="B2703" i="13"/>
  <c r="B2699" i="13"/>
  <c r="B2695" i="13"/>
  <c r="B2691" i="13"/>
  <c r="B2687" i="13"/>
  <c r="B2683" i="13"/>
  <c r="B2679" i="13"/>
  <c r="B2675" i="13"/>
  <c r="B2671" i="13"/>
  <c r="B2667" i="13"/>
  <c r="B2663" i="13"/>
  <c r="B2659" i="13"/>
  <c r="B2655" i="13"/>
  <c r="B2651" i="13"/>
  <c r="B2647" i="13"/>
  <c r="B2643" i="13"/>
  <c r="B2639" i="13"/>
  <c r="B2635" i="13"/>
  <c r="B2631" i="13"/>
  <c r="B2627" i="13"/>
  <c r="B2623" i="13"/>
  <c r="B2619" i="13"/>
  <c r="B2615" i="13"/>
  <c r="B2611" i="13"/>
  <c r="B2607" i="13"/>
  <c r="B2603" i="13"/>
  <c r="B2599" i="13"/>
  <c r="B2595" i="13"/>
  <c r="B2591" i="13"/>
  <c r="B2587" i="13"/>
  <c r="B2583" i="13"/>
  <c r="B2579" i="13"/>
  <c r="B2575" i="13"/>
  <c r="B2571" i="13"/>
  <c r="B2567" i="13"/>
  <c r="B2563" i="13"/>
  <c r="B2559" i="13"/>
  <c r="B2555" i="13"/>
  <c r="B2551" i="13"/>
  <c r="B2547" i="13"/>
  <c r="B2543" i="13"/>
  <c r="B2539" i="13"/>
  <c r="B2535" i="13"/>
  <c r="B2531" i="13"/>
  <c r="B2527" i="13"/>
  <c r="B2523" i="13"/>
  <c r="B2519" i="13"/>
  <c r="B2515" i="13"/>
  <c r="B2511" i="13"/>
  <c r="B2507" i="13"/>
  <c r="B2503" i="13"/>
  <c r="B2499" i="13"/>
  <c r="B2495" i="13"/>
  <c r="B2491" i="13"/>
  <c r="B2487" i="13"/>
  <c r="B2483" i="13"/>
  <c r="B2479" i="13"/>
  <c r="B2475" i="13"/>
  <c r="B2471" i="13"/>
  <c r="B2467" i="13"/>
  <c r="B2463" i="13"/>
  <c r="B2459" i="13"/>
  <c r="B2455" i="13"/>
  <c r="B2451" i="13"/>
  <c r="B2447" i="13"/>
  <c r="B2443" i="13"/>
  <c r="B2439" i="13"/>
  <c r="B2435" i="13"/>
  <c r="B2431" i="13"/>
  <c r="B2427" i="13"/>
  <c r="B2423" i="13"/>
  <c r="B2419" i="13"/>
  <c r="B2415" i="13"/>
  <c r="B2411" i="13"/>
  <c r="B2407" i="13"/>
  <c r="B2403" i="13"/>
  <c r="B2399" i="13"/>
  <c r="B2395" i="13"/>
  <c r="B2391" i="13"/>
  <c r="B2387" i="13"/>
  <c r="B2383" i="13"/>
  <c r="B2379" i="13"/>
  <c r="B2375" i="13"/>
  <c r="B2371" i="13"/>
  <c r="B2367" i="13"/>
  <c r="B2363" i="13"/>
  <c r="B2359" i="13"/>
  <c r="B2355" i="13"/>
  <c r="B2351" i="13"/>
  <c r="B2347" i="13"/>
  <c r="B2343" i="13"/>
  <c r="B2339" i="13"/>
  <c r="B2335" i="13"/>
  <c r="B2331" i="13"/>
  <c r="B2327" i="13"/>
  <c r="B2323" i="13"/>
  <c r="B2319" i="13"/>
  <c r="B2315" i="13"/>
  <c r="B2311" i="13"/>
  <c r="B2307" i="13"/>
  <c r="B2303" i="13"/>
  <c r="B2299" i="13"/>
  <c r="B2295" i="13"/>
  <c r="B2291" i="13"/>
  <c r="B2287" i="13"/>
  <c r="B2283" i="13"/>
  <c r="B2279" i="13"/>
  <c r="B2275" i="13"/>
  <c r="B2271" i="13"/>
  <c r="B2267" i="13"/>
  <c r="B2263" i="13"/>
  <c r="B2259" i="13"/>
  <c r="B2255" i="13"/>
  <c r="B2251" i="13"/>
  <c r="B2247" i="13"/>
  <c r="B2243" i="13"/>
  <c r="B2239" i="13"/>
  <c r="B2235" i="13"/>
  <c r="B2231" i="13"/>
  <c r="B2227" i="13"/>
  <c r="B2223" i="13"/>
  <c r="B2219" i="13"/>
  <c r="B2215" i="13"/>
  <c r="B2211" i="13"/>
  <c r="B2207" i="13"/>
  <c r="B2203" i="13"/>
  <c r="B2199" i="13"/>
  <c r="B2195" i="13"/>
  <c r="B2191" i="13"/>
  <c r="B2187" i="13"/>
  <c r="B2183" i="13"/>
  <c r="B2179" i="13"/>
  <c r="B2175" i="13"/>
  <c r="B2171" i="13"/>
  <c r="B2167" i="13"/>
  <c r="B2163" i="13"/>
  <c r="B2159" i="13"/>
  <c r="B2155" i="13"/>
  <c r="B2151" i="13"/>
  <c r="B2147" i="13"/>
  <c r="B2143" i="13"/>
  <c r="B2139" i="13"/>
  <c r="B2135" i="13"/>
  <c r="B2131" i="13"/>
  <c r="B5658" i="13"/>
  <c r="B5395" i="13"/>
  <c r="B5139" i="13"/>
  <c r="B4943" i="13"/>
  <c r="B4830" i="13"/>
  <c r="B4666" i="13"/>
  <c r="B4623" i="13"/>
  <c r="B4538" i="13"/>
  <c r="B4495" i="13"/>
  <c r="B4410" i="13"/>
  <c r="B4367" i="13"/>
  <c r="B4282" i="13"/>
  <c r="B4239" i="13"/>
  <c r="B4154" i="13"/>
  <c r="B4111" i="13"/>
  <c r="B4038" i="13"/>
  <c r="B3995" i="13"/>
  <c r="B3974" i="13"/>
  <c r="B3931" i="13"/>
  <c r="B3910" i="13"/>
  <c r="B3867" i="13"/>
  <c r="B3846" i="13"/>
  <c r="B3808" i="13"/>
  <c r="B3790" i="13"/>
  <c r="B3735" i="13"/>
  <c r="B3680" i="13"/>
  <c r="B3662" i="13"/>
  <c r="B3607" i="13"/>
  <c r="B3554" i="13"/>
  <c r="B3538" i="13"/>
  <c r="B3522" i="13"/>
  <c r="B3506" i="13"/>
  <c r="B3490" i="13"/>
  <c r="B3474" i="13"/>
  <c r="B3458" i="13"/>
  <c r="B3442" i="13"/>
  <c r="B3426" i="13"/>
  <c r="B3410" i="13"/>
  <c r="B3394" i="13"/>
  <c r="B3378" i="13"/>
  <c r="B3362" i="13"/>
  <c r="B3346" i="13"/>
  <c r="B3330" i="13"/>
  <c r="B3314" i="13"/>
  <c r="B3298" i="13"/>
  <c r="B3282" i="13"/>
  <c r="B3266" i="13"/>
  <c r="B3250" i="13"/>
  <c r="B3234" i="13"/>
  <c r="B3218" i="13"/>
  <c r="B3186" i="13"/>
  <c r="B3154" i="13"/>
  <c r="B3122" i="13"/>
  <c r="B5880" i="13"/>
  <c r="B5719" i="13"/>
  <c r="B5611" i="13"/>
  <c r="B5355" i="13"/>
  <c r="B5099" i="13"/>
  <c r="B4974" i="13"/>
  <c r="B4803" i="13"/>
  <c r="B4746" i="13"/>
  <c r="B4646" i="13"/>
  <c r="B4603" i="13"/>
  <c r="B4518" i="13"/>
  <c r="B4475" i="13"/>
  <c r="B4390" i="13"/>
  <c r="B4347" i="13"/>
  <c r="B4262" i="13"/>
  <c r="B4219" i="13"/>
  <c r="B4134" i="13"/>
  <c r="B4091" i="13"/>
  <c r="B4050" i="13"/>
  <c r="B3836" i="13"/>
  <c r="B3818" i="13"/>
  <c r="B3763" i="13"/>
  <c r="B3708" i="13"/>
  <c r="B3690" i="13"/>
  <c r="B3635" i="13"/>
  <c r="B3580" i="13"/>
  <c r="B3230" i="13"/>
  <c r="B3222" i="13"/>
  <c r="B3190" i="13"/>
  <c r="B3158" i="13"/>
  <c r="B3126" i="13"/>
  <c r="B3097" i="13"/>
  <c r="B3093" i="13"/>
  <c r="B3089" i="13"/>
  <c r="B3085" i="13"/>
  <c r="B3081" i="13"/>
  <c r="B3077" i="13"/>
  <c r="B3073" i="13"/>
  <c r="B3069" i="13"/>
  <c r="B3065" i="13"/>
  <c r="B3061" i="13"/>
  <c r="B3057" i="13"/>
  <c r="B3053" i="13"/>
  <c r="B3049" i="13"/>
  <c r="B3045" i="13"/>
  <c r="B3041" i="13"/>
  <c r="B3037" i="13"/>
  <c r="B3033" i="13"/>
  <c r="B3029" i="13"/>
  <c r="B3025" i="13"/>
  <c r="B3021" i="13"/>
  <c r="B3017" i="13"/>
  <c r="B3013" i="13"/>
  <c r="B3009" i="13"/>
  <c r="B3005" i="13"/>
  <c r="B3001" i="13"/>
  <c r="B2997" i="13"/>
  <c r="B2993" i="13"/>
  <c r="B2989" i="13"/>
  <c r="B2985" i="13"/>
  <c r="B2981" i="13"/>
  <c r="B2977" i="13"/>
  <c r="B2973" i="13"/>
  <c r="B2969" i="13"/>
  <c r="B2965" i="13"/>
  <c r="B2961" i="13"/>
  <c r="B2957" i="13"/>
  <c r="B2953" i="13"/>
  <c r="B2949" i="13"/>
  <c r="B2945" i="13"/>
  <c r="B2941" i="13"/>
  <c r="B2937" i="13"/>
  <c r="B2933" i="13"/>
  <c r="B2929" i="13"/>
  <c r="B2925" i="13"/>
  <c r="B2921" i="13"/>
  <c r="B2917" i="13"/>
  <c r="B2913" i="13"/>
  <c r="B2909" i="13"/>
  <c r="B2905" i="13"/>
  <c r="B2901" i="13"/>
  <c r="B2897" i="13"/>
  <c r="B2893" i="13"/>
  <c r="B2889" i="13"/>
  <c r="B2885" i="13"/>
  <c r="B2881" i="13"/>
  <c r="B2877" i="13"/>
  <c r="B2873" i="13"/>
  <c r="B2869" i="13"/>
  <c r="B2865" i="13"/>
  <c r="B2861" i="13"/>
  <c r="B2857" i="13"/>
  <c r="B2853" i="13"/>
  <c r="B2849" i="13"/>
  <c r="B2845" i="13"/>
  <c r="B2841" i="13"/>
  <c r="B2837" i="13"/>
  <c r="B2833" i="13"/>
  <c r="B2829" i="13"/>
  <c r="B2825" i="13"/>
  <c r="B2821" i="13"/>
  <c r="B2817" i="13"/>
  <c r="B2813" i="13"/>
  <c r="B2809" i="13"/>
  <c r="B2805" i="13"/>
  <c r="B2801" i="13"/>
  <c r="B2797" i="13"/>
  <c r="B2793" i="13"/>
  <c r="B2789" i="13"/>
  <c r="B2785" i="13"/>
  <c r="B2781" i="13"/>
  <c r="B2777" i="13"/>
  <c r="B2773" i="13"/>
  <c r="B2769" i="13"/>
  <c r="B2765" i="13"/>
  <c r="B2761" i="13"/>
  <c r="B2757" i="13"/>
  <c r="B2753" i="13"/>
  <c r="B2749" i="13"/>
  <c r="B2745" i="13"/>
  <c r="B2741" i="13"/>
  <c r="B2737" i="13"/>
  <c r="B2733" i="13"/>
  <c r="B2729" i="13"/>
  <c r="B2725" i="13"/>
  <c r="B2721" i="13"/>
  <c r="B2717" i="13"/>
  <c r="B2713" i="13"/>
  <c r="B2709" i="13"/>
  <c r="B2705" i="13"/>
  <c r="B2701" i="13"/>
  <c r="B2697" i="13"/>
  <c r="B2693" i="13"/>
  <c r="B2689" i="13"/>
  <c r="B2685" i="13"/>
  <c r="B2681" i="13"/>
  <c r="B2677" i="13"/>
  <c r="B2673" i="13"/>
  <c r="B2669" i="13"/>
  <c r="B2665" i="13"/>
  <c r="B2661" i="13"/>
  <c r="B2657" i="13"/>
  <c r="B2653" i="13"/>
  <c r="B2649" i="13"/>
  <c r="B2645" i="13"/>
  <c r="B2641" i="13"/>
  <c r="B2637" i="13"/>
  <c r="B2633" i="13"/>
  <c r="B2629" i="13"/>
  <c r="B2625" i="13"/>
  <c r="B2621" i="13"/>
  <c r="B2617" i="13"/>
  <c r="B2613" i="13"/>
  <c r="B2609" i="13"/>
  <c r="B2605" i="13"/>
  <c r="B2601" i="13"/>
  <c r="B2597" i="13"/>
  <c r="B2593" i="13"/>
  <c r="B2589" i="13"/>
  <c r="B2585" i="13"/>
  <c r="B2581" i="13"/>
  <c r="B2577" i="13"/>
  <c r="B2573" i="13"/>
  <c r="B2569" i="13"/>
  <c r="B2565" i="13"/>
  <c r="B2561" i="13"/>
  <c r="B2557" i="13"/>
  <c r="B2553" i="13"/>
  <c r="B2549" i="13"/>
  <c r="B2545" i="13"/>
  <c r="B2541" i="13"/>
  <c r="B2537" i="13"/>
  <c r="B2533" i="13"/>
  <c r="B2529" i="13"/>
  <c r="B2525" i="13"/>
  <c r="B2521" i="13"/>
  <c r="B2517" i="13"/>
  <c r="B2513" i="13"/>
  <c r="B2509" i="13"/>
  <c r="B2505" i="13"/>
  <c r="B2501" i="13"/>
  <c r="B2497" i="13"/>
  <c r="B2493" i="13"/>
  <c r="B2489" i="13"/>
  <c r="B2485" i="13"/>
  <c r="B2481" i="13"/>
  <c r="B2477" i="13"/>
  <c r="B2473" i="13"/>
  <c r="B2469" i="13"/>
  <c r="B2465" i="13"/>
  <c r="B2461" i="13"/>
  <c r="B2457" i="13"/>
  <c r="B2453" i="13"/>
  <c r="B2449" i="13"/>
  <c r="B2445" i="13"/>
  <c r="B2441" i="13"/>
  <c r="B2437" i="13"/>
  <c r="B2433" i="13"/>
  <c r="B2429" i="13"/>
  <c r="B2425" i="13"/>
  <c r="B2421" i="13"/>
  <c r="B2417" i="13"/>
  <c r="B2413" i="13"/>
  <c r="B2409" i="13"/>
  <c r="B2405" i="13"/>
  <c r="B2401" i="13"/>
  <c r="B2397" i="13"/>
  <c r="B2393" i="13"/>
  <c r="B2389" i="13"/>
  <c r="B2385" i="13"/>
  <c r="B2381" i="13"/>
  <c r="B2377" i="13"/>
  <c r="B2373" i="13"/>
  <c r="B2369" i="13"/>
  <c r="B2365" i="13"/>
  <c r="B2361" i="13"/>
  <c r="B2357" i="13"/>
  <c r="B2353" i="13"/>
  <c r="B2349" i="13"/>
  <c r="B2345" i="13"/>
  <c r="B2341" i="13"/>
  <c r="B2337" i="13"/>
  <c r="B2333" i="13"/>
  <c r="B2329" i="13"/>
  <c r="B2325" i="13"/>
  <c r="B2321" i="13"/>
  <c r="B2317" i="13"/>
  <c r="B2313" i="13"/>
  <c r="B2309" i="13"/>
  <c r="B2305" i="13"/>
  <c r="B2301" i="13"/>
  <c r="B2297" i="13"/>
  <c r="B2293" i="13"/>
  <c r="B2289" i="13"/>
  <c r="B2285" i="13"/>
  <c r="B2281" i="13"/>
  <c r="B2277" i="13"/>
  <c r="B2273" i="13"/>
  <c r="B2269" i="13"/>
  <c r="B2265" i="13"/>
  <c r="B2261" i="13"/>
  <c r="B2257" i="13"/>
  <c r="B2253" i="13"/>
  <c r="B2249" i="13"/>
  <c r="B2245" i="13"/>
  <c r="B2241" i="13"/>
  <c r="B2237" i="13"/>
  <c r="B2233" i="13"/>
  <c r="B2229" i="13"/>
  <c r="B2225" i="13"/>
  <c r="B2221" i="13"/>
  <c r="B2217" i="13"/>
  <c r="B2213" i="13"/>
  <c r="B2209" i="13"/>
  <c r="B2205" i="13"/>
  <c r="B2201" i="13"/>
  <c r="B2197" i="13"/>
  <c r="B2193" i="13"/>
  <c r="B2189" i="13"/>
  <c r="B5876" i="13"/>
  <c r="B5523" i="13"/>
  <c r="B5267" i="13"/>
  <c r="B4915" i="13"/>
  <c r="B4858" i="13"/>
  <c r="B4687" i="13"/>
  <c r="B4602" i="13"/>
  <c r="B4559" i="13"/>
  <c r="B4474" i="13"/>
  <c r="B4431" i="13"/>
  <c r="B4346" i="13"/>
  <c r="B4303" i="13"/>
  <c r="B4218" i="13"/>
  <c r="B4175" i="13"/>
  <c r="B4090" i="13"/>
  <c r="B4027" i="13"/>
  <c r="B4006" i="13"/>
  <c r="B3963" i="13"/>
  <c r="B3942" i="13"/>
  <c r="B3899" i="13"/>
  <c r="B3878" i="13"/>
  <c r="B3799" i="13"/>
  <c r="B3744" i="13"/>
  <c r="B3726" i="13"/>
  <c r="B3671" i="13"/>
  <c r="B3616" i="13"/>
  <c r="B3598" i="13"/>
  <c r="B3562" i="13"/>
  <c r="B3546" i="13"/>
  <c r="B3530" i="13"/>
  <c r="B3514" i="13"/>
  <c r="B3498" i="13"/>
  <c r="B3482" i="13"/>
  <c r="B3466" i="13"/>
  <c r="B3450" i="13"/>
  <c r="B3434" i="13"/>
  <c r="B3418" i="13"/>
  <c r="B3402" i="13"/>
  <c r="B3386" i="13"/>
  <c r="B3370" i="13"/>
  <c r="B3354" i="13"/>
  <c r="B3338" i="13"/>
  <c r="B3322" i="13"/>
  <c r="B3306" i="13"/>
  <c r="B3290" i="13"/>
  <c r="B3274" i="13"/>
  <c r="B3258" i="13"/>
  <c r="B3242" i="13"/>
  <c r="B3202" i="13"/>
  <c r="B3170" i="13"/>
  <c r="B3138" i="13"/>
  <c r="B3106" i="13"/>
  <c r="B3101" i="13"/>
  <c r="B5547" i="13"/>
  <c r="B4931" i="13"/>
  <c r="B4703" i="13"/>
  <c r="B4358" i="13"/>
  <c r="B4187" i="13"/>
  <c r="B3786" i="13"/>
  <c r="B3134" i="13"/>
  <c r="B3090" i="13"/>
  <c r="B3074" i="13"/>
  <c r="B3058" i="13"/>
  <c r="B3042" i="13"/>
  <c r="B3026" i="13"/>
  <c r="B3010" i="13"/>
  <c r="B2994" i="13"/>
  <c r="B2978" i="13"/>
  <c r="B2962" i="13"/>
  <c r="B2946" i="13"/>
  <c r="B2930" i="13"/>
  <c r="B2914" i="13"/>
  <c r="B2898" i="13"/>
  <c r="B2882" i="13"/>
  <c r="B2866" i="13"/>
  <c r="B2850" i="13"/>
  <c r="B2834" i="13"/>
  <c r="B2818" i="13"/>
  <c r="B2802" i="13"/>
  <c r="B2786" i="13"/>
  <c r="B2770" i="13"/>
  <c r="B2754" i="13"/>
  <c r="B2738" i="13"/>
  <c r="B2722" i="13"/>
  <c r="B2706" i="13"/>
  <c r="B2690" i="13"/>
  <c r="B2674" i="13"/>
  <c r="B2658" i="13"/>
  <c r="B2642" i="13"/>
  <c r="B2626" i="13"/>
  <c r="B2610" i="13"/>
  <c r="B2594" i="13"/>
  <c r="B2578" i="13"/>
  <c r="B2562" i="13"/>
  <c r="B2546" i="13"/>
  <c r="B2530" i="13"/>
  <c r="B2514" i="13"/>
  <c r="B2498" i="13"/>
  <c r="B2482" i="13"/>
  <c r="B2466" i="13"/>
  <c r="B2450" i="13"/>
  <c r="B2434" i="13"/>
  <c r="B2418" i="13"/>
  <c r="B2386" i="13"/>
  <c r="B2354" i="13"/>
  <c r="B2322" i="13"/>
  <c r="B2290" i="13"/>
  <c r="B2258" i="13"/>
  <c r="B2226" i="13"/>
  <c r="B2194" i="13"/>
  <c r="B2182" i="13"/>
  <c r="B2177" i="13"/>
  <c r="B2168" i="13"/>
  <c r="B2154" i="13"/>
  <c r="B2145" i="13"/>
  <c r="B2136" i="13"/>
  <c r="B2127" i="13"/>
  <c r="B2123" i="13"/>
  <c r="B2119" i="13"/>
  <c r="B2115" i="13"/>
  <c r="B2111" i="13"/>
  <c r="B2107" i="13"/>
  <c r="B2103" i="13"/>
  <c r="B2099" i="13"/>
  <c r="B2095" i="13"/>
  <c r="B2091" i="13"/>
  <c r="B2087" i="13"/>
  <c r="B2083" i="13"/>
  <c r="B2079" i="13"/>
  <c r="B2075" i="13"/>
  <c r="B2071" i="13"/>
  <c r="B2067" i="13"/>
  <c r="B2063" i="13"/>
  <c r="B2059" i="13"/>
  <c r="B2055" i="13"/>
  <c r="B2051" i="13"/>
  <c r="B2047" i="13"/>
  <c r="B2043" i="13"/>
  <c r="B2039" i="13"/>
  <c r="B2035" i="13"/>
  <c r="B2031" i="13"/>
  <c r="B2027" i="13"/>
  <c r="B2023" i="13"/>
  <c r="B2019" i="13"/>
  <c r="B2015" i="13"/>
  <c r="B2011" i="13"/>
  <c r="B2007" i="13"/>
  <c r="B2003" i="13"/>
  <c r="B1999" i="13"/>
  <c r="B1995" i="13"/>
  <c r="B1991" i="13"/>
  <c r="B1987" i="13"/>
  <c r="B1983" i="13"/>
  <c r="B1979" i="13"/>
  <c r="B1975" i="13"/>
  <c r="B1971" i="13"/>
  <c r="B1967" i="13"/>
  <c r="B1963" i="13"/>
  <c r="B1959" i="13"/>
  <c r="B1955" i="13"/>
  <c r="B1951" i="13"/>
  <c r="B1947" i="13"/>
  <c r="B1943" i="13"/>
  <c r="B1939" i="13"/>
  <c r="B1935" i="13"/>
  <c r="B1931" i="13"/>
  <c r="B1927" i="13"/>
  <c r="B1923" i="13"/>
  <c r="B1919" i="13"/>
  <c r="B1915" i="13"/>
  <c r="B1911" i="13"/>
  <c r="B1907" i="13"/>
  <c r="B1903" i="13"/>
  <c r="B1899" i="13"/>
  <c r="B1895" i="13"/>
  <c r="B1891" i="13"/>
  <c r="B1887" i="13"/>
  <c r="B1883" i="13"/>
  <c r="B1879" i="13"/>
  <c r="B1875" i="13"/>
  <c r="B1871" i="13"/>
  <c r="B1867" i="13"/>
  <c r="B1863" i="13"/>
  <c r="B1859" i="13"/>
  <c r="B1855" i="13"/>
  <c r="B1851" i="13"/>
  <c r="B1847" i="13"/>
  <c r="B1843" i="13"/>
  <c r="B1839" i="13"/>
  <c r="B1835" i="13"/>
  <c r="B1831" i="13"/>
  <c r="B1827" i="13"/>
  <c r="B1823" i="13"/>
  <c r="B1819" i="13"/>
  <c r="B1815" i="13"/>
  <c r="B1811" i="13"/>
  <c r="B1807" i="13"/>
  <c r="B1803" i="13"/>
  <c r="B1799" i="13"/>
  <c r="B1795" i="13"/>
  <c r="B1791" i="13"/>
  <c r="B1787" i="13"/>
  <c r="B1783" i="13"/>
  <c r="B1779" i="13"/>
  <c r="B1775" i="13"/>
  <c r="B1771" i="13"/>
  <c r="B1767" i="13"/>
  <c r="B1763" i="13"/>
  <c r="B1759" i="13"/>
  <c r="B1755" i="13"/>
  <c r="B1751" i="13"/>
  <c r="B1747" i="13"/>
  <c r="B1743" i="13"/>
  <c r="B1739" i="13"/>
  <c r="B1735" i="13"/>
  <c r="B1731" i="13"/>
  <c r="B1727" i="13"/>
  <c r="B1723" i="13"/>
  <c r="B1719" i="13"/>
  <c r="B1715" i="13"/>
  <c r="B1711" i="13"/>
  <c r="B1707" i="13"/>
  <c r="B1703" i="13"/>
  <c r="B1699" i="13"/>
  <c r="B1695" i="13"/>
  <c r="B1691" i="13"/>
  <c r="B1687" i="13"/>
  <c r="B1683" i="13"/>
  <c r="B1679" i="13"/>
  <c r="B1675" i="13"/>
  <c r="B1671" i="13"/>
  <c r="B1667" i="13"/>
  <c r="B1663" i="13"/>
  <c r="B1659" i="13"/>
  <c r="B1655" i="13"/>
  <c r="B1651" i="13"/>
  <c r="B1647" i="13"/>
  <c r="B1643" i="13"/>
  <c r="B1639" i="13"/>
  <c r="B1635" i="13"/>
  <c r="B1631" i="13"/>
  <c r="B1627" i="13"/>
  <c r="B1623" i="13"/>
  <c r="B1619" i="13"/>
  <c r="B1615" i="13"/>
  <c r="B1611" i="13"/>
  <c r="B1607" i="13"/>
  <c r="B1603" i="13"/>
  <c r="B1599" i="13"/>
  <c r="B1595" i="13"/>
  <c r="B1591" i="13"/>
  <c r="B1587" i="13"/>
  <c r="B1583" i="13"/>
  <c r="B1579" i="13"/>
  <c r="B1575" i="13"/>
  <c r="B1571" i="13"/>
  <c r="B1567" i="13"/>
  <c r="B1563" i="13"/>
  <c r="B1559" i="13"/>
  <c r="B1555" i="13"/>
  <c r="B1551" i="13"/>
  <c r="B1547" i="13"/>
  <c r="B1543" i="13"/>
  <c r="B1539" i="13"/>
  <c r="B1535" i="13"/>
  <c r="B1531" i="13"/>
  <c r="B1527" i="13"/>
  <c r="B1523" i="13"/>
  <c r="B1519" i="13"/>
  <c r="B1515" i="13"/>
  <c r="B1511" i="13"/>
  <c r="B1507" i="13"/>
  <c r="B1503" i="13"/>
  <c r="B1499" i="13"/>
  <c r="B1495" i="13"/>
  <c r="B1491" i="13"/>
  <c r="B1487" i="13"/>
  <c r="B1483" i="13"/>
  <c r="B1479" i="13"/>
  <c r="B1475" i="13"/>
  <c r="B1471" i="13"/>
  <c r="B1467" i="13"/>
  <c r="B1463" i="13"/>
  <c r="B1459" i="13"/>
  <c r="B1455" i="13"/>
  <c r="B1451" i="13"/>
  <c r="B1447" i="13"/>
  <c r="B1443" i="13"/>
  <c r="B1439" i="13"/>
  <c r="B1435" i="13"/>
  <c r="B1431" i="13"/>
  <c r="B1427" i="13"/>
  <c r="B1423" i="13"/>
  <c r="B1419" i="13"/>
  <c r="B1415" i="13"/>
  <c r="B1411" i="13"/>
  <c r="B1407" i="13"/>
  <c r="B1403" i="13"/>
  <c r="B1399" i="13"/>
  <c r="B1395" i="13"/>
  <c r="B1391" i="13"/>
  <c r="B1387" i="13"/>
  <c r="B1383" i="13"/>
  <c r="B1379" i="13"/>
  <c r="B1375" i="13"/>
  <c r="B1371" i="13"/>
  <c r="B1367" i="13"/>
  <c r="B1363" i="13"/>
  <c r="B1359" i="13"/>
  <c r="B1355" i="13"/>
  <c r="B1351" i="13"/>
  <c r="B1347" i="13"/>
  <c r="B1343" i="13"/>
  <c r="B1339" i="13"/>
  <c r="B1335" i="13"/>
  <c r="B1331" i="13"/>
  <c r="B1327" i="13"/>
  <c r="B1323" i="13"/>
  <c r="B1319" i="13"/>
  <c r="B1315" i="13"/>
  <c r="B1311" i="13"/>
  <c r="B1307" i="13"/>
  <c r="B1303" i="13"/>
  <c r="B1299" i="13"/>
  <c r="B1295" i="13"/>
  <c r="B1291" i="13"/>
  <c r="B1287" i="13"/>
  <c r="B1283" i="13"/>
  <c r="B1279" i="13"/>
  <c r="B1275" i="13"/>
  <c r="B1271" i="13"/>
  <c r="B1267" i="13"/>
  <c r="B1263" i="13"/>
  <c r="B1259" i="13"/>
  <c r="B1255" i="13"/>
  <c r="B1251" i="13"/>
  <c r="B1247" i="13"/>
  <c r="B1243" i="13"/>
  <c r="B1239" i="13"/>
  <c r="B1235" i="13"/>
  <c r="B1231" i="13"/>
  <c r="B1227" i="13"/>
  <c r="B6304" i="13"/>
  <c r="B5203" i="13"/>
  <c r="B4702" i="13"/>
  <c r="B4527" i="13"/>
  <c r="B4186" i="13"/>
  <c r="B3947" i="13"/>
  <c r="B3862" i="13"/>
  <c r="B3712" i="13"/>
  <c r="B3639" i="13"/>
  <c r="B3566" i="13"/>
  <c r="B3502" i="13"/>
  <c r="B3438" i="13"/>
  <c r="B3374" i="13"/>
  <c r="B3310" i="13"/>
  <c r="B3246" i="13"/>
  <c r="B3210" i="13"/>
  <c r="B4874" i="13"/>
  <c r="B4486" i="13"/>
  <c r="B4315" i="13"/>
  <c r="B3086" i="13"/>
  <c r="B3070" i="13"/>
  <c r="B3054" i="13"/>
  <c r="B3038" i="13"/>
  <c r="B3022" i="13"/>
  <c r="B3006" i="13"/>
  <c r="B2990" i="13"/>
  <c r="B2974" i="13"/>
  <c r="B2958" i="13"/>
  <c r="B2942" i="13"/>
  <c r="B2926" i="13"/>
  <c r="B2910" i="13"/>
  <c r="B2894" i="13"/>
  <c r="B2878" i="13"/>
  <c r="B2862" i="13"/>
  <c r="B2846" i="13"/>
  <c r="B2830" i="13"/>
  <c r="B2814" i="13"/>
  <c r="B2798" i="13"/>
  <c r="B2782" i="13"/>
  <c r="B2766" i="13"/>
  <c r="B2750" i="13"/>
  <c r="B2734" i="13"/>
  <c r="B2718" i="13"/>
  <c r="B2702" i="13"/>
  <c r="B2686" i="13"/>
  <c r="B2670" i="13"/>
  <c r="B2654" i="13"/>
  <c r="B2638" i="13"/>
  <c r="B2622" i="13"/>
  <c r="B2606" i="13"/>
  <c r="B2590" i="13"/>
  <c r="B2574" i="13"/>
  <c r="B2558" i="13"/>
  <c r="B2542" i="13"/>
  <c r="B2526" i="13"/>
  <c r="B2510" i="13"/>
  <c r="B2494" i="13"/>
  <c r="B2478" i="13"/>
  <c r="B2462" i="13"/>
  <c r="B2446" i="13"/>
  <c r="B2430" i="13"/>
  <c r="B2414" i="13"/>
  <c r="B2378" i="13"/>
  <c r="B2346" i="13"/>
  <c r="B2314" i="13"/>
  <c r="B2282" i="13"/>
  <c r="B2250" i="13"/>
  <c r="B2218" i="13"/>
  <c r="B2186" i="13"/>
  <c r="B2181" i="13"/>
  <c r="B2176" i="13"/>
  <c r="B2162" i="13"/>
  <c r="B2153" i="13"/>
  <c r="B2144" i="13"/>
  <c r="B2130" i="13"/>
  <c r="B2126" i="13"/>
  <c r="B2122" i="13"/>
  <c r="B2118" i="13"/>
  <c r="B2114" i="13"/>
  <c r="B2110" i="13"/>
  <c r="B2106" i="13"/>
  <c r="B2102" i="13"/>
  <c r="B2098" i="13"/>
  <c r="B2094" i="13"/>
  <c r="B2090" i="13"/>
  <c r="B2086" i="13"/>
  <c r="B2082" i="13"/>
  <c r="B2078" i="13"/>
  <c r="B2074" i="13"/>
  <c r="B2070" i="13"/>
  <c r="B2066" i="13"/>
  <c r="B2062" i="13"/>
  <c r="B2058" i="13"/>
  <c r="B2054" i="13"/>
  <c r="B2050" i="13"/>
  <c r="B2046" i="13"/>
  <c r="B2042" i="13"/>
  <c r="B2038" i="13"/>
  <c r="B2034" i="13"/>
  <c r="B2030" i="13"/>
  <c r="B2026" i="13"/>
  <c r="B2022" i="13"/>
  <c r="B2018" i="13"/>
  <c r="B2014" i="13"/>
  <c r="B2010" i="13"/>
  <c r="B2006" i="13"/>
  <c r="B2002" i="13"/>
  <c r="B1998" i="13"/>
  <c r="B1994" i="13"/>
  <c r="B1990" i="13"/>
  <c r="B1986" i="13"/>
  <c r="B1982" i="13"/>
  <c r="B1978" i="13"/>
  <c r="B1974" i="13"/>
  <c r="B1970" i="13"/>
  <c r="B1966" i="13"/>
  <c r="B1962" i="13"/>
  <c r="B1958" i="13"/>
  <c r="B1954" i="13"/>
  <c r="B1950" i="13"/>
  <c r="B1946" i="13"/>
  <c r="B1942" i="13"/>
  <c r="B1938" i="13"/>
  <c r="B1934" i="13"/>
  <c r="B1930" i="13"/>
  <c r="B1926" i="13"/>
  <c r="B1922" i="13"/>
  <c r="B1918" i="13"/>
  <c r="B1914" i="13"/>
  <c r="B1910" i="13"/>
  <c r="B1906" i="13"/>
  <c r="B1902" i="13"/>
  <c r="B1898" i="13"/>
  <c r="B1894" i="13"/>
  <c r="B1890" i="13"/>
  <c r="B1886" i="13"/>
  <c r="B1882" i="13"/>
  <c r="B1878" i="13"/>
  <c r="B1874" i="13"/>
  <c r="B1870" i="13"/>
  <c r="B1866" i="13"/>
  <c r="B1862" i="13"/>
  <c r="B1858" i="13"/>
  <c r="B1854" i="13"/>
  <c r="B1850" i="13"/>
  <c r="B1846" i="13"/>
  <c r="B1842" i="13"/>
  <c r="B1838" i="13"/>
  <c r="B1834" i="13"/>
  <c r="B1830" i="13"/>
  <c r="B1826" i="13"/>
  <c r="B1822" i="13"/>
  <c r="B1818" i="13"/>
  <c r="B1814" i="13"/>
  <c r="B1810" i="13"/>
  <c r="B1806" i="13"/>
  <c r="B1802" i="13"/>
  <c r="B1798" i="13"/>
  <c r="B1794" i="13"/>
  <c r="B1790" i="13"/>
  <c r="B1786" i="13"/>
  <c r="B1782" i="13"/>
  <c r="B1778" i="13"/>
  <c r="B1774" i="13"/>
  <c r="B1770" i="13"/>
  <c r="B1766" i="13"/>
  <c r="B1762" i="13"/>
  <c r="B1758" i="13"/>
  <c r="B1754" i="13"/>
  <c r="B1750" i="13"/>
  <c r="B1746" i="13"/>
  <c r="B1742" i="13"/>
  <c r="B1738" i="13"/>
  <c r="B1734" i="13"/>
  <c r="B1730" i="13"/>
  <c r="B1726" i="13"/>
  <c r="B1722" i="13"/>
  <c r="B1718" i="13"/>
  <c r="B1714" i="13"/>
  <c r="B1710" i="13"/>
  <c r="B1706" i="13"/>
  <c r="B1702" i="13"/>
  <c r="B1698" i="13"/>
  <c r="B1694" i="13"/>
  <c r="B1690" i="13"/>
  <c r="B1686" i="13"/>
  <c r="B1682" i="13"/>
  <c r="B1678" i="13"/>
  <c r="B1674" i="13"/>
  <c r="B1670" i="13"/>
  <c r="B1666" i="13"/>
  <c r="B1662" i="13"/>
  <c r="B1658" i="13"/>
  <c r="B1654" i="13"/>
  <c r="B1650" i="13"/>
  <c r="B1646" i="13"/>
  <c r="B1642" i="13"/>
  <c r="B1638" i="13"/>
  <c r="B1634" i="13"/>
  <c r="B1630" i="13"/>
  <c r="B1626" i="13"/>
  <c r="B1622" i="13"/>
  <c r="B1618" i="13"/>
  <c r="B1614" i="13"/>
  <c r="B1610" i="13"/>
  <c r="B1606" i="13"/>
  <c r="B1602" i="13"/>
  <c r="B1598" i="13"/>
  <c r="B1594" i="13"/>
  <c r="B1590" i="13"/>
  <c r="B1586" i="13"/>
  <c r="B1582" i="13"/>
  <c r="B1578" i="13"/>
  <c r="B1574" i="13"/>
  <c r="B1570" i="13"/>
  <c r="B1566" i="13"/>
  <c r="B1562" i="13"/>
  <c r="B1558" i="13"/>
  <c r="B1554" i="13"/>
  <c r="B1550" i="13"/>
  <c r="B1546" i="13"/>
  <c r="B1542" i="13"/>
  <c r="B1538" i="13"/>
  <c r="B1534" i="13"/>
  <c r="B1530" i="13"/>
  <c r="B1526" i="13"/>
  <c r="B1522" i="13"/>
  <c r="B1518" i="13"/>
  <c r="B1514" i="13"/>
  <c r="B1510" i="13"/>
  <c r="B1506" i="13"/>
  <c r="B1502" i="13"/>
  <c r="B1498" i="13"/>
  <c r="B1494" i="13"/>
  <c r="B1490" i="13"/>
  <c r="B1486" i="13"/>
  <c r="B1482" i="13"/>
  <c r="B1478" i="13"/>
  <c r="B1474" i="13"/>
  <c r="B1470" i="13"/>
  <c r="B1466" i="13"/>
  <c r="B1462" i="13"/>
  <c r="B1458" i="13"/>
  <c r="B1454" i="13"/>
  <c r="B1450" i="13"/>
  <c r="B1446" i="13"/>
  <c r="B1442" i="13"/>
  <c r="B1438" i="13"/>
  <c r="B1434" i="13"/>
  <c r="B1430" i="13"/>
  <c r="B1426" i="13"/>
  <c r="B1422" i="13"/>
  <c r="B1418" i="13"/>
  <c r="B1414" i="13"/>
  <c r="B1410" i="13"/>
  <c r="B1406" i="13"/>
  <c r="B1402" i="13"/>
  <c r="B1398" i="13"/>
  <c r="B1394" i="13"/>
  <c r="B1390" i="13"/>
  <c r="B1386" i="13"/>
  <c r="B1382" i="13"/>
  <c r="B1378" i="13"/>
  <c r="B1374" i="13"/>
  <c r="B1370" i="13"/>
  <c r="B1366" i="13"/>
  <c r="B1362" i="13"/>
  <c r="B1358" i="13"/>
  <c r="B1354" i="13"/>
  <c r="B1350" i="13"/>
  <c r="B1346" i="13"/>
  <c r="B1342" i="13"/>
  <c r="B1338" i="13"/>
  <c r="B1334" i="13"/>
  <c r="B1330" i="13"/>
  <c r="B1326" i="13"/>
  <c r="B1322" i="13"/>
  <c r="B1318" i="13"/>
  <c r="B1314" i="13"/>
  <c r="B1310" i="13"/>
  <c r="B1306" i="13"/>
  <c r="B1302" i="13"/>
  <c r="B1298" i="13"/>
  <c r="B1294" i="13"/>
  <c r="B1290" i="13"/>
  <c r="B1286" i="13"/>
  <c r="B1282" i="13"/>
  <c r="B1278" i="13"/>
  <c r="B1274" i="13"/>
  <c r="B1270" i="13"/>
  <c r="B1266" i="13"/>
  <c r="B1262" i="13"/>
  <c r="B1258" i="13"/>
  <c r="B1254" i="13"/>
  <c r="B1250" i="13"/>
  <c r="B1246" i="13"/>
  <c r="B5459" i="13"/>
  <c r="B4655" i="13"/>
  <c r="B4314" i="13"/>
  <c r="B4143" i="13"/>
  <c r="B4011" i="13"/>
  <c r="B3926" i="13"/>
  <c r="B3767" i="13"/>
  <c r="B3694" i="13"/>
  <c r="B3550" i="13"/>
  <c r="B3486" i="13"/>
  <c r="B3422" i="13"/>
  <c r="B3358" i="13"/>
  <c r="B3294" i="13"/>
  <c r="B3178" i="13"/>
  <c r="B3102" i="13"/>
  <c r="B2390" i="13"/>
  <c r="B2358" i="13"/>
  <c r="B2326" i="13"/>
  <c r="B2294" i="13"/>
  <c r="B2262" i="13"/>
  <c r="B2230" i="13"/>
  <c r="B2198" i="13"/>
  <c r="B2166" i="13"/>
  <c r="B2157" i="13"/>
  <c r="B2148" i="13"/>
  <c r="B2134" i="13"/>
  <c r="B5634" i="13"/>
  <c r="B5291" i="13"/>
  <c r="B4571" i="13"/>
  <c r="B4230" i="13"/>
  <c r="B4059" i="13"/>
  <c r="B3804" i="13"/>
  <c r="B3731" i="13"/>
  <c r="B3658" i="13"/>
  <c r="B3166" i="13"/>
  <c r="B3094" i="13"/>
  <c r="B3078" i="13"/>
  <c r="B3062" i="13"/>
  <c r="B3046" i="13"/>
  <c r="B3030" i="13"/>
  <c r="B3014" i="13"/>
  <c r="B2998" i="13"/>
  <c r="B2982" i="13"/>
  <c r="B2966" i="13"/>
  <c r="B2950" i="13"/>
  <c r="B2934" i="13"/>
  <c r="B2918" i="13"/>
  <c r="B2902" i="13"/>
  <c r="B2886" i="13"/>
  <c r="B2870" i="13"/>
  <c r="B2854" i="13"/>
  <c r="B2838" i="13"/>
  <c r="B2822" i="13"/>
  <c r="B2806" i="13"/>
  <c r="B2790" i="13"/>
  <c r="B2774" i="13"/>
  <c r="B2758" i="13"/>
  <c r="B2742" i="13"/>
  <c r="B2726" i="13"/>
  <c r="B2710" i="13"/>
  <c r="B2694" i="13"/>
  <c r="B2678" i="13"/>
  <c r="B2662" i="13"/>
  <c r="B2646" i="13"/>
  <c r="B2630" i="13"/>
  <c r="B2614" i="13"/>
  <c r="B2598" i="13"/>
  <c r="B2582" i="13"/>
  <c r="B2566" i="13"/>
  <c r="B2550" i="13"/>
  <c r="B2534" i="13"/>
  <c r="B2518" i="13"/>
  <c r="B2502" i="13"/>
  <c r="B2486" i="13"/>
  <c r="B2470" i="13"/>
  <c r="B2454" i="13"/>
  <c r="B2438" i="13"/>
  <c r="B2422" i="13"/>
  <c r="B2394" i="13"/>
  <c r="B2362" i="13"/>
  <c r="B2330" i="13"/>
  <c r="B2298" i="13"/>
  <c r="B2266" i="13"/>
  <c r="B2234" i="13"/>
  <c r="B2202" i="13"/>
  <c r="B2178" i="13"/>
  <c r="B2169" i="13"/>
  <c r="B2160" i="13"/>
  <c r="B2146" i="13"/>
  <c r="B2137" i="13"/>
  <c r="B2128" i="13"/>
  <c r="B2124" i="13"/>
  <c r="B2120" i="13"/>
  <c r="B2116" i="13"/>
  <c r="B2112" i="13"/>
  <c r="B2108" i="13"/>
  <c r="B2104" i="13"/>
  <c r="B2100" i="13"/>
  <c r="B2096" i="13"/>
  <c r="B2092" i="13"/>
  <c r="B2088" i="13"/>
  <c r="B2084" i="13"/>
  <c r="B2080" i="13"/>
  <c r="B2076" i="13"/>
  <c r="B2072" i="13"/>
  <c r="B2068" i="13"/>
  <c r="B2064" i="13"/>
  <c r="B2060" i="13"/>
  <c r="B2056" i="13"/>
  <c r="B2052" i="13"/>
  <c r="B2048" i="13"/>
  <c r="B2044" i="13"/>
  <c r="B2040" i="13"/>
  <c r="B2036" i="13"/>
  <c r="B2032" i="13"/>
  <c r="B2028" i="13"/>
  <c r="B2024" i="13"/>
  <c r="B2020" i="13"/>
  <c r="B2016" i="13"/>
  <c r="B2012" i="13"/>
  <c r="B2008" i="13"/>
  <c r="B2004" i="13"/>
  <c r="B2000" i="13"/>
  <c r="B1996" i="13"/>
  <c r="B1992" i="13"/>
  <c r="B1988" i="13"/>
  <c r="B1984" i="13"/>
  <c r="B1980" i="13"/>
  <c r="B1976" i="13"/>
  <c r="B1972" i="13"/>
  <c r="B1968" i="13"/>
  <c r="B1964" i="13"/>
  <c r="B1960" i="13"/>
  <c r="B1956" i="13"/>
  <c r="B1952" i="13"/>
  <c r="B1948" i="13"/>
  <c r="B1944" i="13"/>
  <c r="B1940" i="13"/>
  <c r="B1936" i="13"/>
  <c r="B1932" i="13"/>
  <c r="B1928" i="13"/>
  <c r="B1924" i="13"/>
  <c r="B1920" i="13"/>
  <c r="B1916" i="13"/>
  <c r="B1912" i="13"/>
  <c r="B1908" i="13"/>
  <c r="B1904" i="13"/>
  <c r="B1900" i="13"/>
  <c r="B1896" i="13"/>
  <c r="B1892" i="13"/>
  <c r="B1888" i="13"/>
  <c r="B1884" i="13"/>
  <c r="B1880" i="13"/>
  <c r="B1876" i="13"/>
  <c r="B1872" i="13"/>
  <c r="B1868" i="13"/>
  <c r="B1864" i="13"/>
  <c r="B1860" i="13"/>
  <c r="B1856" i="13"/>
  <c r="B1852" i="13"/>
  <c r="B1848" i="13"/>
  <c r="B1844" i="13"/>
  <c r="B1840" i="13"/>
  <c r="B1836" i="13"/>
  <c r="B1832" i="13"/>
  <c r="B1828" i="13"/>
  <c r="B1824" i="13"/>
  <c r="B1820" i="13"/>
  <c r="B1816" i="13"/>
  <c r="B1812" i="13"/>
  <c r="B1808" i="13"/>
  <c r="B1804" i="13"/>
  <c r="B1800" i="13"/>
  <c r="B1796" i="13"/>
  <c r="B1792" i="13"/>
  <c r="B1788" i="13"/>
  <c r="B1784" i="13"/>
  <c r="B1780" i="13"/>
  <c r="B1776" i="13"/>
  <c r="B1772" i="13"/>
  <c r="B1768" i="13"/>
  <c r="B1764" i="13"/>
  <c r="B1760" i="13"/>
  <c r="B1756" i="13"/>
  <c r="B1752" i="13"/>
  <c r="B1748" i="13"/>
  <c r="B1744" i="13"/>
  <c r="B1740" i="13"/>
  <c r="B1736" i="13"/>
  <c r="B1732" i="13"/>
  <c r="B1728" i="13"/>
  <c r="B1724" i="13"/>
  <c r="B1720" i="13"/>
  <c r="B1716" i="13"/>
  <c r="B1712" i="13"/>
  <c r="B1708" i="13"/>
  <c r="B1704" i="13"/>
  <c r="B1700" i="13"/>
  <c r="B1696" i="13"/>
  <c r="B1692" i="13"/>
  <c r="B1688" i="13"/>
  <c r="B1684" i="13"/>
  <c r="B1680" i="13"/>
  <c r="B1676" i="13"/>
  <c r="B1672" i="13"/>
  <c r="B1668" i="13"/>
  <c r="B1664" i="13"/>
  <c r="B1660" i="13"/>
  <c r="B1656" i="13"/>
  <c r="B1652" i="13"/>
  <c r="B1648" i="13"/>
  <c r="B1644" i="13"/>
  <c r="B1640" i="13"/>
  <c r="B1636" i="13"/>
  <c r="B1632" i="13"/>
  <c r="B1628" i="13"/>
  <c r="B1624" i="13"/>
  <c r="B1620" i="13"/>
  <c r="B1616" i="13"/>
  <c r="B1612" i="13"/>
  <c r="B1608" i="13"/>
  <c r="B1604" i="13"/>
  <c r="B1600" i="13"/>
  <c r="B1596" i="13"/>
  <c r="B1592" i="13"/>
  <c r="B1588" i="13"/>
  <c r="B1584" i="13"/>
  <c r="B1580" i="13"/>
  <c r="B1576" i="13"/>
  <c r="B1572" i="13"/>
  <c r="B1568" i="13"/>
  <c r="B1564" i="13"/>
  <c r="B1560" i="13"/>
  <c r="B1556" i="13"/>
  <c r="B1552" i="13"/>
  <c r="B1548" i="13"/>
  <c r="B1544" i="13"/>
  <c r="B1540" i="13"/>
  <c r="B1536" i="13"/>
  <c r="B1532" i="13"/>
  <c r="B1528" i="13"/>
  <c r="B1524" i="13"/>
  <c r="B1520" i="13"/>
  <c r="B1516" i="13"/>
  <c r="B1512" i="13"/>
  <c r="B1508" i="13"/>
  <c r="B1504" i="13"/>
  <c r="B1500" i="13"/>
  <c r="B1496" i="13"/>
  <c r="B1492" i="13"/>
  <c r="B1488" i="13"/>
  <c r="B1484" i="13"/>
  <c r="B1480" i="13"/>
  <c r="B1476" i="13"/>
  <c r="B1472" i="13"/>
  <c r="B1468" i="13"/>
  <c r="B1464" i="13"/>
  <c r="B1460" i="13"/>
  <c r="B1456" i="13"/>
  <c r="B1452" i="13"/>
  <c r="B1448" i="13"/>
  <c r="B1444" i="13"/>
  <c r="B1440" i="13"/>
  <c r="B1436" i="13"/>
  <c r="B1432" i="13"/>
  <c r="B1428" i="13"/>
  <c r="B1424" i="13"/>
  <c r="B1420" i="13"/>
  <c r="B1416" i="13"/>
  <c r="B1412" i="13"/>
  <c r="B1408" i="13"/>
  <c r="B1404" i="13"/>
  <c r="B1400" i="13"/>
  <c r="B1396" i="13"/>
  <c r="B1392" i="13"/>
  <c r="B1388" i="13"/>
  <c r="B1384" i="13"/>
  <c r="B1380" i="13"/>
  <c r="B1376" i="13"/>
  <c r="B1372" i="13"/>
  <c r="B1368" i="13"/>
  <c r="B1364" i="13"/>
  <c r="B1360" i="13"/>
  <c r="B1356" i="13"/>
  <c r="B1352" i="13"/>
  <c r="B1348" i="13"/>
  <c r="B1344" i="13"/>
  <c r="B1340" i="13"/>
  <c r="B1336" i="13"/>
  <c r="B1332" i="13"/>
  <c r="B1328" i="13"/>
  <c r="B1324" i="13"/>
  <c r="B1320" i="13"/>
  <c r="B1316" i="13"/>
  <c r="B1312" i="13"/>
  <c r="B1308" i="13"/>
  <c r="B1304" i="13"/>
  <c r="B1300" i="13"/>
  <c r="B1296" i="13"/>
  <c r="B1292" i="13"/>
  <c r="B1288" i="13"/>
  <c r="B1284" i="13"/>
  <c r="B1280" i="13"/>
  <c r="B1276" i="13"/>
  <c r="B1272" i="13"/>
  <c r="B1268" i="13"/>
  <c r="B1264" i="13"/>
  <c r="B1260" i="13"/>
  <c r="B1256" i="13"/>
  <c r="B1252" i="13"/>
  <c r="B1248" i="13"/>
  <c r="B1244" i="13"/>
  <c r="B1240" i="13"/>
  <c r="B1236" i="13"/>
  <c r="B1232" i="13"/>
  <c r="B1228" i="13"/>
  <c r="B1224" i="13"/>
  <c r="B4986" i="13"/>
  <c r="B4570" i="13"/>
  <c r="B4399" i="13"/>
  <c r="B4058" i="13"/>
  <c r="B3883" i="13"/>
  <c r="B3584" i="13"/>
  <c r="B3518" i="13"/>
  <c r="B3454" i="13"/>
  <c r="B3390" i="13"/>
  <c r="B3326" i="13"/>
  <c r="B3262" i="13"/>
  <c r="B3114" i="13"/>
  <c r="B2406" i="13"/>
  <c r="B2374" i="13"/>
  <c r="B2342" i="13"/>
  <c r="B2310" i="13"/>
  <c r="B2278" i="13"/>
  <c r="B2246" i="13"/>
  <c r="B2214" i="13"/>
  <c r="B2173" i="13"/>
  <c r="B2164" i="13"/>
  <c r="B2150" i="13"/>
  <c r="B2141" i="13"/>
  <c r="B2132" i="13"/>
  <c r="B5745" i="13"/>
  <c r="B4614" i="13"/>
  <c r="B3676" i="13"/>
  <c r="B3198" i="13"/>
  <c r="B3098" i="13"/>
  <c r="B3034" i="13"/>
  <c r="B2890" i="13"/>
  <c r="B2762" i="13"/>
  <c r="B2634" i="13"/>
  <c r="B2506" i="13"/>
  <c r="B2242" i="13"/>
  <c r="B2165" i="13"/>
  <c r="B2152" i="13"/>
  <c r="B2140" i="13"/>
  <c r="B2117" i="13"/>
  <c r="B2085" i="13"/>
  <c r="B2053" i="13"/>
  <c r="B2021" i="13"/>
  <c r="B1989" i="13"/>
  <c r="B1957" i="13"/>
  <c r="B1925" i="13"/>
  <c r="B1893" i="13"/>
  <c r="B1605" i="13"/>
  <c r="B1573" i="13"/>
  <c r="B1541" i="13"/>
  <c r="B1509" i="13"/>
  <c r="B1477" i="13"/>
  <c r="B1445" i="13"/>
  <c r="B1413" i="13"/>
  <c r="B1381" i="13"/>
  <c r="B1349" i="13"/>
  <c r="B1317" i="13"/>
  <c r="B1285" i="13"/>
  <c r="B1253" i="13"/>
  <c r="B1241" i="13"/>
  <c r="B1230" i="13"/>
  <c r="B1225" i="13"/>
  <c r="B3990" i="13"/>
  <c r="B3406" i="13"/>
  <c r="B2970" i="13"/>
  <c r="B2842" i="13"/>
  <c r="B2714" i="13"/>
  <c r="B2586" i="13"/>
  <c r="B2458" i="13"/>
  <c r="B2274" i="13"/>
  <c r="B2206" i="13"/>
  <c r="B2190" i="13"/>
  <c r="B2138" i="13"/>
  <c r="B2105" i="13"/>
  <c r="B2073" i="13"/>
  <c r="B2041" i="13"/>
  <c r="B2009" i="13"/>
  <c r="B1977" i="13"/>
  <c r="B1945" i="13"/>
  <c r="B1913" i="13"/>
  <c r="B1881" i="13"/>
  <c r="B1617" i="13"/>
  <c r="B1585" i="13"/>
  <c r="B1553" i="13"/>
  <c r="B1521" i="13"/>
  <c r="B1489" i="13"/>
  <c r="B1457" i="13"/>
  <c r="B1425" i="13"/>
  <c r="B1393" i="13"/>
  <c r="B1361" i="13"/>
  <c r="B1329" i="13"/>
  <c r="B1297" i="13"/>
  <c r="B1265" i="13"/>
  <c r="B1220" i="13"/>
  <c r="B1216" i="13"/>
  <c r="B1212" i="13"/>
  <c r="B1208" i="13"/>
  <c r="B1204" i="13"/>
  <c r="B1200" i="13"/>
  <c r="B1196" i="13"/>
  <c r="B1192" i="13"/>
  <c r="B1188" i="13"/>
  <c r="B1184" i="13"/>
  <c r="B1180" i="13"/>
  <c r="B1176" i="13"/>
  <c r="B1172" i="13"/>
  <c r="B1168" i="13"/>
  <c r="B1164" i="13"/>
  <c r="B1160" i="13"/>
  <c r="B1156" i="13"/>
  <c r="B1152" i="13"/>
  <c r="B1148" i="13"/>
  <c r="B1144" i="13"/>
  <c r="B1140" i="13"/>
  <c r="B1136" i="13"/>
  <c r="B1132" i="13"/>
  <c r="B1128" i="13"/>
  <c r="B1124" i="13"/>
  <c r="B1120" i="13"/>
  <c r="B1116" i="13"/>
  <c r="B1112" i="13"/>
  <c r="B1108" i="13"/>
  <c r="B1104" i="13"/>
  <c r="B1100" i="13"/>
  <c r="B1096" i="13"/>
  <c r="B1092" i="13"/>
  <c r="B1088" i="13"/>
  <c r="B1084" i="13"/>
  <c r="B1080" i="13"/>
  <c r="B1076" i="13"/>
  <c r="B1072" i="13"/>
  <c r="B1068" i="13"/>
  <c r="B1064" i="13"/>
  <c r="B1060" i="13"/>
  <c r="B1056" i="13"/>
  <c r="B1052" i="13"/>
  <c r="B1048" i="13"/>
  <c r="B1044" i="13"/>
  <c r="B1040" i="13"/>
  <c r="B1036" i="13"/>
  <c r="B1032" i="13"/>
  <c r="B1028" i="13"/>
  <c r="B1024" i="13"/>
  <c r="B1020" i="13"/>
  <c r="B1016" i="13"/>
  <c r="B1012" i="13"/>
  <c r="B1008" i="13"/>
  <c r="B1004" i="13"/>
  <c r="B1000" i="13"/>
  <c r="B996" i="13"/>
  <c r="B992" i="13"/>
  <c r="B988" i="13"/>
  <c r="B984" i="13"/>
  <c r="B980" i="13"/>
  <c r="B976" i="13"/>
  <c r="B972" i="13"/>
  <c r="B968" i="13"/>
  <c r="B964" i="13"/>
  <c r="B960" i="13"/>
  <c r="B956" i="13"/>
  <c r="B952" i="13"/>
  <c r="B948" i="13"/>
  <c r="B944" i="13"/>
  <c r="B940" i="13"/>
  <c r="B936" i="13"/>
  <c r="B932" i="13"/>
  <c r="B928" i="13"/>
  <c r="B924" i="13"/>
  <c r="B920" i="13"/>
  <c r="B916" i="13"/>
  <c r="B912" i="13"/>
  <c r="B908" i="13"/>
  <c r="B904" i="13"/>
  <c r="B900" i="13"/>
  <c r="B896" i="13"/>
  <c r="B892" i="13"/>
  <c r="B888" i="13"/>
  <c r="B884" i="13"/>
  <c r="B880" i="13"/>
  <c r="B876" i="13"/>
  <c r="B872" i="13"/>
  <c r="B868" i="13"/>
  <c r="B864" i="13"/>
  <c r="B860" i="13"/>
  <c r="B856" i="13"/>
  <c r="B852" i="13"/>
  <c r="B848" i="13"/>
  <c r="B844" i="13"/>
  <c r="B840" i="13"/>
  <c r="B836" i="13"/>
  <c r="B832" i="13"/>
  <c r="B828" i="13"/>
  <c r="B824" i="13"/>
  <c r="B820" i="13"/>
  <c r="B816" i="13"/>
  <c r="B812" i="13"/>
  <c r="B808" i="13"/>
  <c r="B804" i="13"/>
  <c r="B800" i="13"/>
  <c r="B796" i="13"/>
  <c r="B792" i="13"/>
  <c r="B788" i="13"/>
  <c r="B784" i="13"/>
  <c r="B780" i="13"/>
  <c r="B776" i="13"/>
  <c r="B772" i="13"/>
  <c r="B768" i="13"/>
  <c r="B764" i="13"/>
  <c r="B760" i="13"/>
  <c r="B756" i="13"/>
  <c r="B752" i="13"/>
  <c r="B748" i="13"/>
  <c r="B744" i="13"/>
  <c r="B740" i="13"/>
  <c r="B736" i="13"/>
  <c r="B732" i="13"/>
  <c r="B728" i="13"/>
  <c r="B724" i="13"/>
  <c r="B720" i="13"/>
  <c r="B716" i="13"/>
  <c r="B712" i="13"/>
  <c r="B708" i="13"/>
  <c r="B704" i="13"/>
  <c r="B700" i="13"/>
  <c r="B696" i="13"/>
  <c r="B692" i="13"/>
  <c r="B688" i="13"/>
  <c r="B684" i="13"/>
  <c r="B680" i="13"/>
  <c r="B676" i="13"/>
  <c r="B672" i="13"/>
  <c r="B668" i="13"/>
  <c r="B664" i="13"/>
  <c r="B660" i="13"/>
  <c r="B656" i="13"/>
  <c r="B652" i="13"/>
  <c r="B648" i="13"/>
  <c r="B644" i="13"/>
  <c r="B640" i="13"/>
  <c r="B636" i="13"/>
  <c r="B632" i="13"/>
  <c r="B628" i="13"/>
  <c r="B624" i="13"/>
  <c r="B620" i="13"/>
  <c r="B616" i="13"/>
  <c r="B612" i="13"/>
  <c r="B608" i="13"/>
  <c r="B604" i="13"/>
  <c r="B600" i="13"/>
  <c r="B596" i="13"/>
  <c r="B592" i="13"/>
  <c r="B588" i="13"/>
  <c r="B584" i="13"/>
  <c r="B580" i="13"/>
  <c r="B576" i="13"/>
  <c r="B572" i="13"/>
  <c r="B568" i="13"/>
  <c r="B564" i="13"/>
  <c r="B560" i="13"/>
  <c r="B556" i="13"/>
  <c r="B552" i="13"/>
  <c r="B548" i="13"/>
  <c r="B544" i="13"/>
  <c r="B540" i="13"/>
  <c r="B536" i="13"/>
  <c r="B532" i="13"/>
  <c r="B528" i="13"/>
  <c r="B524" i="13"/>
  <c r="B520" i="13"/>
  <c r="B516" i="13"/>
  <c r="B512" i="13"/>
  <c r="B508" i="13"/>
  <c r="B504" i="13"/>
  <c r="B500" i="13"/>
  <c r="B496" i="13"/>
  <c r="B492" i="13"/>
  <c r="B488" i="13"/>
  <c r="B484" i="13"/>
  <c r="B480" i="13"/>
  <c r="B476" i="13"/>
  <c r="B472" i="13"/>
  <c r="B468" i="13"/>
  <c r="B464" i="13"/>
  <c r="B460" i="13"/>
  <c r="B456" i="13"/>
  <c r="B452" i="13"/>
  <c r="B448" i="13"/>
  <c r="B444" i="13"/>
  <c r="B440" i="13"/>
  <c r="B436" i="13"/>
  <c r="B432" i="13"/>
  <c r="B428" i="13"/>
  <c r="B424" i="13"/>
  <c r="B420" i="13"/>
  <c r="B416" i="13"/>
  <c r="B412" i="13"/>
  <c r="B408" i="13"/>
  <c r="B404" i="13"/>
  <c r="B400" i="13"/>
  <c r="B396" i="13"/>
  <c r="B392" i="13"/>
  <c r="B388" i="13"/>
  <c r="B384" i="13"/>
  <c r="B380" i="13"/>
  <c r="B376" i="13"/>
  <c r="B372" i="13"/>
  <c r="B368" i="13"/>
  <c r="B364" i="13"/>
  <c r="B360" i="13"/>
  <c r="B356" i="13"/>
  <c r="B352" i="13"/>
  <c r="B348" i="13"/>
  <c r="B344" i="13"/>
  <c r="B340" i="13"/>
  <c r="B336" i="13"/>
  <c r="B332" i="13"/>
  <c r="B328" i="13"/>
  <c r="B324" i="13"/>
  <c r="B320" i="13"/>
  <c r="B316" i="13"/>
  <c r="B312" i="13"/>
  <c r="B308" i="13"/>
  <c r="B304" i="13"/>
  <c r="B300" i="13"/>
  <c r="B296" i="13"/>
  <c r="B292" i="13"/>
  <c r="B288" i="13"/>
  <c r="B284" i="13"/>
  <c r="B280" i="13"/>
  <c r="B276" i="13"/>
  <c r="B272" i="13"/>
  <c r="B268" i="13"/>
  <c r="B264" i="13"/>
  <c r="B260" i="13"/>
  <c r="B256" i="13"/>
  <c r="B252" i="13"/>
  <c r="B248" i="13"/>
  <c r="B244" i="13"/>
  <c r="B240" i="13"/>
  <c r="B236" i="13"/>
  <c r="B232" i="13"/>
  <c r="B228" i="13"/>
  <c r="B224" i="13"/>
  <c r="B220" i="13"/>
  <c r="B216" i="13"/>
  <c r="B212" i="13"/>
  <c r="B208" i="13"/>
  <c r="B204" i="13"/>
  <c r="B200" i="13"/>
  <c r="B196" i="13"/>
  <c r="B192" i="13"/>
  <c r="B188" i="13"/>
  <c r="B184" i="13"/>
  <c r="B180" i="13"/>
  <c r="B176" i="13"/>
  <c r="B172" i="13"/>
  <c r="B168" i="13"/>
  <c r="B164" i="13"/>
  <c r="B160" i="13"/>
  <c r="B156" i="13"/>
  <c r="B152" i="13"/>
  <c r="B148" i="13"/>
  <c r="B144" i="13"/>
  <c r="B140" i="13"/>
  <c r="B136" i="13"/>
  <c r="B132" i="13"/>
  <c r="B128" i="13"/>
  <c r="B124" i="13"/>
  <c r="B120" i="13"/>
  <c r="B116" i="13"/>
  <c r="B112" i="13"/>
  <c r="B108" i="13"/>
  <c r="B104" i="13"/>
  <c r="B100" i="13"/>
  <c r="B96" i="13"/>
  <c r="B92" i="13"/>
  <c r="B88" i="13"/>
  <c r="B84" i="13"/>
  <c r="B80" i="13"/>
  <c r="B76" i="13"/>
  <c r="B72" i="13"/>
  <c r="B68" i="13"/>
  <c r="B64" i="13"/>
  <c r="B60" i="13"/>
  <c r="B56" i="13"/>
  <c r="B52" i="13"/>
  <c r="B48" i="13"/>
  <c r="B44" i="13"/>
  <c r="B40" i="13"/>
  <c r="B36" i="13"/>
  <c r="B32" i="13"/>
  <c r="B28" i="13"/>
  <c r="B24" i="13"/>
  <c r="B20" i="13"/>
  <c r="B16" i="13"/>
  <c r="B12" i="13"/>
  <c r="B4442" i="13"/>
  <c r="B3342" i="13"/>
  <c r="B2874" i="13"/>
  <c r="B2618" i="13"/>
  <c r="B2338" i="13"/>
  <c r="B2254" i="13"/>
  <c r="B2185" i="13"/>
  <c r="B2172" i="13"/>
  <c r="B2113" i="13"/>
  <c r="B2081" i="13"/>
  <c r="B2017" i="13"/>
  <c r="B1953" i="13"/>
  <c r="B1921" i="13"/>
  <c r="B1889" i="13"/>
  <c r="B1609" i="13"/>
  <c r="B1545" i="13"/>
  <c r="B1449" i="13"/>
  <c r="B1321" i="13"/>
  <c r="B1289" i="13"/>
  <c r="B1219" i="13"/>
  <c r="B1211" i="13"/>
  <c r="B1203" i="13"/>
  <c r="B1195" i="13"/>
  <c r="B1187" i="13"/>
  <c r="B1175" i="13"/>
  <c r="B1167" i="13"/>
  <c r="B1159" i="13"/>
  <c r="B1151" i="13"/>
  <c r="B1143" i="13"/>
  <c r="B1135" i="13"/>
  <c r="B1127" i="13"/>
  <c r="B1119" i="13"/>
  <c r="B1111" i="13"/>
  <c r="B1103" i="13"/>
  <c r="B1095" i="13"/>
  <c r="B1087" i="13"/>
  <c r="B1079" i="13"/>
  <c r="B1075" i="13"/>
  <c r="B1071" i="13"/>
  <c r="B1063" i="13"/>
  <c r="B1051" i="13"/>
  <c r="B1043" i="13"/>
  <c r="B1035" i="13"/>
  <c r="B1031" i="13"/>
  <c r="B1023" i="13"/>
  <c r="B1019" i="13"/>
  <c r="B1011" i="13"/>
  <c r="B1007" i="13"/>
  <c r="B1003" i="13"/>
  <c r="B995" i="13"/>
  <c r="B991" i="13"/>
  <c r="B987" i="13"/>
  <c r="B979" i="13"/>
  <c r="B975" i="13"/>
  <c r="B967" i="13"/>
  <c r="B959" i="13"/>
  <c r="B947" i="13"/>
  <c r="B939" i="13"/>
  <c r="B931" i="13"/>
  <c r="B923" i="13"/>
  <c r="B919" i="13"/>
  <c r="B911" i="13"/>
  <c r="B903" i="13"/>
  <c r="B899" i="13"/>
  <c r="B891" i="13"/>
  <c r="B887" i="13"/>
  <c r="B879" i="13"/>
  <c r="B875" i="13"/>
  <c r="B867" i="13"/>
  <c r="B859" i="13"/>
  <c r="B851" i="13"/>
  <c r="B839" i="13"/>
  <c r="B827" i="13"/>
  <c r="B819" i="13"/>
  <c r="B811" i="13"/>
  <c r="B799" i="13"/>
  <c r="B791" i="13"/>
  <c r="B783" i="13"/>
  <c r="B775" i="13"/>
  <c r="B767" i="13"/>
  <c r="B759" i="13"/>
  <c r="B751" i="13"/>
  <c r="B743" i="13"/>
  <c r="B735" i="13"/>
  <c r="B731" i="13"/>
  <c r="B723" i="13"/>
  <c r="B719" i="13"/>
  <c r="B711" i="13"/>
  <c r="B707" i="13"/>
  <c r="B699" i="13"/>
  <c r="B687" i="13"/>
  <c r="B675" i="13"/>
  <c r="B667" i="13"/>
  <c r="B663" i="13"/>
  <c r="B655" i="13"/>
  <c r="B651" i="13"/>
  <c r="B643" i="13"/>
  <c r="B639" i="13"/>
  <c r="B631" i="13"/>
  <c r="B623" i="13"/>
  <c r="B615" i="13"/>
  <c r="B607" i="13"/>
  <c r="B603" i="13"/>
  <c r="B595" i="13"/>
  <c r="B4443" i="13"/>
  <c r="B3603" i="13"/>
  <c r="B3082" i="13"/>
  <c r="B3018" i="13"/>
  <c r="B2922" i="13"/>
  <c r="B2794" i="13"/>
  <c r="B2666" i="13"/>
  <c r="B2538" i="13"/>
  <c r="B2410" i="13"/>
  <c r="B2306" i="13"/>
  <c r="B2238" i="13"/>
  <c r="B2222" i="13"/>
  <c r="B2174" i="13"/>
  <c r="B2161" i="13"/>
  <c r="B2149" i="13"/>
  <c r="B2125" i="13"/>
  <c r="B2093" i="13"/>
  <c r="B2061" i="13"/>
  <c r="B2029" i="13"/>
  <c r="B1997" i="13"/>
  <c r="B1965" i="13"/>
  <c r="B1933" i="13"/>
  <c r="B1901" i="13"/>
  <c r="B1869" i="13"/>
  <c r="B1861" i="13"/>
  <c r="B1853" i="13"/>
  <c r="B1845" i="13"/>
  <c r="B1837" i="13"/>
  <c r="B1829" i="13"/>
  <c r="B1821" i="13"/>
  <c r="B1813" i="13"/>
  <c r="B1805" i="13"/>
  <c r="B1797" i="13"/>
  <c r="B1789" i="13"/>
  <c r="B1781" i="13"/>
  <c r="B1773" i="13"/>
  <c r="B1765" i="13"/>
  <c r="B1757" i="13"/>
  <c r="B1749" i="13"/>
  <c r="B1741" i="13"/>
  <c r="B1733" i="13"/>
  <c r="B1725" i="13"/>
  <c r="B1717" i="13"/>
  <c r="B1709" i="13"/>
  <c r="B1701" i="13"/>
  <c r="B1693" i="13"/>
  <c r="B1685" i="13"/>
  <c r="B1677" i="13"/>
  <c r="B1669" i="13"/>
  <c r="B1661" i="13"/>
  <c r="B1653" i="13"/>
  <c r="B1645" i="13"/>
  <c r="B1637" i="13"/>
  <c r="B1629" i="13"/>
  <c r="B1597" i="13"/>
  <c r="B1565" i="13"/>
  <c r="B1533" i="13"/>
  <c r="B1501" i="13"/>
  <c r="B1469" i="13"/>
  <c r="B1437" i="13"/>
  <c r="B1405" i="13"/>
  <c r="B1373" i="13"/>
  <c r="B1341" i="13"/>
  <c r="B1309" i="13"/>
  <c r="B1277" i="13"/>
  <c r="B1245" i="13"/>
  <c r="B1234" i="13"/>
  <c r="B1229" i="13"/>
  <c r="B2746" i="13"/>
  <c r="B2490" i="13"/>
  <c r="B2270" i="13"/>
  <c r="B2049" i="13"/>
  <c r="B1985" i="13"/>
  <c r="B1577" i="13"/>
  <c r="B1513" i="13"/>
  <c r="B1481" i="13"/>
  <c r="B1417" i="13"/>
  <c r="B1385" i="13"/>
  <c r="B1353" i="13"/>
  <c r="B1257" i="13"/>
  <c r="B1223" i="13"/>
  <c r="B1215" i="13"/>
  <c r="B1207" i="13"/>
  <c r="B1199" i="13"/>
  <c r="B1191" i="13"/>
  <c r="B1183" i="13"/>
  <c r="B1179" i="13"/>
  <c r="B1171" i="13"/>
  <c r="B1163" i="13"/>
  <c r="B1155" i="13"/>
  <c r="B1147" i="13"/>
  <c r="B1139" i="13"/>
  <c r="B1131" i="13"/>
  <c r="B1123" i="13"/>
  <c r="B1115" i="13"/>
  <c r="B1107" i="13"/>
  <c r="B1099" i="13"/>
  <c r="B1091" i="13"/>
  <c r="B1083" i="13"/>
  <c r="B1067" i="13"/>
  <c r="B1059" i="13"/>
  <c r="B1055" i="13"/>
  <c r="B1047" i="13"/>
  <c r="B1039" i="13"/>
  <c r="B1027" i="13"/>
  <c r="B1015" i="13"/>
  <c r="B999" i="13"/>
  <c r="B983" i="13"/>
  <c r="B971" i="13"/>
  <c r="B963" i="13"/>
  <c r="B955" i="13"/>
  <c r="B951" i="13"/>
  <c r="B943" i="13"/>
  <c r="B935" i="13"/>
  <c r="B927" i="13"/>
  <c r="B915" i="13"/>
  <c r="B907" i="13"/>
  <c r="B895" i="13"/>
  <c r="B883" i="13"/>
  <c r="B871" i="13"/>
  <c r="B863" i="13"/>
  <c r="B855" i="13"/>
  <c r="B847" i="13"/>
  <c r="B843" i="13"/>
  <c r="B835" i="13"/>
  <c r="B831" i="13"/>
  <c r="B823" i="13"/>
  <c r="B815" i="13"/>
  <c r="B807" i="13"/>
  <c r="B803" i="13"/>
  <c r="B795" i="13"/>
  <c r="B787" i="13"/>
  <c r="B779" i="13"/>
  <c r="B771" i="13"/>
  <c r="B763" i="13"/>
  <c r="B755" i="13"/>
  <c r="B747" i="13"/>
  <c r="B739" i="13"/>
  <c r="B727" i="13"/>
  <c r="B715" i="13"/>
  <c r="B703" i="13"/>
  <c r="B695" i="13"/>
  <c r="B691" i="13"/>
  <c r="B683" i="13"/>
  <c r="B679" i="13"/>
  <c r="B671" i="13"/>
  <c r="B659" i="13"/>
  <c r="B647" i="13"/>
  <c r="B635" i="13"/>
  <c r="B627" i="13"/>
  <c r="B619" i="13"/>
  <c r="B611" i="13"/>
  <c r="B599" i="13"/>
  <c r="B591" i="13"/>
  <c r="B3066" i="13"/>
  <c r="B2954" i="13"/>
  <c r="B2698" i="13"/>
  <c r="B2442" i="13"/>
  <c r="B2286" i="13"/>
  <c r="B2158" i="13"/>
  <c r="B2069" i="13"/>
  <c r="B2005" i="13"/>
  <c r="B1941" i="13"/>
  <c r="B1877" i="13"/>
  <c r="B1621" i="13"/>
  <c r="B1557" i="13"/>
  <c r="B1493" i="13"/>
  <c r="B1429" i="13"/>
  <c r="B1365" i="13"/>
  <c r="B1301" i="13"/>
  <c r="B1238" i="13"/>
  <c r="B587" i="13"/>
  <c r="B569" i="13"/>
  <c r="B562" i="13"/>
  <c r="B555" i="13"/>
  <c r="B537" i="13"/>
  <c r="B530" i="13"/>
  <c r="B523" i="13"/>
  <c r="B505" i="13"/>
  <c r="B498" i="13"/>
  <c r="B491" i="13"/>
  <c r="B473" i="13"/>
  <c r="B466" i="13"/>
  <c r="B459" i="13"/>
  <c r="B441" i="13"/>
  <c r="B434" i="13"/>
  <c r="B427" i="13"/>
  <c r="B409" i="13"/>
  <c r="B402" i="13"/>
  <c r="B395" i="13"/>
  <c r="B377" i="13"/>
  <c r="B370" i="13"/>
  <c r="B363" i="13"/>
  <c r="B345" i="13"/>
  <c r="B338" i="13"/>
  <c r="B331" i="13"/>
  <c r="B313" i="13"/>
  <c r="B306" i="13"/>
  <c r="B299" i="13"/>
  <c r="B281" i="13"/>
  <c r="B274" i="13"/>
  <c r="B267" i="13"/>
  <c r="B249" i="13"/>
  <c r="B242" i="13"/>
  <c r="B235" i="13"/>
  <c r="B217" i="13"/>
  <c r="B210" i="13"/>
  <c r="B203" i="13"/>
  <c r="B185" i="13"/>
  <c r="B178" i="13"/>
  <c r="B171" i="13"/>
  <c r="B153" i="13"/>
  <c r="B146" i="13"/>
  <c r="B139" i="13"/>
  <c r="B121" i="13"/>
  <c r="B114" i="13"/>
  <c r="B107" i="13"/>
  <c r="B89" i="13"/>
  <c r="B82" i="13"/>
  <c r="B75" i="13"/>
  <c r="B57" i="13"/>
  <c r="B50" i="13"/>
  <c r="B43" i="13"/>
  <c r="B25" i="13"/>
  <c r="B18" i="13"/>
  <c r="B11" i="13"/>
  <c r="B4815" i="13"/>
  <c r="B2210" i="13"/>
  <c r="B2129" i="13"/>
  <c r="B1217" i="13"/>
  <c r="B1193" i="13"/>
  <c r="B1177" i="13"/>
  <c r="B1153" i="13"/>
  <c r="B1137" i="13"/>
  <c r="B1113" i="13"/>
  <c r="B1089" i="13"/>
  <c r="B1073" i="13"/>
  <c r="B1049" i="13"/>
  <c r="B1033" i="13"/>
  <c r="B1009" i="13"/>
  <c r="B993" i="13"/>
  <c r="B969" i="13"/>
  <c r="B945" i="13"/>
  <c r="B921" i="13"/>
  <c r="B889" i="13"/>
  <c r="B865" i="13"/>
  <c r="B849" i="13"/>
  <c r="B825" i="13"/>
  <c r="B809" i="13"/>
  <c r="B785" i="13"/>
  <c r="B761" i="13"/>
  <c r="B737" i="13"/>
  <c r="B721" i="13"/>
  <c r="B697" i="13"/>
  <c r="B673" i="13"/>
  <c r="B649" i="13"/>
  <c r="B617" i="13"/>
  <c r="B593" i="13"/>
  <c r="B573" i="13"/>
  <c r="B566" i="13"/>
  <c r="B559" i="13"/>
  <c r="B541" i="13"/>
  <c r="B534" i="13"/>
  <c r="B527" i="13"/>
  <c r="B502" i="13"/>
  <c r="B495" i="13"/>
  <c r="B463" i="13"/>
  <c r="B445" i="13"/>
  <c r="B438" i="13"/>
  <c r="B399" i="13"/>
  <c r="B381" i="13"/>
  <c r="B374" i="13"/>
  <c r="B285" i="13"/>
  <c r="B253" i="13"/>
  <c r="B239" i="13"/>
  <c r="B221" i="13"/>
  <c r="B175" i="13"/>
  <c r="B157" i="13"/>
  <c r="B143" i="13"/>
  <c r="B125" i="13"/>
  <c r="B118" i="13"/>
  <c r="B111" i="13"/>
  <c r="B93" i="13"/>
  <c r="B86" i="13"/>
  <c r="B47" i="13"/>
  <c r="B29" i="13"/>
  <c r="B15" i="13"/>
  <c r="B3002" i="13"/>
  <c r="B2826" i="13"/>
  <c r="B2570" i="13"/>
  <c r="B2370" i="13"/>
  <c r="B1973" i="13"/>
  <c r="B1397" i="13"/>
  <c r="B1333" i="13"/>
  <c r="B1233" i="13"/>
  <c r="B585" i="13"/>
  <c r="B507" i="13"/>
  <c r="B482" i="13"/>
  <c r="B443" i="13"/>
  <c r="B425" i="13"/>
  <c r="B386" i="13"/>
  <c r="B354" i="13"/>
  <c r="B315" i="13"/>
  <c r="B297" i="13"/>
  <c r="B290" i="13"/>
  <c r="B258" i="13"/>
  <c r="B251" i="13"/>
  <c r="B226" i="13"/>
  <c r="B162" i="13"/>
  <c r="B123" i="13"/>
  <c r="B105" i="13"/>
  <c r="B98" i="13"/>
  <c r="B59" i="13"/>
  <c r="B41" i="13"/>
  <c r="B27" i="13"/>
  <c r="B9" i="13"/>
  <c r="B3146" i="13"/>
  <c r="B2402" i="13"/>
  <c r="B2334" i="13"/>
  <c r="B1601" i="13"/>
  <c r="B1537" i="13"/>
  <c r="B1409" i="13"/>
  <c r="B1206" i="13"/>
  <c r="B1190" i="13"/>
  <c r="B1166" i="13"/>
  <c r="B1150" i="13"/>
  <c r="B1126" i="13"/>
  <c r="B1102" i="13"/>
  <c r="B1078" i="13"/>
  <c r="B1054" i="13"/>
  <c r="B1038" i="13"/>
  <c r="B1014" i="13"/>
  <c r="B990" i="13"/>
  <c r="B974" i="13"/>
  <c r="B950" i="13"/>
  <c r="B934" i="13"/>
  <c r="B910" i="13"/>
  <c r="B886" i="13"/>
  <c r="B870" i="13"/>
  <c r="B846" i="13"/>
  <c r="B822" i="13"/>
  <c r="B806" i="13"/>
  <c r="B782" i="13"/>
  <c r="B758" i="13"/>
  <c r="B734" i="13"/>
  <c r="B710" i="13"/>
  <c r="B678" i="13"/>
  <c r="B654" i="13"/>
  <c r="B638" i="13"/>
  <c r="B614" i="13"/>
  <c r="B598" i="13"/>
  <c r="B583" i="13"/>
  <c r="B565" i="13"/>
  <c r="B519" i="13"/>
  <c r="B501" i="13"/>
  <c r="B494" i="13"/>
  <c r="B462" i="13"/>
  <c r="B423" i="13"/>
  <c r="B405" i="13"/>
  <c r="B366" i="13"/>
  <c r="B270" i="13"/>
  <c r="B245" i="13"/>
  <c r="B206" i="13"/>
  <c r="B174" i="13"/>
  <c r="B135" i="13"/>
  <c r="B39" i="13"/>
  <c r="B14" i="13"/>
  <c r="B4102" i="13"/>
  <c r="B2986" i="13"/>
  <c r="B2013" i="13"/>
  <c r="B1865" i="13"/>
  <c r="B1833" i="13"/>
  <c r="B1769" i="13"/>
  <c r="B1721" i="13"/>
  <c r="B1673" i="13"/>
  <c r="B1613" i="13"/>
  <c r="B1485" i="13"/>
  <c r="B563" i="13"/>
  <c r="B531" i="13"/>
  <c r="B449" i="13"/>
  <c r="B371" i="13"/>
  <c r="B307" i="13"/>
  <c r="B289" i="13"/>
  <c r="B179" i="13"/>
  <c r="B147" i="13"/>
  <c r="B97" i="13"/>
  <c r="B90" i="13"/>
  <c r="B65" i="13"/>
  <c r="B2142" i="13"/>
  <c r="B1969" i="13"/>
  <c r="B1433" i="13"/>
  <c r="B1369" i="13"/>
  <c r="B1189" i="13"/>
  <c r="B1165" i="13"/>
  <c r="B1125" i="13"/>
  <c r="B1093" i="13"/>
  <c r="B5043" i="13"/>
  <c r="B3822" i="13"/>
  <c r="B3278" i="13"/>
  <c r="B2778" i="13"/>
  <c r="B2522" i="13"/>
  <c r="B2318" i="13"/>
  <c r="B2133" i="13"/>
  <c r="B2089" i="13"/>
  <c r="B2025" i="13"/>
  <c r="B1961" i="13"/>
  <c r="B1897" i="13"/>
  <c r="B1569" i="13"/>
  <c r="B1505" i="13"/>
  <c r="B1441" i="13"/>
  <c r="B1377" i="13"/>
  <c r="B1313" i="13"/>
  <c r="B1249" i="13"/>
  <c r="B1218" i="13"/>
  <c r="B1210" i="13"/>
  <c r="B1202" i="13"/>
  <c r="B1194" i="13"/>
  <c r="B1186" i="13"/>
  <c r="B1178" i="13"/>
  <c r="B1170" i="13"/>
  <c r="B1162" i="13"/>
  <c r="B1154" i="13"/>
  <c r="B1146" i="13"/>
  <c r="B1138" i="13"/>
  <c r="B1130" i="13"/>
  <c r="B1122" i="13"/>
  <c r="B1114" i="13"/>
  <c r="B1106" i="13"/>
  <c r="B1098" i="13"/>
  <c r="B1090" i="13"/>
  <c r="B1082" i="13"/>
  <c r="B1074" i="13"/>
  <c r="B1066" i="13"/>
  <c r="B1058" i="13"/>
  <c r="B1050" i="13"/>
  <c r="B1042" i="13"/>
  <c r="B1034" i="13"/>
  <c r="B1026" i="13"/>
  <c r="B1018" i="13"/>
  <c r="B1010" i="13"/>
  <c r="B1002" i="13"/>
  <c r="B994" i="13"/>
  <c r="B986" i="13"/>
  <c r="B978" i="13"/>
  <c r="B970" i="13"/>
  <c r="B962" i="13"/>
  <c r="B954" i="13"/>
  <c r="B946" i="13"/>
  <c r="B938" i="13"/>
  <c r="B930" i="13"/>
  <c r="B922" i="13"/>
  <c r="B914" i="13"/>
  <c r="B906" i="13"/>
  <c r="B898" i="13"/>
  <c r="B890" i="13"/>
  <c r="B882" i="13"/>
  <c r="B874" i="13"/>
  <c r="B866" i="13"/>
  <c r="B858" i="13"/>
  <c r="B850" i="13"/>
  <c r="B842" i="13"/>
  <c r="B834" i="13"/>
  <c r="B826" i="13"/>
  <c r="B818" i="13"/>
  <c r="B810" i="13"/>
  <c r="B802" i="13"/>
  <c r="B794" i="13"/>
  <c r="B786" i="13"/>
  <c r="B778" i="13"/>
  <c r="B770" i="13"/>
  <c r="B762" i="13"/>
  <c r="B754" i="13"/>
  <c r="B746" i="13"/>
  <c r="B738" i="13"/>
  <c r="B730" i="13"/>
  <c r="B722" i="13"/>
  <c r="B714" i="13"/>
  <c r="B706" i="13"/>
  <c r="B698" i="13"/>
  <c r="B690" i="13"/>
  <c r="B682" i="13"/>
  <c r="B674" i="13"/>
  <c r="B666" i="13"/>
  <c r="B658" i="13"/>
  <c r="B650" i="13"/>
  <c r="B642" i="13"/>
  <c r="B634" i="13"/>
  <c r="B626" i="13"/>
  <c r="B618" i="13"/>
  <c r="B610" i="13"/>
  <c r="B602" i="13"/>
  <c r="B594" i="13"/>
  <c r="B581" i="13"/>
  <c r="B574" i="13"/>
  <c r="B567" i="13"/>
  <c r="B549" i="13"/>
  <c r="B542" i="13"/>
  <c r="B535" i="13"/>
  <c r="B517" i="13"/>
  <c r="B510" i="13"/>
  <c r="B503" i="13"/>
  <c r="B485" i="13"/>
  <c r="B478" i="13"/>
  <c r="B471" i="13"/>
  <c r="B453" i="13"/>
  <c r="B446" i="13"/>
  <c r="B439" i="13"/>
  <c r="B421" i="13"/>
  <c r="B414" i="13"/>
  <c r="B407" i="13"/>
  <c r="B389" i="13"/>
  <c r="B382" i="13"/>
  <c r="B375" i="13"/>
  <c r="B357" i="13"/>
  <c r="B350" i="13"/>
  <c r="B343" i="13"/>
  <c r="B325" i="13"/>
  <c r="B318" i="13"/>
  <c r="B311" i="13"/>
  <c r="B293" i="13"/>
  <c r="B286" i="13"/>
  <c r="B279" i="13"/>
  <c r="B261" i="13"/>
  <c r="B254" i="13"/>
  <c r="B247" i="13"/>
  <c r="B229" i="13"/>
  <c r="B222" i="13"/>
  <c r="B215" i="13"/>
  <c r="B197" i="13"/>
  <c r="B190" i="13"/>
  <c r="B183" i="13"/>
  <c r="B165" i="13"/>
  <c r="B158" i="13"/>
  <c r="B151" i="13"/>
  <c r="B133" i="13"/>
  <c r="B126" i="13"/>
  <c r="B119" i="13"/>
  <c r="B101" i="13"/>
  <c r="B94" i="13"/>
  <c r="B87" i="13"/>
  <c r="B69" i="13"/>
  <c r="B62" i="13"/>
  <c r="B55" i="13"/>
  <c r="B37" i="13"/>
  <c r="B30" i="13"/>
  <c r="B23" i="13"/>
  <c r="B2426" i="13"/>
  <c r="B1873" i="13"/>
  <c r="B1465" i="13"/>
  <c r="B1201" i="13"/>
  <c r="B1161" i="13"/>
  <c r="B1121" i="13"/>
  <c r="B1097" i="13"/>
  <c r="B1057" i="13"/>
  <c r="B1017" i="13"/>
  <c r="B985" i="13"/>
  <c r="B961" i="13"/>
  <c r="B929" i="13"/>
  <c r="B905" i="13"/>
  <c r="B873" i="13"/>
  <c r="B833" i="13"/>
  <c r="B793" i="13"/>
  <c r="B769" i="13"/>
  <c r="B745" i="13"/>
  <c r="B705" i="13"/>
  <c r="B681" i="13"/>
  <c r="B657" i="13"/>
  <c r="B633" i="13"/>
  <c r="B609" i="13"/>
  <c r="B509" i="13"/>
  <c r="B431" i="13"/>
  <c r="B406" i="13"/>
  <c r="B278" i="13"/>
  <c r="B246" i="13"/>
  <c r="B207" i="13"/>
  <c r="B189" i="13"/>
  <c r="B182" i="13"/>
  <c r="B2302" i="13"/>
  <c r="B2170" i="13"/>
  <c r="B2101" i="13"/>
  <c r="B2037" i="13"/>
  <c r="B1589" i="13"/>
  <c r="B1525" i="13"/>
  <c r="B1461" i="13"/>
  <c r="B571" i="13"/>
  <c r="B553" i="13"/>
  <c r="B539" i="13"/>
  <c r="B514" i="13"/>
  <c r="B489" i="13"/>
  <c r="B457" i="13"/>
  <c r="B418" i="13"/>
  <c r="B379" i="13"/>
  <c r="B361" i="13"/>
  <c r="B283" i="13"/>
  <c r="B265" i="13"/>
  <c r="B219" i="13"/>
  <c r="B201" i="13"/>
  <c r="B187" i="13"/>
  <c r="B169" i="13"/>
  <c r="B155" i="13"/>
  <c r="B137" i="13"/>
  <c r="B91" i="13"/>
  <c r="B73" i="13"/>
  <c r="B2057" i="13"/>
  <c r="B1993" i="13"/>
  <c r="B1929" i="13"/>
  <c r="B1345" i="13"/>
  <c r="B1281" i="13"/>
  <c r="B1222" i="13"/>
  <c r="B1182" i="13"/>
  <c r="B1142" i="13"/>
  <c r="B1118" i="13"/>
  <c r="B1094" i="13"/>
  <c r="B1070" i="13"/>
  <c r="B1030" i="13"/>
  <c r="B998" i="13"/>
  <c r="B958" i="13"/>
  <c r="B926" i="13"/>
  <c r="B894" i="13"/>
  <c r="B862" i="13"/>
  <c r="B830" i="13"/>
  <c r="B798" i="13"/>
  <c r="B774" i="13"/>
  <c r="B726" i="13"/>
  <c r="B694" i="13"/>
  <c r="B662" i="13"/>
  <c r="B630" i="13"/>
  <c r="B590" i="13"/>
  <c r="B551" i="13"/>
  <c r="B533" i="13"/>
  <c r="B295" i="13"/>
  <c r="B277" i="13"/>
  <c r="B231" i="13"/>
  <c r="B213" i="13"/>
  <c r="B181" i="13"/>
  <c r="B142" i="13"/>
  <c r="B110" i="13"/>
  <c r="B71" i="13"/>
  <c r="B46" i="13"/>
  <c r="B21" i="13"/>
  <c r="B2730" i="13"/>
  <c r="B2077" i="13"/>
  <c r="B1885" i="13"/>
  <c r="B1817" i="13"/>
  <c r="B1737" i="13"/>
  <c r="B1549" i="13"/>
  <c r="B499" i="13"/>
  <c r="B417" i="13"/>
  <c r="B378" i="13"/>
  <c r="B353" i="13"/>
  <c r="B314" i="13"/>
  <c r="B282" i="13"/>
  <c r="B243" i="13"/>
  <c r="B161" i="13"/>
  <c r="B122" i="13"/>
  <c r="B33" i="13"/>
  <c r="B1625" i="13"/>
  <c r="B1221" i="13"/>
  <c r="B1181" i="13"/>
  <c r="B1141" i="13"/>
  <c r="B1109" i="13"/>
  <c r="B3050" i="13"/>
  <c r="B2858" i="13"/>
  <c r="B2602" i="13"/>
  <c r="B2350" i="13"/>
  <c r="B2156" i="13"/>
  <c r="B2109" i="13"/>
  <c r="B2045" i="13"/>
  <c r="B1981" i="13"/>
  <c r="B1917" i="13"/>
  <c r="B1857" i="13"/>
  <c r="B1841" i="13"/>
  <c r="B1825" i="13"/>
  <c r="B1809" i="13"/>
  <c r="B1793" i="13"/>
  <c r="B1777" i="13"/>
  <c r="B1761" i="13"/>
  <c r="B1745" i="13"/>
  <c r="B1729" i="13"/>
  <c r="B1713" i="13"/>
  <c r="B1697" i="13"/>
  <c r="B1681" i="13"/>
  <c r="B1665" i="13"/>
  <c r="B1649" i="13"/>
  <c r="B1633" i="13"/>
  <c r="B1581" i="13"/>
  <c r="B1517" i="13"/>
  <c r="B1453" i="13"/>
  <c r="B1389" i="13"/>
  <c r="B1325" i="13"/>
  <c r="B1261" i="13"/>
  <c r="B1237" i="13"/>
  <c r="B1226" i="13"/>
  <c r="B586" i="13"/>
  <c r="B579" i="13"/>
  <c r="B561" i="13"/>
  <c r="B554" i="13"/>
  <c r="B547" i="13"/>
  <c r="B529" i="13"/>
  <c r="B522" i="13"/>
  <c r="B515" i="13"/>
  <c r="B497" i="13"/>
  <c r="B490" i="13"/>
  <c r="B483" i="13"/>
  <c r="B465" i="13"/>
  <c r="B458" i="13"/>
  <c r="B451" i="13"/>
  <c r="B433" i="13"/>
  <c r="B426" i="13"/>
  <c r="B419" i="13"/>
  <c r="B401" i="13"/>
  <c r="B394" i="13"/>
  <c r="B387" i="13"/>
  <c r="B369" i="13"/>
  <c r="B362" i="13"/>
  <c r="B355" i="13"/>
  <c r="B337" i="13"/>
  <c r="B330" i="13"/>
  <c r="B323" i="13"/>
  <c r="B305" i="13"/>
  <c r="B298" i="13"/>
  <c r="B291" i="13"/>
  <c r="B273" i="13"/>
  <c r="B266" i="13"/>
  <c r="B259" i="13"/>
  <c r="B241" i="13"/>
  <c r="B234" i="13"/>
  <c r="B227" i="13"/>
  <c r="B209" i="13"/>
  <c r="B202" i="13"/>
  <c r="B195" i="13"/>
  <c r="B177" i="13"/>
  <c r="B170" i="13"/>
  <c r="B163" i="13"/>
  <c r="B145" i="13"/>
  <c r="B138" i="13"/>
  <c r="B131" i="13"/>
  <c r="B113" i="13"/>
  <c r="B106" i="13"/>
  <c r="B99" i="13"/>
  <c r="B81" i="13"/>
  <c r="B74" i="13"/>
  <c r="B67" i="13"/>
  <c r="B49" i="13"/>
  <c r="B42" i="13"/>
  <c r="B35" i="13"/>
  <c r="B17" i="13"/>
  <c r="B10" i="13"/>
  <c r="B2938" i="13"/>
  <c r="B2682" i="13"/>
  <c r="B2382" i="13"/>
  <c r="B2065" i="13"/>
  <c r="B2001" i="13"/>
  <c r="B1937" i="13"/>
  <c r="B1593" i="13"/>
  <c r="B1529" i="13"/>
  <c r="B1401" i="13"/>
  <c r="B1337" i="13"/>
  <c r="B1273" i="13"/>
  <c r="B1209" i="13"/>
  <c r="B1185" i="13"/>
  <c r="B1169" i="13"/>
  <c r="B1145" i="13"/>
  <c r="B1129" i="13"/>
  <c r="B1105" i="13"/>
  <c r="B1081" i="13"/>
  <c r="B1065" i="13"/>
  <c r="B1041" i="13"/>
  <c r="B1025" i="13"/>
  <c r="B1001" i="13"/>
  <c r="B977" i="13"/>
  <c r="B953" i="13"/>
  <c r="B937" i="13"/>
  <c r="B913" i="13"/>
  <c r="B897" i="13"/>
  <c r="B881" i="13"/>
  <c r="B857" i="13"/>
  <c r="B841" i="13"/>
  <c r="B817" i="13"/>
  <c r="B801" i="13"/>
  <c r="B777" i="13"/>
  <c r="B753" i="13"/>
  <c r="B729" i="13"/>
  <c r="B713" i="13"/>
  <c r="B689" i="13"/>
  <c r="B665" i="13"/>
  <c r="B641" i="13"/>
  <c r="B625" i="13"/>
  <c r="B601" i="13"/>
  <c r="B477" i="13"/>
  <c r="B470" i="13"/>
  <c r="B413" i="13"/>
  <c r="B367" i="13"/>
  <c r="B349" i="13"/>
  <c r="B342" i="13"/>
  <c r="B335" i="13"/>
  <c r="B317" i="13"/>
  <c r="B310" i="13"/>
  <c r="B303" i="13"/>
  <c r="B271" i="13"/>
  <c r="B214" i="13"/>
  <c r="B150" i="13"/>
  <c r="B79" i="13"/>
  <c r="B61" i="13"/>
  <c r="B54" i="13"/>
  <c r="B22" i="13"/>
  <c r="B1909" i="13"/>
  <c r="B1269" i="13"/>
  <c r="B578" i="13"/>
  <c r="B546" i="13"/>
  <c r="B521" i="13"/>
  <c r="B475" i="13"/>
  <c r="B450" i="13"/>
  <c r="B411" i="13"/>
  <c r="B393" i="13"/>
  <c r="B347" i="13"/>
  <c r="B329" i="13"/>
  <c r="B322" i="13"/>
  <c r="B233" i="13"/>
  <c r="B194" i="13"/>
  <c r="B130" i="13"/>
  <c r="B66" i="13"/>
  <c r="B34" i="13"/>
  <c r="B3534" i="13"/>
  <c r="B2906" i="13"/>
  <c r="B2650" i="13"/>
  <c r="B2121" i="13"/>
  <c r="B1473" i="13"/>
  <c r="B1214" i="13"/>
  <c r="B1198" i="13"/>
  <c r="B1174" i="13"/>
  <c r="B1158" i="13"/>
  <c r="B1134" i="13"/>
  <c r="B1110" i="13"/>
  <c r="B1086" i="13"/>
  <c r="B1062" i="13"/>
  <c r="B1046" i="13"/>
  <c r="B1022" i="13"/>
  <c r="B1006" i="13"/>
  <c r="B982" i="13"/>
  <c r="B966" i="13"/>
  <c r="B942" i="13"/>
  <c r="B918" i="13"/>
  <c r="B902" i="13"/>
  <c r="B878" i="13"/>
  <c r="B854" i="13"/>
  <c r="B838" i="13"/>
  <c r="B814" i="13"/>
  <c r="B790" i="13"/>
  <c r="B766" i="13"/>
  <c r="B742" i="13"/>
  <c r="B718" i="13"/>
  <c r="B686" i="13"/>
  <c r="B670" i="13"/>
  <c r="B646" i="13"/>
  <c r="B622" i="13"/>
  <c r="B606" i="13"/>
  <c r="B558" i="13"/>
  <c r="B526" i="13"/>
  <c r="B487" i="13"/>
  <c r="B469" i="13"/>
  <c r="B455" i="13"/>
  <c r="B437" i="13"/>
  <c r="B430" i="13"/>
  <c r="B398" i="13"/>
  <c r="B373" i="13"/>
  <c r="B359" i="13"/>
  <c r="B341" i="13"/>
  <c r="B327" i="13"/>
  <c r="B309" i="13"/>
  <c r="B302" i="13"/>
  <c r="B263" i="13"/>
  <c r="B238" i="13"/>
  <c r="B199" i="13"/>
  <c r="B167" i="13"/>
  <c r="B103" i="13"/>
  <c r="B78" i="13"/>
  <c r="B2474" i="13"/>
  <c r="B2366" i="13"/>
  <c r="B1949" i="13"/>
  <c r="B1849" i="13"/>
  <c r="B1785" i="13"/>
  <c r="B1753" i="13"/>
  <c r="B1705" i="13"/>
  <c r="B1657" i="13"/>
  <c r="B1421" i="13"/>
  <c r="B1357" i="13"/>
  <c r="B570" i="13"/>
  <c r="B545" i="13"/>
  <c r="B506" i="13"/>
  <c r="B481" i="13"/>
  <c r="B467" i="13"/>
  <c r="B442" i="13"/>
  <c r="B403" i="13"/>
  <c r="B385" i="13"/>
  <c r="B346" i="13"/>
  <c r="B321" i="13"/>
  <c r="B275" i="13"/>
  <c r="B250" i="13"/>
  <c r="B211" i="13"/>
  <c r="B186" i="13"/>
  <c r="B129" i="13"/>
  <c r="B83" i="13"/>
  <c r="B58" i="13"/>
  <c r="B19" i="13"/>
  <c r="B3470" i="13"/>
  <c r="B2554" i="13"/>
  <c r="B2398" i="13"/>
  <c r="B2097" i="13"/>
  <c r="B2033" i="13"/>
  <c r="B1905" i="13"/>
  <c r="B1561" i="13"/>
  <c r="B1305" i="13"/>
  <c r="B1213" i="13"/>
  <c r="B1197" i="13"/>
  <c r="B1173" i="13"/>
  <c r="B1133" i="13"/>
  <c r="B4271" i="13"/>
  <c r="B750" i="13"/>
  <c r="B334" i="13"/>
  <c r="B1641" i="13"/>
  <c r="B1293" i="13"/>
  <c r="B538" i="13"/>
  <c r="B410" i="13"/>
  <c r="B218" i="13"/>
  <c r="B51" i="13"/>
  <c r="B1149" i="13"/>
  <c r="B702" i="13"/>
  <c r="B391" i="13"/>
  <c r="B149" i="13"/>
  <c r="B117" i="13"/>
  <c r="B85" i="13"/>
  <c r="B53" i="13"/>
  <c r="B1801" i="13"/>
  <c r="B1689" i="13"/>
  <c r="B1242" i="13"/>
  <c r="B577" i="13"/>
  <c r="B513" i="13"/>
  <c r="B474" i="13"/>
  <c r="B435" i="13"/>
  <c r="B339" i="13"/>
  <c r="B257" i="13"/>
  <c r="B225" i="13"/>
  <c r="B193" i="13"/>
  <c r="B154" i="13"/>
  <c r="B115" i="13"/>
  <c r="B26" i="13"/>
  <c r="B2810" i="13"/>
  <c r="B1497" i="13"/>
  <c r="B1205" i="13"/>
  <c r="B1157" i="13"/>
  <c r="B1117" i="13"/>
  <c r="B1101" i="13"/>
  <c r="B1029" i="13"/>
  <c r="B965" i="13"/>
  <c r="B901" i="13"/>
  <c r="B837" i="13"/>
  <c r="B773" i="13"/>
  <c r="B709" i="13"/>
  <c r="B645" i="13"/>
  <c r="B582" i="13"/>
  <c r="B479" i="13"/>
  <c r="B429" i="13"/>
  <c r="B326" i="13"/>
  <c r="B223" i="13"/>
  <c r="B173" i="13"/>
  <c r="B70" i="13"/>
  <c r="B869" i="13"/>
  <c r="B454" i="13"/>
  <c r="B925" i="13"/>
  <c r="B1085" i="13"/>
  <c r="B1021" i="13"/>
  <c r="B957" i="13"/>
  <c r="B893" i="13"/>
  <c r="B829" i="13"/>
  <c r="B765" i="13"/>
  <c r="B701" i="13"/>
  <c r="B637" i="13"/>
  <c r="B575" i="13"/>
  <c r="B525" i="13"/>
  <c r="B422" i="13"/>
  <c r="B319" i="13"/>
  <c r="B269" i="13"/>
  <c r="B166" i="13"/>
  <c r="B63" i="13"/>
  <c r="B13" i="13"/>
  <c r="B933" i="13"/>
  <c r="B95" i="13"/>
  <c r="B861" i="13"/>
  <c r="B1077" i="13"/>
  <c r="B1013" i="13"/>
  <c r="B949" i="13"/>
  <c r="B885" i="13"/>
  <c r="B821" i="13"/>
  <c r="B757" i="13"/>
  <c r="B693" i="13"/>
  <c r="B629" i="13"/>
  <c r="B518" i="13"/>
  <c r="B415" i="13"/>
  <c r="B365" i="13"/>
  <c r="B262" i="13"/>
  <c r="B159" i="13"/>
  <c r="B109" i="13"/>
  <c r="B805" i="13"/>
  <c r="B351" i="13"/>
  <c r="B1053" i="13"/>
  <c r="B1069" i="13"/>
  <c r="B1005" i="13"/>
  <c r="B941" i="13"/>
  <c r="B877" i="13"/>
  <c r="B813" i="13"/>
  <c r="B749" i="13"/>
  <c r="B685" i="13"/>
  <c r="B621" i="13"/>
  <c r="B511" i="13"/>
  <c r="B461" i="13"/>
  <c r="B358" i="13"/>
  <c r="B255" i="13"/>
  <c r="B205" i="13"/>
  <c r="B102" i="13"/>
  <c r="B997" i="13"/>
  <c r="B741" i="13"/>
  <c r="B677" i="13"/>
  <c r="B557" i="13"/>
  <c r="B301" i="13"/>
  <c r="B797" i="13"/>
  <c r="B550" i="13"/>
  <c r="B447" i="13"/>
  <c r="B38" i="13"/>
  <c r="B1045" i="13"/>
  <c r="B981" i="13"/>
  <c r="B917" i="13"/>
  <c r="B853" i="13"/>
  <c r="B789" i="13"/>
  <c r="B725" i="13"/>
  <c r="B661" i="13"/>
  <c r="B597" i="13"/>
  <c r="B543" i="13"/>
  <c r="B493" i="13"/>
  <c r="B390" i="13"/>
  <c r="B287" i="13"/>
  <c r="B237" i="13"/>
  <c r="B134" i="13"/>
  <c r="B31" i="13"/>
  <c r="B1061" i="13"/>
  <c r="B45" i="13"/>
  <c r="B733" i="13"/>
  <c r="B191" i="13"/>
  <c r="B1037" i="13"/>
  <c r="B973" i="13"/>
  <c r="B909" i="13"/>
  <c r="B845" i="13"/>
  <c r="B781" i="13"/>
  <c r="B717" i="13"/>
  <c r="B653" i="13"/>
  <c r="B589" i="13"/>
  <c r="B486" i="13"/>
  <c r="B383" i="13"/>
  <c r="B333" i="13"/>
  <c r="B230" i="13"/>
  <c r="B127" i="13"/>
  <c r="B77" i="13"/>
  <c r="B613" i="13"/>
  <c r="B198" i="13"/>
  <c r="B989" i="13"/>
  <c r="B669" i="13"/>
  <c r="B605" i="13"/>
  <c r="B397" i="13"/>
  <c r="B294" i="13"/>
  <c r="B141" i="13"/>
  <c r="B23" i="9"/>
  <c r="C9" i="6"/>
  <c r="C10" i="6" s="1"/>
  <c r="C18" i="6" s="1"/>
  <c r="G6" i="11" l="1"/>
  <c r="C6" i="9"/>
  <c r="C16" i="9" s="1"/>
  <c r="C18" i="9" s="1"/>
  <c r="C23" i="9" s="1"/>
  <c r="G5" i="11"/>
  <c r="C7" i="7"/>
  <c r="G4" i="11"/>
  <c r="B9" i="12"/>
  <c r="C6" i="8"/>
  <c r="C8" i="8" s="1"/>
  <c r="C6" i="7"/>
  <c r="D9" i="6"/>
  <c r="D10" i="6" s="1"/>
  <c r="D18" i="6" s="1"/>
  <c r="E3" i="6"/>
  <c r="E5" i="6" s="1"/>
  <c r="E6" i="6" s="1"/>
  <c r="E8" i="6" s="1"/>
  <c r="E14" i="6"/>
  <c r="F2" i="6"/>
  <c r="E15" i="6"/>
  <c r="E16" i="6" s="1"/>
  <c r="E4" i="6"/>
  <c r="E10" i="6" l="1"/>
  <c r="E18" i="6" s="1"/>
  <c r="E9" i="6"/>
  <c r="F14" i="6"/>
  <c r="G2" i="6"/>
  <c r="F3" i="6"/>
  <c r="F4" i="6"/>
  <c r="F15" i="6"/>
  <c r="F16" i="6" s="1"/>
  <c r="H5" i="11"/>
  <c r="D7" i="7"/>
  <c r="D11" i="7" s="1"/>
  <c r="H4" i="11"/>
  <c r="D6" i="9"/>
  <c r="D16" i="9" s="1"/>
  <c r="D18" i="9" s="1"/>
  <c r="D23" i="9" s="1"/>
  <c r="C9" i="12"/>
  <c r="H6" i="11"/>
  <c r="D6" i="7"/>
  <c r="D6" i="8"/>
  <c r="D8" i="8" s="1"/>
  <c r="C11" i="7"/>
  <c r="F5" i="6" l="1"/>
  <c r="F6" i="6" s="1"/>
  <c r="F8" i="6" s="1"/>
  <c r="I5" i="11"/>
  <c r="E7" i="7"/>
  <c r="I4" i="11"/>
  <c r="E6" i="8"/>
  <c r="E8" i="8" s="1"/>
  <c r="E6" i="7"/>
  <c r="I6" i="11"/>
  <c r="D9" i="12"/>
  <c r="E6" i="9"/>
  <c r="E16" i="9" s="1"/>
  <c r="E18" i="9" s="1"/>
  <c r="E23" i="9" s="1"/>
  <c r="G15" i="6"/>
  <c r="G16" i="6" s="1"/>
  <c r="G4" i="6"/>
  <c r="G3" i="6"/>
  <c r="G5" i="6" s="1"/>
  <c r="G6" i="6" s="1"/>
  <c r="G8" i="6" s="1"/>
  <c r="H2" i="6"/>
  <c r="G14" i="6"/>
  <c r="G9" i="6" l="1"/>
  <c r="G10" i="6" s="1"/>
  <c r="G18" i="6" s="1"/>
  <c r="H15" i="6"/>
  <c r="H16" i="6" s="1"/>
  <c r="H14" i="6"/>
  <c r="I2" i="6"/>
  <c r="H4" i="6"/>
  <c r="H3" i="6"/>
  <c r="H5" i="6" s="1"/>
  <c r="H6" i="6" s="1"/>
  <c r="H8" i="6" s="1"/>
  <c r="F9" i="6"/>
  <c r="F10" i="6"/>
  <c r="F18" i="6" s="1"/>
  <c r="E11" i="7"/>
  <c r="H9" i="6" l="1"/>
  <c r="H10" i="6" s="1"/>
  <c r="H18" i="6" s="1"/>
  <c r="K4" i="11"/>
  <c r="G6" i="8"/>
  <c r="G8" i="8" s="1"/>
  <c r="G6" i="7"/>
  <c r="F9" i="12"/>
  <c r="G7" i="7"/>
  <c r="G11" i="7" s="1"/>
  <c r="K6" i="11"/>
  <c r="K5" i="11"/>
  <c r="G6" i="9"/>
  <c r="G16" i="9" s="1"/>
  <c r="G18" i="9" s="1"/>
  <c r="G23" i="9" s="1"/>
  <c r="I15" i="6"/>
  <c r="I14" i="6"/>
  <c r="J2" i="6"/>
  <c r="I4" i="6"/>
  <c r="I3" i="6"/>
  <c r="F7" i="7"/>
  <c r="J4" i="11"/>
  <c r="F6" i="8"/>
  <c r="F8" i="8" s="1"/>
  <c r="F6" i="7"/>
  <c r="E9" i="12"/>
  <c r="J6" i="11"/>
  <c r="J5" i="11"/>
  <c r="F6" i="9"/>
  <c r="F16" i="9" s="1"/>
  <c r="F18" i="9" s="1"/>
  <c r="F23" i="9" s="1"/>
  <c r="G9" i="12" l="1"/>
  <c r="L6" i="11"/>
  <c r="L5" i="11"/>
  <c r="H6" i="7"/>
  <c r="H6" i="9"/>
  <c r="H16" i="9" s="1"/>
  <c r="H18" i="9" s="1"/>
  <c r="H23" i="9" s="1"/>
  <c r="H6" i="8"/>
  <c r="H8" i="8" s="1"/>
  <c r="H7" i="7"/>
  <c r="H11" i="7" s="1"/>
  <c r="L4" i="11"/>
  <c r="J4" i="6"/>
  <c r="J3" i="6"/>
  <c r="J5" i="6" s="1"/>
  <c r="J6" i="6" s="1"/>
  <c r="J8" i="6" s="1"/>
  <c r="J14" i="6"/>
  <c r="J16" i="6"/>
  <c r="I16" i="6"/>
  <c r="F11" i="7"/>
  <c r="I5" i="6"/>
  <c r="I6" i="6" s="1"/>
  <c r="I8" i="6" s="1"/>
  <c r="J9" i="6" l="1"/>
  <c r="J10" i="6" s="1"/>
  <c r="I9" i="6"/>
  <c r="I10" i="6" s="1"/>
  <c r="I18" i="6" s="1"/>
  <c r="M6" i="11" l="1"/>
  <c r="I6" i="9"/>
  <c r="I16" i="9" s="1"/>
  <c r="I18" i="9" s="1"/>
  <c r="I23" i="9" s="1"/>
  <c r="M4" i="11"/>
  <c r="H9" i="12"/>
  <c r="I7" i="7"/>
  <c r="I6" i="8"/>
  <c r="I8" i="8" s="1"/>
  <c r="I6" i="7"/>
  <c r="M5" i="11"/>
  <c r="C3449" i="13"/>
  <c r="C6029" i="13"/>
  <c r="C5447" i="13"/>
  <c r="C6231" i="13"/>
  <c r="C7509" i="13"/>
  <c r="C430" i="13"/>
  <c r="C1019" i="13"/>
  <c r="C35" i="13"/>
  <c r="C4442" i="13"/>
  <c r="C2449" i="13"/>
  <c r="C7312" i="13"/>
  <c r="C4864" i="13"/>
  <c r="C3188" i="13"/>
  <c r="C4430" i="13"/>
  <c r="C4171" i="13"/>
  <c r="C9732" i="13"/>
  <c r="C4997" i="13"/>
  <c r="C3732" i="13"/>
  <c r="C1625" i="13"/>
  <c r="C8652" i="13"/>
  <c r="C8543" i="13"/>
  <c r="C7790" i="13"/>
  <c r="C1003" i="13"/>
  <c r="C7648" i="13"/>
  <c r="C5934" i="13"/>
  <c r="C4673" i="13"/>
  <c r="C9394" i="13"/>
  <c r="C5942" i="13"/>
  <c r="C4722" i="13"/>
  <c r="C8513" i="13"/>
  <c r="C7506" i="13"/>
  <c r="C2691" i="13"/>
  <c r="C3366" i="13"/>
  <c r="C3722" i="13"/>
  <c r="C792" i="13"/>
  <c r="C487" i="13"/>
  <c r="C5911" i="13"/>
  <c r="C9385" i="13"/>
  <c r="C2728" i="13"/>
  <c r="C7502" i="13"/>
  <c r="C5073" i="13"/>
  <c r="C4168" i="13"/>
  <c r="C8489" i="13"/>
  <c r="C2193" i="13"/>
  <c r="C7864" i="13"/>
  <c r="C6562" i="13"/>
  <c r="C922" i="13"/>
  <c r="C9840" i="13"/>
  <c r="C5839" i="13"/>
  <c r="C1153" i="13"/>
  <c r="C3240" i="13"/>
  <c r="C7213" i="13"/>
  <c r="C6098" i="13"/>
  <c r="C5378" i="13"/>
  <c r="C8377" i="13"/>
  <c r="C8484" i="13"/>
  <c r="C6728" i="13"/>
  <c r="C6930" i="13"/>
  <c r="C7010" i="13"/>
  <c r="C5603" i="13"/>
  <c r="C4446" i="13"/>
  <c r="C2019" i="13"/>
  <c r="C4478" i="13"/>
  <c r="C9967" i="13"/>
  <c r="C7733" i="13"/>
  <c r="C5364" i="13"/>
  <c r="C6791" i="13"/>
  <c r="C6810" i="13"/>
  <c r="C2169" i="13"/>
  <c r="C4926" i="13"/>
  <c r="C5222" i="13"/>
  <c r="C9181" i="13"/>
  <c r="C8050" i="13"/>
  <c r="C6680" i="13"/>
  <c r="C6501" i="13"/>
  <c r="C7416" i="13"/>
  <c r="C6424" i="13"/>
  <c r="C9637" i="13"/>
  <c r="C7983" i="13"/>
  <c r="C1172" i="13"/>
  <c r="C5844" i="13"/>
  <c r="C6718" i="13"/>
  <c r="C1925" i="13"/>
  <c r="C6956" i="13"/>
  <c r="C7339" i="13"/>
  <c r="C5717" i="13"/>
  <c r="C1728" i="13"/>
  <c r="C5517" i="13"/>
  <c r="C9739" i="13"/>
  <c r="C5156" i="13"/>
  <c r="C7656" i="13"/>
  <c r="C6334" i="13"/>
  <c r="C4871" i="13"/>
  <c r="C2891" i="13"/>
  <c r="C2768" i="13"/>
  <c r="C569" i="13"/>
  <c r="C2579" i="13"/>
  <c r="C1196" i="13"/>
  <c r="C5468" i="13"/>
  <c r="C7709" i="13"/>
  <c r="C6533" i="13"/>
  <c r="C7826" i="13"/>
  <c r="C7940" i="13"/>
  <c r="C2120" i="13"/>
  <c r="C6802" i="13"/>
  <c r="C6435" i="13"/>
  <c r="C6515" i="13"/>
  <c r="C2576" i="13"/>
  <c r="C4494" i="13"/>
  <c r="C2478" i="13"/>
  <c r="C2336" i="13"/>
  <c r="C9737" i="13"/>
  <c r="C8213" i="13"/>
  <c r="C3537" i="13"/>
  <c r="C7451" i="13"/>
  <c r="C6185" i="13"/>
  <c r="C7172" i="13"/>
  <c r="C6885" i="13"/>
  <c r="C7160" i="13"/>
  <c r="C3088" i="13"/>
  <c r="C3203" i="13"/>
  <c r="C1251" i="13"/>
  <c r="C3467" i="13"/>
  <c r="C9676" i="13"/>
  <c r="C7815" i="13"/>
  <c r="C1727" i="13"/>
  <c r="C4808" i="13"/>
  <c r="C6692" i="13"/>
  <c r="C8530" i="13"/>
  <c r="C3929" i="13"/>
  <c r="C6201" i="13"/>
  <c r="C8121" i="13"/>
  <c r="C6141" i="13"/>
  <c r="C5846" i="13"/>
  <c r="C9214" i="13"/>
  <c r="C458" i="13"/>
  <c r="C4543" i="13"/>
  <c r="C4893" i="13"/>
  <c r="C7231" i="13"/>
  <c r="C1815" i="13"/>
  <c r="C2981" i="13"/>
  <c r="C4875" i="13"/>
  <c r="C3765" i="13"/>
  <c r="C6236" i="13"/>
  <c r="C1781" i="13"/>
  <c r="C2403" i="13"/>
  <c r="C4410" i="13"/>
  <c r="C4263" i="13"/>
  <c r="C6675" i="13"/>
  <c r="C5401" i="13"/>
  <c r="C1382" i="13"/>
  <c r="C4051" i="13"/>
  <c r="C8952" i="13"/>
  <c r="C3135" i="13"/>
  <c r="C5481" i="13"/>
  <c r="C9051" i="13"/>
  <c r="C9802" i="13"/>
  <c r="C4152" i="13"/>
  <c r="C5747" i="13"/>
  <c r="C6354" i="13"/>
  <c r="C146" i="13"/>
  <c r="C3592" i="13"/>
  <c r="C3233" i="13"/>
  <c r="C5079" i="13"/>
  <c r="C6372" i="13"/>
  <c r="C1332" i="13"/>
  <c r="C9249" i="13"/>
  <c r="C6850" i="13"/>
  <c r="C9505" i="13"/>
  <c r="C5463" i="13"/>
  <c r="C7998" i="13"/>
  <c r="C9256" i="13"/>
  <c r="C6919" i="13"/>
  <c r="C6867" i="13"/>
  <c r="C8155" i="13"/>
  <c r="C2130" i="13"/>
  <c r="C4023" i="13"/>
  <c r="C8779" i="13"/>
  <c r="C2684" i="13"/>
  <c r="C5537" i="13"/>
  <c r="C5457" i="13"/>
  <c r="C5759" i="13"/>
  <c r="C6584" i="13"/>
  <c r="C5549" i="13"/>
  <c r="C7086" i="13"/>
  <c r="C6306" i="13"/>
  <c r="C6787" i="13"/>
  <c r="C8754" i="13"/>
  <c r="C5276" i="13"/>
  <c r="C6264" i="13"/>
  <c r="C5210" i="13"/>
  <c r="C3994" i="13"/>
  <c r="C8023" i="13"/>
  <c r="C3997" i="13"/>
  <c r="C9896" i="13"/>
  <c r="C2871" i="13"/>
  <c r="C8522" i="13"/>
  <c r="C9675" i="13"/>
  <c r="C3263" i="13"/>
  <c r="C9977" i="13"/>
  <c r="C5516" i="13"/>
  <c r="C2199" i="13"/>
  <c r="C8169" i="13"/>
  <c r="C9299" i="13"/>
  <c r="C1891" i="13"/>
  <c r="C1057" i="13"/>
  <c r="C1587" i="13"/>
  <c r="C2010" i="13"/>
  <c r="C7996" i="13"/>
  <c r="C5311" i="13"/>
  <c r="C4047" i="13"/>
  <c r="C3781" i="13"/>
  <c r="C1182" i="13"/>
  <c r="C9310" i="13"/>
  <c r="C8911" i="13"/>
  <c r="C3360" i="13"/>
  <c r="C6040" i="13"/>
  <c r="C3029" i="13"/>
  <c r="C2026" i="13"/>
  <c r="C8086" i="13"/>
  <c r="C3354" i="13"/>
  <c r="C8739" i="13"/>
  <c r="C9213" i="13"/>
  <c r="C6379" i="13"/>
  <c r="C1956" i="13"/>
  <c r="C8347" i="13"/>
  <c r="C1610" i="13"/>
  <c r="C7199" i="13"/>
  <c r="C8178" i="13"/>
  <c r="C7769" i="13"/>
  <c r="C6492" i="13"/>
  <c r="C8021" i="13"/>
  <c r="C8273" i="13"/>
  <c r="C2231" i="13"/>
  <c r="C3658" i="13"/>
  <c r="C3726" i="13"/>
  <c r="C9313" i="13"/>
  <c r="C9062" i="13"/>
  <c r="C8460" i="13"/>
  <c r="C3683" i="13"/>
  <c r="C3197" i="13"/>
  <c r="C1028" i="13"/>
  <c r="C5183" i="13"/>
  <c r="C8472" i="13"/>
  <c r="C6588" i="13"/>
  <c r="C6821" i="13"/>
  <c r="C4289" i="13"/>
  <c r="C9825" i="13"/>
  <c r="C8770" i="13"/>
  <c r="C2958" i="13"/>
  <c r="C840" i="13"/>
  <c r="C6988" i="13"/>
  <c r="C9740" i="13"/>
  <c r="C8498" i="13"/>
  <c r="C8544" i="13"/>
  <c r="C6589" i="13"/>
  <c r="C6002" i="13"/>
  <c r="C1896" i="13"/>
  <c r="C5116" i="13"/>
  <c r="C3703" i="13"/>
  <c r="C2888" i="13"/>
  <c r="C9713" i="13"/>
  <c r="C9855" i="13"/>
  <c r="C5008" i="13"/>
  <c r="C9438" i="13"/>
  <c r="C8072" i="13"/>
  <c r="C1786" i="13"/>
  <c r="C8611" i="13"/>
  <c r="C7913" i="13"/>
  <c r="C5907" i="13"/>
  <c r="C4536" i="13"/>
  <c r="C7979" i="13"/>
  <c r="C5939" i="13"/>
  <c r="C1959" i="13"/>
  <c r="C9866" i="13"/>
  <c r="C4876" i="13"/>
  <c r="C9875" i="13"/>
  <c r="C5522" i="13"/>
  <c r="C4458" i="13"/>
  <c r="C550" i="13"/>
  <c r="C4010" i="13"/>
  <c r="C41" i="13"/>
  <c r="C1399" i="13"/>
  <c r="C8828" i="13"/>
  <c r="C4295" i="13"/>
  <c r="C6182" i="13"/>
  <c r="C4882" i="13"/>
  <c r="C4062" i="13"/>
  <c r="C7595" i="13"/>
  <c r="C6653" i="13"/>
  <c r="C3453" i="13"/>
  <c r="C3082" i="13"/>
  <c r="C6479" i="13"/>
  <c r="C8439" i="13"/>
  <c r="C6936" i="13"/>
  <c r="C6720" i="13"/>
  <c r="C311" i="13"/>
  <c r="C154" i="13"/>
  <c r="C8848" i="13"/>
  <c r="C2475" i="13"/>
  <c r="C6763" i="13"/>
  <c r="C4591" i="13"/>
  <c r="C5115" i="13"/>
  <c r="C4810" i="13"/>
  <c r="C9806" i="13"/>
  <c r="C8726" i="13"/>
  <c r="C667" i="13"/>
  <c r="C1016" i="13"/>
  <c r="C4542" i="13"/>
  <c r="C9179" i="13"/>
  <c r="C9628" i="13"/>
  <c r="C8348" i="13"/>
  <c r="C8401" i="13"/>
  <c r="C6579" i="13"/>
  <c r="C6026" i="13"/>
  <c r="C7802" i="13"/>
  <c r="C5882" i="13"/>
  <c r="C4814" i="13"/>
  <c r="C8600" i="13"/>
  <c r="C3007" i="13"/>
  <c r="C7563" i="13"/>
  <c r="C1240" i="13"/>
  <c r="C5441" i="13"/>
  <c r="C4806" i="13"/>
  <c r="C4966" i="13"/>
  <c r="C5414" i="13"/>
  <c r="C3633" i="13"/>
  <c r="C6081" i="13"/>
  <c r="C4001" i="13"/>
  <c r="C3725" i="13"/>
  <c r="C8533" i="13"/>
  <c r="C6818" i="13"/>
  <c r="C4111" i="13"/>
  <c r="C4434" i="13"/>
  <c r="C8956" i="13"/>
  <c r="C900" i="13"/>
  <c r="C3169" i="13"/>
  <c r="C8003" i="13"/>
  <c r="C3514" i="13"/>
  <c r="C465" i="13"/>
  <c r="C9208" i="13"/>
  <c r="C3921" i="13"/>
  <c r="C9751" i="13"/>
  <c r="C4181" i="13"/>
  <c r="C7602" i="13"/>
  <c r="C6806" i="13"/>
  <c r="C9448" i="13"/>
  <c r="C4621" i="13"/>
  <c r="C8982" i="13"/>
  <c r="C3508" i="13"/>
  <c r="C8318" i="13"/>
  <c r="C2353" i="13"/>
  <c r="C8723" i="13"/>
  <c r="C8545" i="13"/>
  <c r="C5735" i="13"/>
  <c r="C8658" i="13"/>
  <c r="C2651" i="13"/>
  <c r="C6453" i="13"/>
  <c r="C6427" i="13"/>
  <c r="C6124" i="13"/>
  <c r="C1957" i="13"/>
  <c r="C6244" i="13"/>
  <c r="C5025" i="13"/>
  <c r="C3507" i="13"/>
  <c r="C4138" i="13"/>
  <c r="C7809" i="13"/>
  <c r="C7638" i="13"/>
  <c r="C1646" i="13"/>
  <c r="C4809" i="13"/>
  <c r="C286" i="13"/>
  <c r="C5103" i="13"/>
  <c r="C4719" i="13"/>
  <c r="C9139" i="13"/>
  <c r="C9830" i="13"/>
  <c r="C9707" i="13"/>
  <c r="C5871" i="13"/>
  <c r="C4684" i="13"/>
  <c r="C6488" i="13"/>
  <c r="C55" i="13"/>
  <c r="C3990" i="13"/>
  <c r="C6538" i="13"/>
  <c r="C747" i="13"/>
  <c r="C6316" i="13"/>
  <c r="C3843" i="13"/>
  <c r="C9658" i="13"/>
  <c r="C9759" i="13"/>
  <c r="C4316" i="13"/>
  <c r="C6127" i="13"/>
  <c r="C5070" i="13"/>
  <c r="C5862" i="13"/>
  <c r="C9684" i="13"/>
  <c r="C3424" i="13"/>
  <c r="C921" i="13"/>
  <c r="C5438" i="13"/>
  <c r="C4185" i="13"/>
  <c r="C5301" i="13"/>
  <c r="C6421" i="13"/>
  <c r="C5544" i="13"/>
  <c r="C9747" i="13"/>
  <c r="C9162" i="13"/>
  <c r="C4671" i="13"/>
  <c r="C86" i="13"/>
  <c r="C8592" i="13"/>
  <c r="C7734" i="13"/>
  <c r="C1268" i="13"/>
  <c r="C1304" i="13"/>
  <c r="C6805" i="13"/>
  <c r="C522" i="13"/>
  <c r="C5161" i="13"/>
  <c r="C3887" i="13"/>
  <c r="C5234" i="13"/>
  <c r="C1991" i="13"/>
  <c r="C6413" i="13"/>
  <c r="C9795" i="13"/>
  <c r="C5891" i="13"/>
  <c r="C8807" i="13"/>
  <c r="C4443" i="13"/>
  <c r="C4217" i="13"/>
  <c r="C2196" i="13"/>
  <c r="C5693" i="13"/>
  <c r="C5046" i="13"/>
  <c r="C9009" i="13"/>
  <c r="C9500" i="13"/>
  <c r="C774" i="13"/>
  <c r="C8337" i="13"/>
  <c r="C7016" i="13"/>
  <c r="C6968" i="13"/>
  <c r="C3719" i="13"/>
  <c r="C9170" i="13"/>
  <c r="C9288" i="13"/>
  <c r="C2726" i="13"/>
  <c r="C5556" i="13"/>
  <c r="C5165" i="13"/>
  <c r="C8043" i="13"/>
  <c r="C8320" i="13"/>
  <c r="C3334" i="13"/>
  <c r="C5168" i="13"/>
  <c r="C7464" i="13"/>
  <c r="C9571" i="13"/>
  <c r="C8369" i="13"/>
  <c r="C7384" i="13"/>
  <c r="C3330" i="13"/>
  <c r="C8648" i="13"/>
  <c r="C7155" i="13"/>
  <c r="C523" i="13"/>
  <c r="C7860" i="13"/>
  <c r="C7738" i="13"/>
  <c r="C1791" i="13"/>
  <c r="C6503" i="13"/>
  <c r="C6137" i="13"/>
  <c r="C6156" i="13"/>
  <c r="C785" i="13"/>
  <c r="C9456" i="13"/>
  <c r="C4119" i="13"/>
  <c r="C6839" i="13"/>
  <c r="C9052" i="13"/>
  <c r="C2326" i="13"/>
  <c r="C8174" i="13"/>
  <c r="C7699" i="13"/>
  <c r="C2105" i="13"/>
  <c r="C3167" i="13"/>
  <c r="C9822" i="13"/>
  <c r="C9566" i="13"/>
  <c r="C8573" i="13"/>
  <c r="C4334" i="13"/>
  <c r="C7889" i="13"/>
  <c r="C507" i="13"/>
  <c r="C9144" i="13"/>
  <c r="C7309" i="13"/>
  <c r="C9182" i="13"/>
  <c r="C9373" i="13"/>
  <c r="C602" i="13"/>
  <c r="C6682" i="13"/>
  <c r="C10001" i="13"/>
  <c r="C1347" i="13"/>
  <c r="C7092" i="13"/>
  <c r="C7902" i="13"/>
  <c r="C1212" i="13"/>
  <c r="C648" i="13"/>
  <c r="C4085" i="13"/>
  <c r="C634" i="13"/>
  <c r="C4569" i="13"/>
  <c r="C7334" i="13"/>
  <c r="C2039" i="13"/>
  <c r="C1668" i="13"/>
  <c r="C1721" i="13"/>
  <c r="C4390" i="13"/>
  <c r="C4818" i="13"/>
  <c r="C9797" i="13"/>
  <c r="C8571" i="13"/>
  <c r="C6946" i="13"/>
  <c r="C8887" i="13"/>
  <c r="C3741" i="13"/>
  <c r="C4527" i="13"/>
  <c r="C7364" i="13"/>
  <c r="C9530" i="13"/>
  <c r="C2420" i="13"/>
  <c r="C5127" i="13"/>
  <c r="C9669" i="13"/>
  <c r="C5031" i="13"/>
  <c r="C9498" i="13"/>
  <c r="C8276" i="13"/>
  <c r="C10008" i="13"/>
  <c r="C2200" i="13"/>
  <c r="C1426" i="13"/>
  <c r="C4751" i="13"/>
  <c r="C1135" i="13"/>
  <c r="C2085" i="13"/>
  <c r="C1287" i="13"/>
  <c r="C1270" i="13"/>
  <c r="C2432" i="13"/>
  <c r="C9981" i="13"/>
  <c r="C8052" i="13"/>
  <c r="C7189" i="13"/>
  <c r="C5823" i="13"/>
  <c r="C4607" i="13"/>
  <c r="C3008" i="13"/>
  <c r="C643" i="13"/>
  <c r="C4267" i="13"/>
  <c r="C6073" i="13"/>
  <c r="C9280" i="13"/>
  <c r="C346" i="13"/>
  <c r="C1761" i="13"/>
  <c r="C3955" i="13"/>
  <c r="C1416" i="13"/>
  <c r="C345" i="13"/>
  <c r="C1879" i="13"/>
  <c r="C5121" i="13"/>
  <c r="C6714" i="13"/>
  <c r="C6577" i="13"/>
  <c r="C6188" i="13"/>
  <c r="C2990" i="13"/>
  <c r="C3339" i="13"/>
  <c r="C1110" i="13"/>
  <c r="C9924" i="13"/>
  <c r="C5621" i="13"/>
  <c r="C1501" i="13"/>
  <c r="C6329" i="13"/>
  <c r="C7229" i="13"/>
  <c r="C4949" i="13"/>
  <c r="C637" i="13"/>
  <c r="C4749" i="13"/>
  <c r="C9796" i="13"/>
  <c r="C375" i="13"/>
  <c r="C5817" i="13"/>
  <c r="C2224" i="13"/>
  <c r="C7831" i="13"/>
  <c r="C7109" i="13"/>
  <c r="C2207" i="13"/>
  <c r="C8700" i="13"/>
  <c r="C2610" i="13"/>
  <c r="C9347" i="13"/>
  <c r="C5099" i="13"/>
  <c r="C9203" i="13"/>
  <c r="C9241" i="13"/>
  <c r="C6862" i="13"/>
  <c r="C9235" i="13"/>
  <c r="C9419" i="13"/>
  <c r="C9516" i="13"/>
  <c r="C2688" i="13"/>
  <c r="C8629" i="13"/>
  <c r="C3597" i="13"/>
  <c r="C8334" i="13"/>
  <c r="C3252" i="13"/>
  <c r="C7947" i="13"/>
  <c r="C3744" i="13"/>
  <c r="C8392" i="13"/>
  <c r="C9528" i="13"/>
  <c r="C2914" i="13"/>
  <c r="C2569" i="13"/>
  <c r="C24" i="13"/>
  <c r="C1245" i="13"/>
  <c r="C8284" i="13"/>
  <c r="C5912" i="13"/>
  <c r="C7938" i="13"/>
  <c r="C8674" i="13"/>
  <c r="C8923" i="13"/>
  <c r="C4912" i="13"/>
  <c r="C9541" i="13"/>
  <c r="C6113" i="13"/>
  <c r="C8643" i="13"/>
  <c r="C4042" i="13"/>
  <c r="C60" i="13"/>
  <c r="C9955" i="13"/>
  <c r="C9042" i="13"/>
  <c r="C7664" i="13"/>
  <c r="C7042" i="13"/>
  <c r="C6054" i="13"/>
  <c r="C5845" i="13"/>
  <c r="C7398" i="13"/>
  <c r="C6666" i="13"/>
  <c r="C2561" i="13"/>
  <c r="C1850" i="13"/>
  <c r="C1023" i="13"/>
  <c r="C7527" i="13"/>
  <c r="C6661" i="13"/>
  <c r="C171" i="13"/>
  <c r="C9091" i="13"/>
  <c r="C1211" i="13"/>
  <c r="C9093" i="13"/>
  <c r="C1123" i="13"/>
  <c r="C8949" i="13"/>
  <c r="C8475" i="13"/>
  <c r="C6816" i="13"/>
  <c r="C5994" i="13"/>
  <c r="C2822" i="13"/>
  <c r="C5997" i="13"/>
  <c r="C6455" i="13"/>
  <c r="C3376" i="13"/>
  <c r="C8383" i="13"/>
  <c r="C952" i="13"/>
  <c r="C9976" i="13"/>
  <c r="C805" i="13"/>
  <c r="C9330" i="13"/>
  <c r="C8467" i="13"/>
  <c r="C9177" i="13"/>
  <c r="C2959" i="13"/>
  <c r="C7007" i="13"/>
  <c r="C7358" i="13"/>
  <c r="C7143" i="13"/>
  <c r="C7481" i="13"/>
  <c r="C8170" i="13"/>
  <c r="C5931" i="13"/>
  <c r="C5772" i="13"/>
  <c r="C1943" i="13"/>
  <c r="C9608" i="13"/>
  <c r="C9454" i="13"/>
  <c r="C7832" i="13"/>
  <c r="C7317" i="13"/>
  <c r="C3023" i="13"/>
  <c r="C1356" i="13"/>
  <c r="C6730" i="13"/>
  <c r="C9218" i="13"/>
  <c r="C8267" i="13"/>
  <c r="C9048" i="13"/>
  <c r="C978" i="13"/>
  <c r="C871" i="13"/>
  <c r="C6122" i="13"/>
  <c r="C910" i="13"/>
  <c r="C373" i="13"/>
  <c r="C3380" i="13"/>
  <c r="C7771" i="13"/>
  <c r="C2687" i="13"/>
  <c r="C7548" i="13"/>
  <c r="C1155" i="13"/>
  <c r="C8035" i="13"/>
  <c r="C6095" i="13"/>
  <c r="C7084" i="13"/>
  <c r="C7108" i="13"/>
  <c r="C5316" i="13"/>
  <c r="C8661" i="13"/>
  <c r="C1431" i="13"/>
  <c r="C1430" i="13"/>
  <c r="C7949" i="13"/>
  <c r="C6461" i="13"/>
  <c r="C3907" i="13"/>
  <c r="C9672" i="13"/>
  <c r="C9791" i="13"/>
  <c r="C2486" i="13"/>
  <c r="C8903" i="13"/>
  <c r="C6917" i="13"/>
  <c r="C9290" i="13"/>
  <c r="C5966" i="13"/>
  <c r="C9538" i="13"/>
  <c r="C9207" i="13"/>
  <c r="C9105" i="13"/>
  <c r="C8895" i="13"/>
  <c r="C3823" i="13"/>
  <c r="C6753" i="13"/>
  <c r="C7633" i="13"/>
  <c r="C7473" i="13"/>
  <c r="C7939" i="13"/>
  <c r="C8062" i="13"/>
  <c r="C554" i="13"/>
  <c r="C3293" i="13"/>
  <c r="C7201" i="13"/>
  <c r="C168" i="13"/>
  <c r="C6166" i="13"/>
  <c r="C8210" i="13"/>
  <c r="C1386" i="13"/>
  <c r="C2741" i="13"/>
  <c r="C5895" i="13"/>
  <c r="C6948" i="13"/>
  <c r="C3760" i="13"/>
  <c r="C5832" i="13"/>
  <c r="C2898" i="13"/>
  <c r="C4572" i="13"/>
  <c r="C5241" i="13"/>
  <c r="C1512" i="13"/>
  <c r="C6627" i="13"/>
  <c r="C4933" i="13"/>
  <c r="C1949" i="13"/>
  <c r="C4335" i="13"/>
  <c r="C1216" i="13"/>
  <c r="C8153" i="13"/>
  <c r="C8065" i="13"/>
  <c r="C3983" i="13"/>
  <c r="C6510" i="13"/>
  <c r="C9418" i="13"/>
  <c r="C9635" i="13"/>
  <c r="C7867" i="13"/>
  <c r="C7031" i="13"/>
  <c r="C9467" i="13"/>
  <c r="C319" i="13"/>
  <c r="C755" i="13"/>
  <c r="C8529" i="13"/>
  <c r="C7124" i="13"/>
  <c r="C9819" i="13"/>
  <c r="C5709" i="13"/>
  <c r="C6736" i="13"/>
  <c r="C4108" i="13"/>
  <c r="C8553" i="13"/>
  <c r="C6555" i="13"/>
  <c r="C9531" i="13"/>
  <c r="C9943" i="13"/>
  <c r="C6129" i="13"/>
  <c r="C7261" i="13"/>
  <c r="C5195" i="13"/>
  <c r="C3789" i="13"/>
  <c r="C4640" i="13"/>
  <c r="C9168" i="13"/>
  <c r="C3959" i="13"/>
  <c r="C9627" i="13"/>
  <c r="C1381" i="13"/>
  <c r="C7993" i="13"/>
  <c r="C6086" i="13"/>
  <c r="C9779" i="13"/>
  <c r="C6252" i="13"/>
  <c r="C5314" i="13"/>
  <c r="C5085" i="13"/>
  <c r="C8385" i="13"/>
  <c r="C7841" i="13"/>
  <c r="C6311" i="13"/>
  <c r="C49" i="13"/>
  <c r="C3274" i="13"/>
  <c r="C902" i="13"/>
  <c r="C2972" i="13"/>
  <c r="C5309" i="13"/>
  <c r="C8416" i="13"/>
  <c r="C2431" i="13"/>
  <c r="C1927" i="13"/>
  <c r="C4559" i="13"/>
  <c r="C2845" i="13"/>
  <c r="C9539" i="13"/>
  <c r="C8017" i="13"/>
  <c r="C7095" i="13"/>
  <c r="C2772" i="13"/>
  <c r="C3417" i="13"/>
  <c r="C1503" i="13"/>
  <c r="C5041" i="13"/>
  <c r="C4245" i="13"/>
  <c r="C8402" i="13"/>
  <c r="C7907" i="13"/>
  <c r="C4610" i="13"/>
  <c r="C4585" i="13"/>
  <c r="C3086" i="13"/>
  <c r="C1064" i="13"/>
  <c r="C6659" i="13"/>
  <c r="C9331" i="13"/>
  <c r="C5822" i="13"/>
  <c r="C4615" i="13"/>
  <c r="C3854" i="13"/>
  <c r="C5650" i="13"/>
  <c r="C2368" i="13"/>
  <c r="C6369" i="13"/>
  <c r="C7891" i="13"/>
  <c r="C2318" i="13"/>
  <c r="C4457" i="13"/>
  <c r="C19" i="13"/>
  <c r="C6197" i="13"/>
  <c r="C5208" i="13"/>
  <c r="C9631" i="13"/>
  <c r="C8815" i="13"/>
  <c r="C9435" i="13"/>
  <c r="C5828" i="13"/>
  <c r="C3130" i="13"/>
  <c r="C644" i="13"/>
  <c r="C3569" i="13"/>
  <c r="C3113" i="13"/>
  <c r="C5841" i="13"/>
  <c r="C3601" i="13"/>
  <c r="C5793" i="13"/>
  <c r="C3713" i="13"/>
  <c r="C5536" i="13"/>
  <c r="C6218" i="13"/>
  <c r="C1333" i="13"/>
  <c r="C3038" i="13"/>
  <c r="C3289" i="13"/>
  <c r="C1311" i="13"/>
  <c r="C7290" i="13"/>
  <c r="C5338" i="13"/>
  <c r="C6446" i="13"/>
  <c r="C3121" i="13"/>
  <c r="C5064" i="13"/>
  <c r="C4798" i="13"/>
  <c r="C8390" i="13"/>
  <c r="C6840" i="13"/>
  <c r="C9143" i="13"/>
  <c r="C5066" i="13"/>
  <c r="C2106" i="13"/>
  <c r="C9431" i="13"/>
  <c r="C647" i="13"/>
  <c r="C8241" i="13"/>
  <c r="C4547" i="13"/>
  <c r="C1139" i="13"/>
  <c r="C732" i="13"/>
  <c r="C6654" i="13"/>
  <c r="C3287" i="13"/>
  <c r="C7477" i="13"/>
  <c r="C6966" i="13"/>
  <c r="C7665" i="13"/>
  <c r="C8559" i="13"/>
  <c r="C6309" i="13"/>
  <c r="C2236" i="13"/>
  <c r="C3153" i="13"/>
  <c r="C2056" i="13"/>
  <c r="C8567" i="13"/>
  <c r="C8340" i="13"/>
  <c r="C617" i="13"/>
  <c r="C106" i="13"/>
  <c r="C196" i="13"/>
  <c r="C7056" i="13"/>
  <c r="C1832" i="13"/>
  <c r="C6817" i="13"/>
  <c r="C4708" i="13"/>
  <c r="C9660" i="13"/>
  <c r="C530" i="13"/>
  <c r="C4738" i="13"/>
  <c r="C3748" i="13"/>
  <c r="C4790" i="13"/>
  <c r="C7165" i="13"/>
  <c r="C5160" i="13"/>
  <c r="C6386" i="13"/>
  <c r="C5674" i="13"/>
  <c r="C2437" i="13"/>
  <c r="C5255" i="13"/>
  <c r="C8897" i="13"/>
  <c r="C4748" i="13"/>
  <c r="C4942" i="13"/>
  <c r="C8209" i="13"/>
  <c r="C7447" i="13"/>
  <c r="C6866" i="13"/>
  <c r="C7676" i="13"/>
  <c r="C7407" i="13"/>
  <c r="C1188" i="13"/>
  <c r="C3192" i="13"/>
  <c r="C9295" i="13"/>
  <c r="C3200" i="13"/>
  <c r="C9307" i="13"/>
  <c r="C5332" i="13"/>
  <c r="C7487" i="13"/>
  <c r="C2202" i="13"/>
  <c r="C3183" i="13"/>
  <c r="C2042" i="13"/>
  <c r="C5829" i="13"/>
  <c r="C4061" i="13"/>
  <c r="C4653" i="13"/>
  <c r="C4173" i="13"/>
  <c r="C4145" i="13"/>
  <c r="C5750" i="13"/>
  <c r="C4513" i="13"/>
  <c r="C5744" i="13"/>
  <c r="C6104" i="13"/>
  <c r="C1478" i="13"/>
  <c r="C6313" i="13"/>
  <c r="C5574" i="13"/>
  <c r="C5958" i="13"/>
  <c r="C5231" i="13"/>
  <c r="C9589" i="13"/>
  <c r="C7932" i="13"/>
  <c r="C7461" i="13"/>
  <c r="C8156" i="13"/>
  <c r="C7521" i="13"/>
  <c r="C7982" i="13"/>
  <c r="C6547" i="13"/>
  <c r="C1988" i="13"/>
  <c r="C2391" i="13"/>
  <c r="C8997" i="13"/>
  <c r="C6438" i="13"/>
  <c r="C3861" i="13"/>
  <c r="C9337" i="13"/>
  <c r="C4149" i="13"/>
  <c r="C1183" i="13"/>
  <c r="C3949" i="13"/>
  <c r="C8654" i="13"/>
  <c r="C4879" i="13"/>
  <c r="C8466" i="13"/>
  <c r="C2345" i="13"/>
  <c r="C4778" i="13"/>
  <c r="C9251" i="13"/>
  <c r="C6050" i="13"/>
  <c r="C4373" i="13"/>
  <c r="C4841" i="13"/>
  <c r="C4405" i="13"/>
  <c r="C31" i="13"/>
  <c r="C4205" i="13"/>
  <c r="C9000" i="13"/>
  <c r="C4398" i="13"/>
  <c r="C2128" i="13"/>
  <c r="C9125" i="13"/>
  <c r="C8353" i="13"/>
  <c r="C3829" i="13"/>
  <c r="C5781" i="13"/>
  <c r="C5962" i="13"/>
  <c r="C9230" i="13"/>
  <c r="C6851" i="13"/>
  <c r="C4006" i="13"/>
  <c r="C4402" i="13"/>
  <c r="C238" i="13"/>
  <c r="C5034" i="13"/>
  <c r="C8384" i="13"/>
  <c r="C5786" i="13"/>
  <c r="C9002" i="13"/>
  <c r="C6722" i="13"/>
  <c r="C574" i="13"/>
  <c r="C5852" i="13"/>
  <c r="C3142" i="13"/>
  <c r="C7142" i="13"/>
  <c r="C3479" i="13"/>
  <c r="C3421" i="13"/>
  <c r="C3123" i="13"/>
  <c r="C9526" i="13"/>
  <c r="C9890" i="13"/>
  <c r="C5681" i="13"/>
  <c r="C669" i="13"/>
  <c r="C7088" i="13"/>
  <c r="C2619" i="13"/>
  <c r="C2328" i="13"/>
  <c r="C1075" i="13"/>
  <c r="C7170" i="13"/>
  <c r="C670" i="13"/>
  <c r="C1070" i="13"/>
  <c r="C3270" i="13"/>
  <c r="C9120" i="13"/>
  <c r="C9569" i="13"/>
  <c r="C5412" i="13"/>
  <c r="C3189" i="13"/>
  <c r="C1933" i="13"/>
  <c r="C4500" i="13"/>
  <c r="C376" i="13"/>
  <c r="C1505" i="13"/>
  <c r="C6047" i="13"/>
  <c r="C8875" i="13"/>
  <c r="C1390" i="13"/>
  <c r="C9513" i="13"/>
  <c r="C4312" i="13"/>
  <c r="C7896" i="13"/>
  <c r="C4538" i="13"/>
  <c r="C9895" i="13"/>
  <c r="C4222" i="13"/>
  <c r="C1735" i="13"/>
  <c r="C5743" i="13"/>
  <c r="C2285" i="13"/>
  <c r="C7934" i="13"/>
  <c r="C6105" i="13"/>
  <c r="C8240" i="13"/>
  <c r="C9236" i="13"/>
  <c r="C1369" i="13"/>
  <c r="C548" i="13"/>
  <c r="C5728" i="13"/>
  <c r="C4883" i="13"/>
  <c r="C9367" i="13"/>
  <c r="C7972" i="13"/>
  <c r="C5171" i="13"/>
  <c r="C9782" i="13"/>
  <c r="C9486" i="13"/>
  <c r="C6240" i="13"/>
  <c r="C6738" i="13"/>
  <c r="C9155" i="13"/>
  <c r="C1479" i="13"/>
  <c r="C4604" i="13"/>
  <c r="C9902" i="13"/>
  <c r="C737" i="13"/>
  <c r="C420" i="13"/>
  <c r="C9537" i="13"/>
  <c r="C1405" i="13"/>
  <c r="C8352" i="13"/>
  <c r="C3972" i="13"/>
  <c r="C8891" i="13"/>
  <c r="C3356" i="13"/>
  <c r="C2639" i="13"/>
  <c r="C5344" i="13"/>
  <c r="C6799" i="13"/>
  <c r="C2317" i="13"/>
  <c r="C9575" i="13"/>
  <c r="C4364" i="13"/>
  <c r="C836" i="13"/>
  <c r="C4477" i="13"/>
  <c r="C9899" i="13"/>
  <c r="C4186" i="13"/>
  <c r="C9883" i="13"/>
  <c r="C1446" i="13"/>
  <c r="C2090" i="13"/>
  <c r="C2583" i="13"/>
  <c r="C7282" i="13"/>
  <c r="C7992" i="13"/>
  <c r="C7695" i="13"/>
  <c r="C8716" i="13"/>
  <c r="C9987" i="13"/>
  <c r="C3459" i="13"/>
  <c r="C1867" i="13"/>
  <c r="C4172" i="13"/>
  <c r="C8742" i="13"/>
  <c r="C4736" i="13"/>
  <c r="C5273" i="13"/>
  <c r="C4894" i="13"/>
  <c r="C8732" i="13"/>
  <c r="C3923" i="13"/>
  <c r="C4125" i="13"/>
  <c r="C4690" i="13"/>
  <c r="C1462" i="13"/>
  <c r="C3168" i="13"/>
  <c r="C7436" i="13"/>
  <c r="C3580" i="13"/>
  <c r="C6541" i="13"/>
  <c r="C8541" i="13"/>
  <c r="C7243" i="13"/>
  <c r="C9845" i="13"/>
  <c r="C7862" i="13"/>
  <c r="C5082" i="13"/>
  <c r="C6425" i="13"/>
  <c r="C773" i="13"/>
  <c r="C1800" i="13"/>
  <c r="C5761" i="13"/>
  <c r="C7838" i="13"/>
  <c r="C3761" i="13"/>
  <c r="C7909" i="13"/>
  <c r="C658" i="13"/>
  <c r="C2524" i="13"/>
  <c r="C7554" i="13"/>
  <c r="C9368" i="13"/>
  <c r="C6519" i="13"/>
  <c r="C1203" i="13"/>
  <c r="C544" i="13"/>
  <c r="C7065" i="13"/>
  <c r="C518" i="13"/>
  <c r="C5259" i="13"/>
  <c r="C1700" i="13"/>
  <c r="C7680" i="13"/>
  <c r="C419" i="13"/>
  <c r="C1922" i="13"/>
  <c r="C6242" i="13"/>
  <c r="C3883" i="13"/>
  <c r="C5418" i="13"/>
  <c r="C6493" i="13"/>
  <c r="C2093" i="13"/>
  <c r="C3724" i="13"/>
  <c r="C7704" i="13"/>
  <c r="C6233" i="13"/>
  <c r="C5020" i="13"/>
  <c r="C4641" i="13"/>
  <c r="C9301" i="13"/>
  <c r="C7696" i="13"/>
  <c r="C2487" i="13"/>
  <c r="C9154" i="13"/>
  <c r="C5836" i="13"/>
  <c r="C1366" i="13"/>
  <c r="C2775" i="13"/>
  <c r="C8746" i="13"/>
  <c r="C9517" i="13"/>
  <c r="C1772" i="13"/>
  <c r="C6826" i="13"/>
  <c r="C9446" i="13"/>
  <c r="C8125" i="13"/>
  <c r="C5086" i="13"/>
  <c r="C46" i="13"/>
  <c r="C1040" i="13"/>
  <c r="C3717" i="13"/>
  <c r="C2099" i="13"/>
  <c r="C754" i="13"/>
  <c r="C2401" i="13"/>
  <c r="C5745" i="13"/>
  <c r="C1705" i="13"/>
  <c r="C5879" i="13"/>
  <c r="C6550" i="13"/>
  <c r="C5946" i="13"/>
  <c r="C6419" i="13"/>
  <c r="C4054" i="13"/>
  <c r="C6973" i="13"/>
  <c r="C5153" i="13"/>
  <c r="C8474" i="13"/>
  <c r="C2509" i="13"/>
  <c r="C4319" i="13"/>
  <c r="C6897" i="13"/>
  <c r="C3797" i="13"/>
  <c r="C9512" i="13"/>
  <c r="C9273" i="13"/>
  <c r="C7459" i="13"/>
  <c r="C6321" i="13"/>
  <c r="C3805" i="13"/>
  <c r="C9582" i="13"/>
  <c r="C7491" i="13"/>
  <c r="C9532" i="13"/>
  <c r="C8627" i="13"/>
  <c r="C9841" i="13"/>
  <c r="C4037" i="13"/>
  <c r="C1005" i="13"/>
  <c r="C683" i="13"/>
  <c r="C5148" i="13"/>
  <c r="C1344" i="13"/>
  <c r="C5577" i="13"/>
  <c r="C3351" i="13"/>
  <c r="C3638" i="13"/>
  <c r="C5534" i="13"/>
  <c r="C7539" i="13"/>
  <c r="C3382" i="13"/>
  <c r="C8201" i="13"/>
  <c r="C5600" i="13"/>
  <c r="C9503" i="13"/>
  <c r="C8166" i="13"/>
  <c r="C5122" i="13"/>
  <c r="C7055" i="13"/>
  <c r="C5593" i="13"/>
  <c r="C8591" i="13"/>
  <c r="C6953" i="13"/>
  <c r="C6780" i="13"/>
  <c r="C7089" i="13"/>
  <c r="C7169" i="13"/>
  <c r="C699" i="13"/>
  <c r="C3505" i="13"/>
  <c r="C4975" i="13"/>
  <c r="C9540" i="13"/>
  <c r="C1763" i="13"/>
  <c r="C5018" i="13"/>
  <c r="C9501" i="13"/>
  <c r="C9711" i="13"/>
  <c r="C8902" i="13"/>
  <c r="C9269" i="13"/>
  <c r="C228" i="13"/>
  <c r="C9736" i="13"/>
  <c r="C8822" i="13"/>
  <c r="C8572" i="13"/>
  <c r="C8532" i="13"/>
  <c r="C5926" i="13"/>
  <c r="C2752" i="13"/>
  <c r="C8748" i="13"/>
  <c r="C2184" i="13"/>
  <c r="C2546" i="13"/>
  <c r="C10005" i="13"/>
  <c r="C6994" i="13"/>
  <c r="C8856" i="13"/>
  <c r="C1402" i="13"/>
  <c r="C9341" i="13"/>
  <c r="C9413" i="13"/>
  <c r="C9432" i="13"/>
  <c r="C5004" i="13"/>
  <c r="C5213" i="13"/>
  <c r="C6629" i="13"/>
  <c r="C4961" i="13"/>
  <c r="C1397" i="13"/>
  <c r="C3106" i="13"/>
  <c r="C3754" i="13"/>
  <c r="C1530" i="13"/>
  <c r="C6131" i="13"/>
  <c r="C6307" i="13"/>
  <c r="C5952" i="13"/>
  <c r="C3629" i="13"/>
  <c r="C7404" i="13"/>
  <c r="C3917" i="13"/>
  <c r="C3889" i="13"/>
  <c r="C9074" i="13"/>
  <c r="C6337" i="13"/>
  <c r="C4257" i="13"/>
  <c r="C9104" i="13"/>
  <c r="C6792" i="13"/>
  <c r="C2332" i="13"/>
  <c r="C6614" i="13"/>
  <c r="C7256" i="13"/>
  <c r="C1460" i="13"/>
  <c r="C7569" i="13"/>
  <c r="C7347" i="13"/>
  <c r="C581" i="13"/>
  <c r="C9654" i="13"/>
  <c r="C8562" i="13"/>
  <c r="C2320" i="13"/>
  <c r="C833" i="13"/>
  <c r="C9679" i="13"/>
  <c r="C431" i="13"/>
  <c r="C6781" i="13"/>
  <c r="C9988" i="13"/>
  <c r="C8623" i="13"/>
  <c r="C6859" i="13"/>
  <c r="C1955" i="13"/>
  <c r="C4060" i="13"/>
  <c r="C2620" i="13"/>
  <c r="C2911" i="13"/>
  <c r="C6801" i="13"/>
  <c r="C2827" i="13"/>
  <c r="C7640" i="13"/>
  <c r="C3027" i="13"/>
  <c r="C5415" i="13"/>
  <c r="C5308" i="13"/>
  <c r="C8894" i="13"/>
  <c r="C3879" i="13"/>
  <c r="C6030" i="13"/>
  <c r="C1769" i="13"/>
  <c r="C2164" i="13"/>
  <c r="C5830" i="13"/>
  <c r="C4433" i="13"/>
  <c r="C9176" i="13"/>
  <c r="C7046" i="13"/>
  <c r="C6902" i="13"/>
  <c r="C8505" i="13"/>
  <c r="C7600" i="13"/>
  <c r="C9050" i="13"/>
  <c r="C5088" i="13"/>
  <c r="C4435" i="13"/>
  <c r="C7759" i="13"/>
  <c r="C2294" i="13"/>
  <c r="C1882" i="13"/>
  <c r="C9649" i="13"/>
  <c r="C7333" i="13"/>
  <c r="C7767" i="13"/>
  <c r="C1624" i="13"/>
  <c r="C9457" i="13"/>
  <c r="C8133" i="13"/>
  <c r="C9817" i="13"/>
  <c r="C4761" i="13"/>
  <c r="C1176" i="13"/>
  <c r="C6561" i="13"/>
  <c r="C5746" i="13"/>
  <c r="C7781" i="13"/>
  <c r="C9657" i="13"/>
  <c r="C5357" i="13"/>
  <c r="C3444" i="13"/>
  <c r="C8069" i="13"/>
  <c r="C301" i="13"/>
  <c r="C3639" i="13"/>
  <c r="C9275" i="13"/>
  <c r="C7151" i="13"/>
  <c r="C8117" i="13"/>
  <c r="C1880" i="13"/>
  <c r="C9370" i="13"/>
  <c r="C8111" i="13"/>
  <c r="C9821" i="13"/>
  <c r="C6426" i="13"/>
  <c r="C3202" i="13"/>
  <c r="C8309" i="13"/>
  <c r="C505" i="13"/>
  <c r="C8998" i="13"/>
  <c r="C8924" i="13"/>
  <c r="C9309" i="13"/>
  <c r="C5497" i="13"/>
  <c r="C7956" i="13"/>
  <c r="C5542" i="13"/>
  <c r="C9790" i="13"/>
  <c r="C6955" i="13"/>
  <c r="C8507" i="13"/>
  <c r="C9699" i="13"/>
  <c r="C9480" i="13"/>
  <c r="C360" i="13"/>
  <c r="C6346" i="13"/>
  <c r="C622" i="13"/>
  <c r="C867" i="13"/>
  <c r="C6024" i="13"/>
  <c r="C2642" i="13"/>
  <c r="C2664" i="13"/>
  <c r="C9493" i="13"/>
  <c r="C9366" i="13"/>
  <c r="C6683" i="13"/>
  <c r="C6525" i="13"/>
  <c r="C5341" i="13"/>
  <c r="C8448" i="13"/>
  <c r="C6448" i="13"/>
  <c r="C3864" i="13"/>
  <c r="C6838" i="13"/>
  <c r="C4344" i="13"/>
  <c r="C233" i="13"/>
  <c r="C1621" i="13"/>
  <c r="C6249" i="13"/>
  <c r="C7125" i="13"/>
  <c r="C6748" i="13"/>
  <c r="C40" i="13"/>
  <c r="C6410" i="13"/>
  <c r="C9077" i="13"/>
  <c r="C7394" i="13"/>
  <c r="C3414" i="13"/>
  <c r="C9997" i="13"/>
  <c r="C6803" i="13"/>
  <c r="C826" i="13"/>
  <c r="C2371" i="13"/>
  <c r="C3792" i="13"/>
  <c r="C2855" i="13"/>
  <c r="C322" i="13"/>
  <c r="C9408" i="13"/>
  <c r="C8996" i="13"/>
  <c r="C2842" i="13"/>
  <c r="C72" i="13"/>
  <c r="C3784" i="13"/>
  <c r="C3104" i="13"/>
  <c r="C8880" i="13"/>
  <c r="C5646" i="13"/>
  <c r="C5825" i="13"/>
  <c r="C9136" i="13"/>
  <c r="C6409" i="13"/>
  <c r="C5223" i="13"/>
  <c r="C4522" i="13"/>
  <c r="C6842" i="13"/>
  <c r="C8101" i="13"/>
  <c r="C2440" i="13"/>
  <c r="C2674" i="13"/>
  <c r="C3588" i="13"/>
  <c r="C7167" i="13"/>
  <c r="C1481" i="13"/>
  <c r="C7421" i="13"/>
  <c r="C7742" i="13"/>
  <c r="C2984" i="13"/>
  <c r="C4686" i="13"/>
  <c r="C5502" i="13"/>
  <c r="C770" i="13"/>
  <c r="C5763" i="13"/>
  <c r="C8085" i="13"/>
  <c r="C9130" i="13"/>
  <c r="C1327" i="13"/>
  <c r="C9165" i="13"/>
  <c r="C7321" i="13"/>
  <c r="C4823" i="13"/>
  <c r="C9771" i="13"/>
  <c r="C8061" i="13"/>
  <c r="C6732" i="13"/>
  <c r="C9339" i="13"/>
  <c r="C8077" i="13"/>
  <c r="C4327" i="13"/>
  <c r="C4816" i="13"/>
  <c r="C8168" i="13"/>
  <c r="C8860" i="13"/>
  <c r="C7292" i="13"/>
  <c r="C4528" i="13"/>
  <c r="J17" i="6"/>
  <c r="J17" i="9" s="1"/>
  <c r="J18" i="6"/>
  <c r="C4836" i="13" s="1"/>
  <c r="C3932" i="13" l="1"/>
  <c r="C7930" i="13"/>
  <c r="C4700" i="13"/>
  <c r="C4180" i="13"/>
  <c r="C4635" i="13"/>
  <c r="C4717" i="13"/>
  <c r="C6340" i="13"/>
  <c r="C3229" i="13"/>
  <c r="C4826" i="13"/>
  <c r="C6741" i="13"/>
  <c r="C9137" i="13"/>
  <c r="C68" i="13"/>
  <c r="C1152" i="13"/>
  <c r="C7307" i="13"/>
  <c r="C4662" i="13"/>
  <c r="C1427" i="13"/>
  <c r="C9560" i="13"/>
  <c r="C4853" i="13"/>
  <c r="C8234" i="13"/>
  <c r="C3547" i="13"/>
  <c r="C7883" i="13"/>
  <c r="C7107" i="13"/>
  <c r="C1720" i="13"/>
  <c r="C3753" i="13"/>
  <c r="C4456" i="13"/>
  <c r="C8030" i="13"/>
  <c r="C9625" i="13"/>
  <c r="C2622" i="13"/>
  <c r="C4175" i="13"/>
  <c r="C7823" i="13"/>
  <c r="C6096" i="13"/>
  <c r="C7713" i="13"/>
  <c r="C1037" i="13"/>
  <c r="C9506" i="13"/>
  <c r="C7813" i="13"/>
  <c r="C9381" i="13"/>
  <c r="C5668" i="13"/>
  <c r="C8108" i="13"/>
  <c r="C1581" i="13"/>
  <c r="C5225" i="13"/>
  <c r="C3702" i="13"/>
  <c r="C5889" i="13"/>
  <c r="C2900" i="13"/>
  <c r="C5014" i="13"/>
  <c r="C2875" i="13"/>
  <c r="C8400" i="13"/>
  <c r="C1661" i="13"/>
  <c r="C1818" i="13"/>
  <c r="C9455" i="13"/>
  <c r="C6960" i="13"/>
  <c r="C7020" i="13"/>
  <c r="C8007" i="13"/>
  <c r="C6071" i="13"/>
  <c r="C5413" i="13"/>
  <c r="C9853" i="13"/>
  <c r="C9863" i="13"/>
  <c r="C8185" i="13"/>
  <c r="C5809" i="13"/>
  <c r="C8637" i="13"/>
  <c r="C3328" i="13"/>
  <c r="C6260" i="13"/>
  <c r="C6625" i="13"/>
  <c r="C3194" i="13"/>
  <c r="C591" i="13"/>
  <c r="C5465" i="13"/>
  <c r="C8775" i="13"/>
  <c r="C7361" i="13"/>
  <c r="C4631" i="13"/>
  <c r="C8864" i="13"/>
  <c r="C5394" i="13"/>
  <c r="C9286" i="13"/>
  <c r="C5980" i="13"/>
  <c r="C2058" i="13"/>
  <c r="C3032" i="13"/>
  <c r="C8827" i="13"/>
  <c r="C6540" i="13"/>
  <c r="C6111" i="13"/>
  <c r="C3778" i="13"/>
  <c r="C5894" i="13"/>
  <c r="C4595" i="13"/>
  <c r="C4533" i="13"/>
  <c r="C2578" i="13"/>
  <c r="C6308" i="13"/>
  <c r="C8692" i="13"/>
  <c r="C131" i="13"/>
  <c r="C8885" i="13"/>
  <c r="C9285" i="13"/>
  <c r="C2378" i="13"/>
  <c r="C8360" i="13"/>
  <c r="C7456" i="13"/>
  <c r="C4235" i="13"/>
  <c r="C6724" i="13"/>
  <c r="C2790" i="13"/>
  <c r="C942" i="13"/>
  <c r="C955" i="13"/>
  <c r="C8364" i="13"/>
  <c r="C4258" i="13"/>
  <c r="C5850" i="13"/>
  <c r="C9254" i="13"/>
  <c r="C5628" i="13"/>
  <c r="C7403" i="13"/>
  <c r="C8451" i="13"/>
  <c r="C7476" i="13"/>
  <c r="C3944" i="13"/>
  <c r="C4784" i="13"/>
  <c r="C7772" i="13"/>
  <c r="C8033" i="13"/>
  <c r="C8837" i="13"/>
  <c r="C6042" i="13"/>
  <c r="C4902" i="13"/>
  <c r="C9836" i="13"/>
  <c r="C9862" i="13"/>
  <c r="C2593" i="13"/>
  <c r="C8046" i="13"/>
  <c r="C1560" i="13"/>
  <c r="C5397" i="13"/>
  <c r="C538" i="13"/>
  <c r="C9645" i="13"/>
  <c r="C358" i="13"/>
  <c r="C8294" i="13"/>
  <c r="C7743" i="13"/>
  <c r="C1615" i="13"/>
  <c r="C6660" i="13"/>
  <c r="C6962" i="13"/>
  <c r="C4075" i="13"/>
  <c r="C8243" i="13"/>
  <c r="C3984" i="13"/>
  <c r="C6202" i="13"/>
  <c r="C476" i="13"/>
  <c r="C6773" i="13"/>
  <c r="C9060" i="13"/>
  <c r="C1917" i="13"/>
  <c r="C7858" i="13"/>
  <c r="C7501" i="13"/>
  <c r="C7617" i="13"/>
  <c r="C6619" i="13"/>
  <c r="C7877" i="13"/>
  <c r="C5915" i="13"/>
  <c r="C981" i="13"/>
  <c r="C6929" i="13"/>
  <c r="C5663" i="13"/>
  <c r="C7156" i="13"/>
  <c r="C6989" i="13"/>
  <c r="C1648" i="13"/>
  <c r="C7380" i="13"/>
  <c r="C5359" i="13"/>
  <c r="C5135" i="13"/>
  <c r="C4928" i="13"/>
  <c r="C6485" i="13"/>
  <c r="C5477" i="13"/>
  <c r="C6651" i="13"/>
  <c r="C3150" i="13"/>
  <c r="C7236" i="13"/>
  <c r="C2519" i="13"/>
  <c r="C8884" i="13"/>
  <c r="C6875" i="13"/>
  <c r="C9191" i="13"/>
  <c r="C8994" i="13"/>
  <c r="C9338" i="13"/>
  <c r="C7396" i="13"/>
  <c r="C5916" i="13"/>
  <c r="C9064" i="13"/>
  <c r="C8801" i="13"/>
  <c r="C996" i="13"/>
  <c r="C2304" i="13"/>
  <c r="C5651" i="13"/>
  <c r="C5598" i="13"/>
  <c r="C9904" i="13"/>
  <c r="C6058" i="13"/>
  <c r="C5300" i="13"/>
  <c r="C5444" i="13"/>
  <c r="C5887" i="13"/>
  <c r="C7402" i="13"/>
  <c r="C3881" i="13"/>
  <c r="C6635" i="13"/>
  <c r="C6508" i="13"/>
  <c r="C6652" i="13"/>
  <c r="C8886" i="13"/>
  <c r="C5389" i="13"/>
  <c r="C1224" i="13"/>
  <c r="C3478" i="13"/>
  <c r="C3782" i="13"/>
  <c r="C4360" i="13"/>
  <c r="C528" i="13"/>
  <c r="C6082" i="13"/>
  <c r="C3110" i="13"/>
  <c r="C7870" i="13"/>
  <c r="C7230" i="13"/>
  <c r="C1277" i="13"/>
  <c r="C9075" i="13"/>
  <c r="C4817" i="13"/>
  <c r="C2975" i="13"/>
  <c r="C6578" i="13"/>
  <c r="C536" i="13"/>
  <c r="C1678" i="13"/>
  <c r="C7114" i="13"/>
  <c r="C9245" i="13"/>
  <c r="C6330" i="13"/>
  <c r="C5063" i="13"/>
  <c r="C7344" i="13"/>
  <c r="C2225" i="13"/>
  <c r="C4268" i="13"/>
  <c r="C5383" i="13"/>
  <c r="C2922" i="13"/>
  <c r="C359" i="13"/>
  <c r="C7278" i="13"/>
  <c r="C6593" i="13"/>
  <c r="C4365" i="13"/>
  <c r="C2119" i="13"/>
  <c r="C4525" i="13"/>
  <c r="C4570" i="13"/>
  <c r="C8687" i="13"/>
  <c r="C1652" i="13"/>
  <c r="C8393" i="13"/>
  <c r="C7220" i="13"/>
  <c r="C6613" i="13"/>
  <c r="C1908" i="13"/>
  <c r="C3550" i="13"/>
  <c r="C4913" i="13"/>
  <c r="C9768" i="13"/>
  <c r="C866" i="13"/>
  <c r="C245" i="13"/>
  <c r="C4084" i="13"/>
  <c r="C7834" i="13"/>
  <c r="C7863" i="13"/>
  <c r="C8821" i="13"/>
  <c r="C2535" i="13"/>
  <c r="C3890" i="13"/>
  <c r="C4292" i="13"/>
  <c r="C5491" i="13"/>
  <c r="C3261" i="13"/>
  <c r="C8527" i="13"/>
  <c r="C8300" i="13"/>
  <c r="C5201" i="13"/>
  <c r="C6824" i="13"/>
  <c r="C3199" i="13"/>
  <c r="C4027" i="13"/>
  <c r="C6447" i="13"/>
  <c r="C3458" i="13"/>
  <c r="C7277" i="13"/>
  <c r="C7454" i="13"/>
  <c r="C9781" i="13"/>
  <c r="C205" i="13"/>
  <c r="C9577" i="13"/>
  <c r="C5967" i="13"/>
  <c r="C1525" i="13"/>
  <c r="C4909" i="13"/>
  <c r="C4881" i="13"/>
  <c r="C7693" i="13"/>
  <c r="C5764" i="13"/>
  <c r="C9714" i="13"/>
  <c r="C8935" i="13"/>
  <c r="C9710" i="13"/>
  <c r="C9954" i="13"/>
  <c r="C2144" i="13"/>
  <c r="C8304" i="13"/>
  <c r="C9221" i="13"/>
  <c r="C8768" i="13"/>
  <c r="C9604" i="13"/>
  <c r="C9698" i="13"/>
  <c r="C1622" i="13"/>
  <c r="C7871" i="13"/>
  <c r="C1989" i="13"/>
  <c r="C8819" i="13"/>
  <c r="C618" i="13"/>
  <c r="C9518" i="13"/>
  <c r="C5167" i="13"/>
  <c r="C2458" i="13"/>
  <c r="C8009" i="13"/>
  <c r="C8932" i="13"/>
  <c r="C1489" i="13"/>
  <c r="C3435" i="13"/>
  <c r="C4029" i="13"/>
  <c r="C4796" i="13"/>
  <c r="C4638" i="13"/>
  <c r="C5261" i="13"/>
  <c r="C5461" i="13"/>
  <c r="C6473" i="13"/>
  <c r="C6009" i="13"/>
  <c r="C51" i="13"/>
  <c r="C8847" i="13"/>
  <c r="C9504" i="13"/>
  <c r="C3606" i="13"/>
  <c r="C5812" i="13"/>
  <c r="C2573" i="13"/>
  <c r="C9277" i="13"/>
  <c r="C5469" i="13"/>
  <c r="C6297" i="13"/>
  <c r="C6048" i="13"/>
  <c r="C8162" i="13"/>
  <c r="C3392" i="13"/>
  <c r="C1958" i="13"/>
  <c r="C5282" i="13"/>
  <c r="C4021" i="13"/>
  <c r="C2477" i="13"/>
  <c r="C8237" i="13"/>
  <c r="C1617" i="13"/>
  <c r="C4297" i="13"/>
  <c r="C5271" i="13"/>
  <c r="C9769" i="13"/>
  <c r="C8375" i="13"/>
  <c r="C1197" i="13"/>
  <c r="C9114" i="13"/>
  <c r="C7780" i="13"/>
  <c r="C9534" i="13"/>
  <c r="C234" i="13"/>
  <c r="C5979" i="13"/>
  <c r="C170" i="13"/>
  <c r="C5806" i="13"/>
  <c r="C452" i="13"/>
  <c r="C2528" i="13"/>
  <c r="C7721" i="13"/>
  <c r="C9867" i="13"/>
  <c r="C182" i="13"/>
  <c r="C9304" i="13"/>
  <c r="C3828" i="13"/>
  <c r="C2183" i="13"/>
  <c r="C5150" i="13"/>
  <c r="C1540" i="13"/>
  <c r="C5416" i="13"/>
  <c r="C3441" i="13"/>
  <c r="C9209" i="13"/>
  <c r="C1997" i="13"/>
  <c r="C6319" i="13"/>
  <c r="C6992" i="13"/>
  <c r="C5199" i="13"/>
  <c r="C3657" i="13"/>
  <c r="C5071" i="13"/>
  <c r="C8034" i="13"/>
  <c r="C3165" i="13"/>
  <c r="C6757" i="13"/>
  <c r="C9046" i="13"/>
  <c r="C5861" i="13"/>
  <c r="C2816" i="13"/>
  <c r="C5117" i="13"/>
  <c r="C441" i="13"/>
  <c r="C7388" i="13"/>
  <c r="C6235" i="13"/>
  <c r="C4514" i="13"/>
  <c r="C7283" i="13"/>
  <c r="C3430" i="13"/>
  <c r="C6241" i="13"/>
  <c r="C8551" i="13"/>
  <c r="C261" i="13"/>
  <c r="C6602" i="13"/>
  <c r="C10003" i="13"/>
  <c r="C4083" i="13"/>
  <c r="C9353" i="13"/>
  <c r="C8508" i="13"/>
  <c r="C9846" i="13"/>
  <c r="C1015" i="13"/>
  <c r="C6852" i="13"/>
  <c r="C8713" i="13"/>
  <c r="C5700" i="13"/>
  <c r="C6392" i="13"/>
  <c r="C1261" i="13"/>
  <c r="C290" i="13"/>
  <c r="C4124" i="13"/>
  <c r="C5485" i="13"/>
  <c r="C8063" i="13"/>
  <c r="C8395" i="13"/>
  <c r="C3412" i="13"/>
  <c r="C8493" i="13"/>
  <c r="C2513" i="13"/>
  <c r="C8012" i="13"/>
  <c r="C8282" i="13"/>
  <c r="C8760" i="13"/>
  <c r="C7429" i="13"/>
  <c r="C7568" i="13"/>
  <c r="C3961" i="13"/>
  <c r="C1050" i="13"/>
  <c r="C3706" i="13"/>
  <c r="C378" i="13"/>
  <c r="C207" i="13"/>
  <c r="C3791" i="13"/>
  <c r="C3619" i="13"/>
  <c r="C69" i="13"/>
  <c r="C1731" i="13"/>
  <c r="C5604" i="13"/>
  <c r="C4729" i="13"/>
  <c r="C8216" i="13"/>
  <c r="C4985" i="13"/>
  <c r="C8518" i="13"/>
  <c r="C97" i="13"/>
  <c r="C4977" i="13"/>
  <c r="C6706" i="13"/>
  <c r="C1876" i="13"/>
  <c r="C2886" i="13"/>
  <c r="C4852" i="13"/>
  <c r="C5888" i="13"/>
  <c r="C4721" i="13"/>
  <c r="C2791" i="13"/>
  <c r="C1620" i="13"/>
  <c r="C1272" i="13"/>
  <c r="C4811" i="13"/>
  <c r="C3249" i="13"/>
  <c r="C9270" i="13"/>
  <c r="C9784" i="13"/>
  <c r="C7711" i="13"/>
  <c r="C6186" i="13"/>
  <c r="C559" i="13"/>
  <c r="C8230" i="13"/>
  <c r="C7059" i="13"/>
  <c r="C7203" i="13"/>
  <c r="C9089" i="13"/>
  <c r="C6289" i="13"/>
  <c r="C2439" i="13"/>
  <c r="C5296" i="13"/>
  <c r="C3235" i="13"/>
  <c r="C6967" i="13"/>
  <c r="C4004" i="13"/>
  <c r="C4802" i="13"/>
  <c r="C1757" i="13"/>
  <c r="C8491" i="13"/>
  <c r="C5808" i="13"/>
  <c r="C7248" i="13"/>
  <c r="C1654" i="13"/>
  <c r="C1895" i="13"/>
  <c r="C6766" i="13"/>
  <c r="C9248" i="13"/>
  <c r="C7677" i="13"/>
  <c r="C7131" i="13"/>
  <c r="C943" i="13"/>
  <c r="C9399" i="13"/>
  <c r="C9302" i="13"/>
  <c r="C9716" i="13"/>
  <c r="C8351" i="13"/>
  <c r="C6352" i="13"/>
  <c r="C1348" i="13"/>
  <c r="C7035" i="13"/>
  <c r="C4005" i="13"/>
  <c r="C8929" i="13"/>
  <c r="C4611" i="13"/>
  <c r="C5910" i="13"/>
  <c r="C8782" i="13"/>
  <c r="C798" i="13"/>
  <c r="C9667" i="13"/>
  <c r="C8618" i="13"/>
  <c r="C1417" i="13"/>
  <c r="C2599" i="13"/>
  <c r="C222" i="13"/>
  <c r="C6476" i="13"/>
  <c r="C7176" i="13"/>
  <c r="C6178" i="13"/>
  <c r="C3036" i="13"/>
  <c r="C7805" i="13"/>
  <c r="C4273" i="13"/>
  <c r="C1695" i="13"/>
  <c r="C1834" i="13"/>
  <c r="C1967" i="13"/>
  <c r="C4096" i="13"/>
  <c r="C1745" i="13"/>
  <c r="C9348" i="13"/>
  <c r="C8286" i="13"/>
  <c r="C8863" i="13"/>
  <c r="C5532" i="13"/>
  <c r="C7927" i="13"/>
  <c r="C9617" i="13"/>
  <c r="C9558" i="13"/>
  <c r="C790" i="13"/>
  <c r="C4813" i="13"/>
  <c r="C819" i="13"/>
  <c r="C6173" i="13"/>
  <c r="C8953" i="13"/>
  <c r="C9055" i="13"/>
  <c r="C8076" i="13"/>
  <c r="C3100" i="13"/>
  <c r="C3498" i="13"/>
  <c r="C6910" i="13"/>
  <c r="C9217" i="13"/>
  <c r="C3571" i="13"/>
  <c r="C3162" i="13"/>
  <c r="C8165" i="13"/>
  <c r="C1590" i="13"/>
  <c r="C7571" i="13"/>
  <c r="C4639" i="13"/>
  <c r="C3512" i="13"/>
  <c r="C8480" i="13"/>
  <c r="C1923" i="13"/>
  <c r="C474" i="13"/>
  <c r="C7216" i="13"/>
  <c r="C3111" i="13"/>
  <c r="C3636" i="13"/>
  <c r="C4698" i="13"/>
  <c r="C1701" i="13"/>
  <c r="C447" i="13"/>
  <c r="C2036" i="13"/>
  <c r="C9626" i="13"/>
  <c r="C9719" i="13"/>
  <c r="C3943" i="13"/>
  <c r="C1875" i="13"/>
  <c r="C6213" i="13"/>
  <c r="C6357" i="13"/>
  <c r="C7439" i="13"/>
  <c r="C9720" i="13"/>
  <c r="C27" i="13"/>
  <c r="C2707" i="13"/>
  <c r="C5957" i="13"/>
  <c r="C6101" i="13"/>
  <c r="C7926" i="13"/>
  <c r="C9585" i="13"/>
  <c r="C1659" i="13"/>
  <c r="C7138" i="13"/>
  <c r="C5258" i="13"/>
  <c r="C8137" i="13"/>
  <c r="C8678" i="13"/>
  <c r="C2952" i="13"/>
  <c r="C723" i="13"/>
  <c r="C8483" i="13"/>
  <c r="C3698" i="13"/>
  <c r="C3969" i="13"/>
  <c r="C2803" i="13"/>
  <c r="C9989" i="13"/>
  <c r="C2805" i="13"/>
  <c r="C6944" i="13"/>
  <c r="C2786" i="13"/>
  <c r="C4558" i="13"/>
  <c r="C7697" i="13"/>
  <c r="C5922" i="13"/>
  <c r="C7423" i="13"/>
  <c r="C8626" i="13"/>
  <c r="C6138" i="13"/>
  <c r="C6282" i="13"/>
  <c r="C8339" i="13"/>
  <c r="C9990" i="13"/>
  <c r="C6700" i="13"/>
  <c r="C749" i="13"/>
  <c r="C649" i="13"/>
  <c r="C4055" i="13"/>
  <c r="C3611" i="13"/>
  <c r="C2897" i="13"/>
  <c r="C9709" i="13"/>
  <c r="C4196" i="13"/>
  <c r="C1099" i="13"/>
  <c r="C7691" i="13"/>
  <c r="C2868" i="13"/>
  <c r="C5964" i="13"/>
  <c r="C4929" i="13"/>
  <c r="C4715" i="13"/>
  <c r="C5385" i="13"/>
  <c r="C5253" i="13"/>
  <c r="C2817" i="13"/>
  <c r="C2992" i="13"/>
  <c r="C1972" i="13"/>
  <c r="C1468" i="13"/>
  <c r="C993" i="13"/>
  <c r="C4094" i="13"/>
  <c r="C7741" i="13"/>
  <c r="C1563" i="13"/>
  <c r="C4018" i="13"/>
  <c r="C5992" i="13"/>
  <c r="C8345" i="13"/>
  <c r="C8510" i="13"/>
  <c r="C8064" i="13"/>
  <c r="C235" i="13"/>
  <c r="C9407" i="13"/>
  <c r="C2383" i="13"/>
  <c r="C8066" i="13"/>
  <c r="C8278" i="13"/>
  <c r="C8756" i="13"/>
  <c r="C1447" i="13"/>
  <c r="C9151" i="13"/>
  <c r="C2002" i="13"/>
  <c r="C6612" i="13"/>
  <c r="C8203" i="13"/>
  <c r="C9565" i="13"/>
  <c r="C8144" i="13"/>
  <c r="C7555" i="13"/>
  <c r="C7842" i="13"/>
  <c r="C4369" i="13"/>
  <c r="C7368" i="13"/>
  <c r="C3995" i="13"/>
  <c r="C2525" i="13"/>
  <c r="C5788" i="13"/>
  <c r="C4689" i="13"/>
  <c r="C6097" i="13"/>
  <c r="C7928" i="13"/>
  <c r="C834" i="13"/>
  <c r="C2960" i="13"/>
  <c r="C4290" i="13"/>
  <c r="C5518" i="13"/>
  <c r="C2291" i="13"/>
  <c r="C9219" i="13"/>
  <c r="C7033" i="13"/>
  <c r="C7060" i="13"/>
  <c r="C9728" i="13"/>
  <c r="C582" i="13"/>
  <c r="C6942" i="13"/>
  <c r="C388" i="13"/>
  <c r="C9668" i="13"/>
  <c r="C9908" i="13"/>
  <c r="C5489" i="13"/>
  <c r="C6078" i="13"/>
  <c r="C1398" i="13"/>
  <c r="C2074" i="13"/>
  <c r="C5765" i="13"/>
  <c r="C4519" i="13"/>
  <c r="C6759" i="13"/>
  <c r="C8317" i="13"/>
  <c r="C7731" i="13"/>
  <c r="C6938" i="13"/>
  <c r="C5515" i="13"/>
  <c r="C5689" i="13"/>
  <c r="C8987" i="13"/>
  <c r="C3773" i="13"/>
  <c r="C7798" i="13"/>
  <c r="C2319" i="13"/>
  <c r="C4391" i="13"/>
  <c r="C3576" i="13"/>
  <c r="C1641" i="13"/>
  <c r="C2248" i="13"/>
  <c r="C4418" i="13"/>
  <c r="C5012" i="13"/>
  <c r="C4900" i="13"/>
  <c r="C3374" i="13"/>
  <c r="C2998" i="13"/>
  <c r="C5878" i="13"/>
  <c r="C8940" i="13"/>
  <c r="C4521" i="13"/>
  <c r="C1551" i="13"/>
  <c r="C1508" i="13"/>
  <c r="C2549" i="13"/>
  <c r="C2223" i="13"/>
  <c r="C3962" i="13"/>
  <c r="C5511" i="13"/>
  <c r="C3058" i="13"/>
  <c r="C738" i="13"/>
  <c r="C4590" i="13"/>
  <c r="C8877" i="13"/>
  <c r="C6685" i="13"/>
  <c r="C7876" i="13"/>
  <c r="C3427" i="13"/>
  <c r="C195" i="13"/>
  <c r="C9193" i="13"/>
  <c r="C9874" i="13"/>
  <c r="C8757" i="13"/>
  <c r="C8426" i="13"/>
  <c r="C3133" i="13"/>
  <c r="C1032" i="13"/>
  <c r="C1778" i="13"/>
  <c r="C8187" i="13"/>
  <c r="C9426" i="13"/>
  <c r="C6402" i="13"/>
  <c r="C214" i="13"/>
  <c r="C4480" i="13"/>
  <c r="C9666" i="13"/>
  <c r="C3759" i="13"/>
  <c r="C8266" i="13"/>
  <c r="C1942" i="13"/>
  <c r="C6259" i="13"/>
  <c r="C526" i="13"/>
  <c r="C6470" i="13"/>
  <c r="C9424" i="13"/>
  <c r="C8975" i="13"/>
  <c r="C4707" i="13"/>
  <c r="C963" i="13"/>
  <c r="C5024" i="13"/>
  <c r="C8594" i="13"/>
  <c r="C8316" i="13"/>
  <c r="C6655" i="13"/>
  <c r="C9632" i="13"/>
  <c r="C361" i="13"/>
  <c r="C1773" i="13"/>
  <c r="C5104" i="13"/>
  <c r="C1008" i="13"/>
  <c r="C8750" i="13"/>
  <c r="C8685" i="13"/>
  <c r="C1031" i="13"/>
  <c r="C8338" i="13"/>
  <c r="C9922" i="13"/>
  <c r="C4965" i="13"/>
  <c r="C7615" i="13"/>
  <c r="C2445" i="13"/>
  <c r="C1509" i="13"/>
  <c r="C1918" i="13"/>
  <c r="C590" i="13"/>
  <c r="C3985" i="13"/>
  <c r="C9993" i="13"/>
  <c r="C5921" i="13"/>
  <c r="C9378" i="13"/>
  <c r="C5484" i="13"/>
  <c r="C6581" i="13"/>
  <c r="C4998" i="13"/>
  <c r="C7920" i="13"/>
  <c r="C6529" i="13"/>
  <c r="C8254" i="13"/>
  <c r="C8682" i="13"/>
  <c r="C2809" i="13"/>
  <c r="C5706" i="13"/>
  <c r="C7894" i="13"/>
  <c r="C6310" i="13"/>
  <c r="C8179" i="13"/>
  <c r="C9440" i="13"/>
  <c r="C1568" i="13"/>
  <c r="C5279" i="13"/>
  <c r="C9495" i="13"/>
  <c r="C7391" i="13"/>
  <c r="C1354" i="13"/>
  <c r="C7849" i="13"/>
  <c r="C5196" i="13"/>
  <c r="C7365" i="13"/>
  <c r="C2608" i="13"/>
  <c r="C3581" i="13"/>
  <c r="C9246" i="13"/>
  <c r="C9167" i="13"/>
  <c r="C5128" i="13"/>
  <c r="C6684" i="13"/>
  <c r="C6704" i="13"/>
  <c r="C2282" i="13"/>
  <c r="C3258" i="13"/>
  <c r="C6572" i="13"/>
  <c r="C7382" i="13"/>
  <c r="C4184" i="13"/>
  <c r="C7836" i="13"/>
  <c r="C6835" i="13"/>
  <c r="C8988" i="13"/>
  <c r="C9940" i="13"/>
  <c r="C2866" i="13"/>
  <c r="C7702" i="13"/>
  <c r="C9574" i="13"/>
  <c r="C9382" i="13"/>
  <c r="C8193" i="13"/>
  <c r="C7544" i="13"/>
  <c r="C3575" i="13"/>
  <c r="C2634" i="13"/>
  <c r="C3948" i="13"/>
  <c r="C9389" i="13"/>
  <c r="C1743" i="13"/>
  <c r="C1059" i="13"/>
  <c r="C448" i="13"/>
  <c r="C10002" i="13"/>
  <c r="C1250" i="13"/>
  <c r="C8104" i="13"/>
  <c r="C5552" i="13"/>
  <c r="C8147" i="13"/>
  <c r="C1387" i="13"/>
  <c r="C2255" i="13"/>
  <c r="C10" i="13"/>
  <c r="C4069" i="13"/>
  <c r="C4807" i="13"/>
  <c r="C5678" i="13"/>
  <c r="C8645" i="13"/>
  <c r="C7985" i="13"/>
  <c r="C5174" i="13"/>
  <c r="C3242" i="13"/>
  <c r="C6472" i="13"/>
  <c r="C6021" i="13"/>
  <c r="C1044" i="13"/>
  <c r="C8292" i="13"/>
  <c r="C485" i="13"/>
  <c r="C8335" i="13"/>
  <c r="C9928" i="13"/>
  <c r="C6125" i="13"/>
  <c r="C6326" i="13"/>
  <c r="C9036" i="13"/>
  <c r="C3908" i="13"/>
  <c r="C5108" i="13"/>
  <c r="C930" i="13"/>
  <c r="C6142" i="13"/>
  <c r="C2831" i="13"/>
  <c r="C6422" i="13"/>
  <c r="C8616" i="13"/>
  <c r="C6553" i="13"/>
  <c r="C3933" i="13"/>
  <c r="C8181" i="13"/>
  <c r="C2989" i="13"/>
  <c r="C7013" i="13"/>
  <c r="C8238" i="13"/>
  <c r="C6286" i="13"/>
  <c r="C4487" i="13"/>
  <c r="C7576" i="13"/>
  <c r="C3491" i="13"/>
  <c r="C9099" i="13"/>
  <c r="C9974" i="13"/>
  <c r="C6509" i="13"/>
  <c r="C7761" i="13"/>
  <c r="C8189" i="13"/>
  <c r="C5652" i="13"/>
  <c r="C9215" i="13"/>
  <c r="C6205" i="13"/>
  <c r="C3750" i="13"/>
  <c r="C2600" i="13"/>
  <c r="C5347" i="13"/>
  <c r="C2976" i="13"/>
  <c r="C1424" i="13"/>
  <c r="C6143" i="13"/>
  <c r="C5811" i="13"/>
  <c r="C4512" i="13"/>
  <c r="C9374" i="13"/>
  <c r="C3989" i="13"/>
  <c r="C9343" i="13"/>
  <c r="C6456" i="13"/>
  <c r="C5533" i="13"/>
  <c r="C8767" i="13"/>
  <c r="C6382" i="13"/>
  <c r="C9131" i="13"/>
  <c r="C5691" i="13"/>
  <c r="C7727" i="13"/>
  <c r="C9829" i="13"/>
  <c r="C5204" i="13"/>
  <c r="C7775" i="13"/>
  <c r="C7685" i="13"/>
  <c r="C8202" i="13"/>
  <c r="C4366" i="13"/>
  <c r="C5713" i="13"/>
  <c r="C8677" i="13"/>
  <c r="C1691" i="13"/>
  <c r="C4632" i="13"/>
  <c r="C3758" i="13"/>
  <c r="C1521" i="13"/>
  <c r="C7735" i="13"/>
  <c r="C6255" i="13"/>
  <c r="C8107" i="13"/>
  <c r="C2021" i="13"/>
  <c r="C1445" i="13"/>
  <c r="C9717" i="13"/>
  <c r="C112" i="13"/>
  <c r="C9592" i="13"/>
  <c r="C9262" i="13"/>
  <c r="C4227" i="13"/>
  <c r="C8149" i="13"/>
  <c r="C9474" i="13"/>
  <c r="C3519" i="13"/>
  <c r="C7710" i="13"/>
  <c r="C6481" i="13"/>
  <c r="C5984" i="13"/>
  <c r="C5360" i="13"/>
  <c r="C2711" i="13"/>
  <c r="C7666" i="13"/>
  <c r="C8123" i="13"/>
  <c r="C6262" i="13"/>
  <c r="C5191" i="13"/>
  <c r="C4848" i="13"/>
  <c r="C2481" i="13"/>
  <c r="C6430" i="13"/>
  <c r="C5917" i="13"/>
  <c r="C4523" i="13"/>
  <c r="C6305" i="13"/>
  <c r="C39" i="13"/>
  <c r="C8707" i="13"/>
  <c r="C9642" i="13"/>
  <c r="C8070" i="13"/>
  <c r="C3095" i="13"/>
  <c r="C3489" i="13"/>
  <c r="C8289" i="13"/>
  <c r="C5264" i="13"/>
  <c r="C8519" i="13"/>
  <c r="C5220" i="13"/>
  <c r="C3369" i="13"/>
  <c r="C8005" i="13"/>
  <c r="C3506" i="13"/>
  <c r="C5245" i="13"/>
  <c r="C4600" i="13"/>
  <c r="C5779" i="13"/>
  <c r="C6531" i="13"/>
  <c r="C5472" i="13"/>
  <c r="C5807" i="13"/>
  <c r="C3614" i="13"/>
  <c r="C354" i="13"/>
  <c r="C9901" i="13"/>
  <c r="C7973" i="13"/>
  <c r="C7561" i="13"/>
  <c r="C9851" i="13"/>
  <c r="C3363" i="13"/>
  <c r="C278" i="13"/>
  <c r="C837" i="13"/>
  <c r="C3377" i="13"/>
  <c r="C3876" i="13"/>
  <c r="C2168" i="13"/>
  <c r="C1391" i="13"/>
  <c r="C6037" i="13"/>
  <c r="C8725" i="13"/>
  <c r="C1187" i="13"/>
  <c r="C7601" i="13"/>
  <c r="C3964" i="13"/>
  <c r="C6808" i="13"/>
  <c r="C9289" i="13"/>
  <c r="C397" i="13"/>
  <c r="C2360" i="13"/>
  <c r="C2435" i="13"/>
  <c r="C8020" i="13"/>
  <c r="C2295" i="13"/>
  <c r="C7352" i="13"/>
  <c r="C6298" i="13"/>
  <c r="C9396" i="13"/>
  <c r="C1124" i="13"/>
  <c r="C6774" i="13"/>
  <c r="C4492" i="13"/>
  <c r="C3026" i="13"/>
  <c r="C3763" i="13"/>
  <c r="C3151" i="13"/>
  <c r="C2330" i="13"/>
  <c r="C7593" i="13"/>
  <c r="C5059" i="13"/>
  <c r="C4216" i="13"/>
  <c r="C9651" i="13"/>
  <c r="C8928" i="13"/>
  <c r="C8575" i="13"/>
  <c r="C907" i="13"/>
  <c r="C9778" i="13"/>
  <c r="C3198" i="13"/>
  <c r="C4608" i="13"/>
  <c r="C1833" i="13"/>
  <c r="C6367" i="13"/>
  <c r="C6172" i="13"/>
  <c r="C3046" i="13"/>
  <c r="C4918" i="13"/>
  <c r="C2991" i="13"/>
  <c r="C2547" i="13"/>
  <c r="C2940" i="13"/>
  <c r="C7465" i="13"/>
  <c r="C6739" i="13"/>
  <c r="C1334" i="13"/>
  <c r="C3231" i="13"/>
  <c r="C6181" i="13"/>
  <c r="C4742" i="13"/>
  <c r="C5313" i="13"/>
  <c r="C153" i="13"/>
  <c r="C2986" i="13"/>
  <c r="C5017" i="13"/>
  <c r="C2292" i="13"/>
  <c r="C9873" i="13"/>
  <c r="C6626" i="13"/>
  <c r="C5913" i="13"/>
  <c r="C6163" i="13"/>
  <c r="C2807" i="13"/>
  <c r="C4206" i="13"/>
  <c r="C2504" i="13"/>
  <c r="C7869" i="13"/>
  <c r="C1898" i="13"/>
  <c r="C5527" i="13"/>
  <c r="C1306" i="13"/>
  <c r="C6322" i="13"/>
  <c r="C7965" i="13"/>
  <c r="C6656" i="13"/>
  <c r="C2410" i="13"/>
  <c r="C8478" i="13"/>
  <c r="C4363" i="13"/>
  <c r="C5908" i="13"/>
  <c r="C8350" i="13"/>
  <c r="C8655" i="13"/>
  <c r="C6964" i="13"/>
  <c r="C7515" i="13"/>
  <c r="C4979" i="13"/>
  <c r="C4331" i="13"/>
  <c r="C7963" i="13"/>
  <c r="C9035" i="13"/>
  <c r="C8946" i="13"/>
  <c r="C8129" i="13"/>
  <c r="C6575" i="13"/>
  <c r="C1066" i="13"/>
  <c r="C9015" i="13"/>
  <c r="C7304" i="13"/>
  <c r="C5770" i="13"/>
  <c r="C4177" i="13"/>
  <c r="C5711" i="13"/>
  <c r="C8431" i="13"/>
  <c r="C2515" i="13"/>
  <c r="C5935" i="13"/>
  <c r="C7397" i="13"/>
  <c r="C7132" i="13"/>
  <c r="C7530" i="13"/>
  <c r="C9333" i="13"/>
  <c r="C6079" i="13"/>
  <c r="C2465" i="13"/>
  <c r="C6068" i="13"/>
  <c r="C7118" i="13"/>
  <c r="C4068" i="13"/>
  <c r="C4870" i="13"/>
  <c r="C9084" i="13"/>
  <c r="C8670" i="13"/>
  <c r="C8873" i="13"/>
  <c r="C6786" i="13"/>
  <c r="C8621" i="13"/>
  <c r="C6705" i="13"/>
  <c r="C662" i="13"/>
  <c r="C9555" i="13"/>
  <c r="C9158" i="13"/>
  <c r="C5973" i="13"/>
  <c r="C1719" i="13"/>
  <c r="C7592" i="13"/>
  <c r="C2071" i="13"/>
  <c r="C3589" i="13"/>
  <c r="C7284" i="13"/>
  <c r="C4737" i="13"/>
  <c r="C9705" i="13"/>
  <c r="C6560" i="13"/>
  <c r="C1496" i="13"/>
  <c r="C9032" i="13"/>
  <c r="C9412" i="13"/>
  <c r="C4218" i="13"/>
  <c r="C2080" i="13"/>
  <c r="C5679" i="13"/>
  <c r="C5358" i="13"/>
  <c r="C2463" i="13"/>
  <c r="C3875" i="13"/>
  <c r="C2496" i="13"/>
  <c r="C5645" i="13"/>
  <c r="C8199" i="13"/>
  <c r="C4831" i="13"/>
  <c r="C1466" i="13"/>
  <c r="C163" i="13"/>
  <c r="C15" i="13"/>
  <c r="C1665" i="13"/>
  <c r="C7739" i="13"/>
  <c r="C6594" i="13"/>
  <c r="C6001" i="13"/>
  <c r="C5671" i="13"/>
  <c r="C7757" i="13"/>
  <c r="C4789" i="13"/>
  <c r="C4381" i="13"/>
  <c r="C9793" i="13"/>
  <c r="C6349" i="13"/>
  <c r="C6179" i="13"/>
  <c r="C7716" i="13"/>
  <c r="C7096" i="13"/>
  <c r="C2643" i="13"/>
  <c r="C9773" i="13"/>
  <c r="C1394" i="13"/>
  <c r="C6170" i="13"/>
  <c r="C3144" i="13"/>
  <c r="C5719" i="13"/>
  <c r="C6411" i="13"/>
  <c r="C7865" i="13"/>
  <c r="C6696" i="13"/>
  <c r="C9469" i="13"/>
  <c r="C6265" i="13"/>
  <c r="C8753" i="13"/>
  <c r="C7550" i="13"/>
  <c r="C4959" i="13"/>
  <c r="C4972" i="13"/>
  <c r="C8901" i="13"/>
  <c r="C6949" i="13"/>
  <c r="C8412" i="13"/>
  <c r="C6713" i="13"/>
  <c r="C6721" i="13"/>
  <c r="C5478" i="13"/>
  <c r="C5687" i="13"/>
  <c r="C5392" i="13"/>
  <c r="C9387" i="13"/>
  <c r="C6573" i="13"/>
  <c r="C9598" i="13"/>
  <c r="C2469" i="13"/>
  <c r="C5149" i="13"/>
  <c r="C3338" i="13"/>
  <c r="C7040" i="13"/>
  <c r="C8582" i="13"/>
  <c r="C9570" i="13"/>
  <c r="C4049" i="13"/>
  <c r="C6611" i="13"/>
  <c r="C6065" i="13"/>
  <c r="C2750" i="13"/>
  <c r="C4982" i="13"/>
  <c r="C7746" i="13"/>
  <c r="C8761" i="13"/>
  <c r="C9916" i="13"/>
  <c r="C7946" i="13"/>
  <c r="C6135" i="13"/>
  <c r="C1428" i="13"/>
  <c r="C4403" i="13"/>
  <c r="C9775" i="13"/>
  <c r="C941" i="13"/>
  <c r="C9388" i="13"/>
  <c r="C9502" i="13"/>
  <c r="C4716" i="13"/>
  <c r="C7482" i="13"/>
  <c r="C9159" i="13"/>
  <c r="C6796" i="13"/>
  <c r="C2416" i="13"/>
  <c r="C6932" i="13"/>
  <c r="C1340" i="13"/>
  <c r="C1106" i="13"/>
  <c r="C2557" i="13"/>
  <c r="C7994" i="13"/>
  <c r="C4203" i="13"/>
  <c r="C6712" i="13"/>
  <c r="C3396" i="13"/>
  <c r="C1150" i="13"/>
  <c r="C2500" i="13"/>
  <c r="C6827" i="13"/>
  <c r="C9888" i="13"/>
  <c r="C4850" i="13"/>
  <c r="C4657" i="13"/>
  <c r="C5642" i="13"/>
  <c r="C6341" i="13"/>
  <c r="C4080" i="13"/>
  <c r="C2710" i="13"/>
  <c r="C8514" i="13"/>
  <c r="C7898" i="13"/>
  <c r="C4449" i="13"/>
  <c r="C5514" i="13"/>
  <c r="C5567" i="13"/>
  <c r="C5009" i="13"/>
  <c r="C9342" i="13"/>
  <c r="C6755" i="13"/>
  <c r="C423" i="13"/>
  <c r="C5158" i="13"/>
  <c r="C7755" i="13"/>
  <c r="C3957" i="13"/>
  <c r="C7009" i="13"/>
  <c r="C780" i="13"/>
  <c r="C1266" i="13"/>
  <c r="C2266" i="13"/>
  <c r="C5660" i="13"/>
  <c r="C6995" i="13"/>
  <c r="C8536" i="13"/>
  <c r="C1029" i="13"/>
  <c r="C7271" i="13"/>
  <c r="C6976" i="13"/>
  <c r="C891" i="13"/>
  <c r="C1351" i="13"/>
  <c r="C9864" i="13"/>
  <c r="C5094" i="13"/>
  <c r="C4215" i="13"/>
  <c r="C2271" i="13"/>
  <c r="C4086" i="13"/>
  <c r="C2548" i="13"/>
  <c r="C2800" i="13"/>
  <c r="C4483" i="13"/>
  <c r="C4077" i="13"/>
  <c r="C7178" i="13"/>
  <c r="C1319" i="13"/>
  <c r="C746" i="13"/>
  <c r="C1439" i="13"/>
  <c r="C29" i="13"/>
  <c r="C8711" i="13"/>
  <c r="C8482" i="13"/>
  <c r="C8014" i="13"/>
  <c r="C3125" i="13"/>
  <c r="C6253" i="13"/>
  <c r="C3704" i="13"/>
  <c r="C6686" i="13"/>
  <c r="C8477" i="13"/>
  <c r="C446" i="13"/>
  <c r="C1118" i="13"/>
  <c r="C3523" i="13"/>
  <c r="C2946" i="13"/>
  <c r="C1699" i="13"/>
  <c r="C5428" i="13"/>
  <c r="C7101" i="13"/>
  <c r="C2089" i="13"/>
  <c r="I11" i="7"/>
  <c r="C21" i="10"/>
  <c r="N6" i="11"/>
  <c r="E6" i="11" s="1"/>
  <c r="C20" i="10"/>
  <c r="J6" i="9"/>
  <c r="J16" i="9" s="1"/>
  <c r="J18" i="9" s="1"/>
  <c r="J23" i="9" s="1"/>
  <c r="B28" i="9" s="1"/>
  <c r="C19" i="10"/>
  <c r="I9" i="12"/>
  <c r="B11" i="12" s="1"/>
  <c r="J7" i="7"/>
  <c r="J11" i="7" s="1"/>
  <c r="B16" i="7" s="1"/>
  <c r="N4" i="11"/>
  <c r="E4" i="11" s="1"/>
  <c r="C22" i="10"/>
  <c r="C18" i="10"/>
  <c r="N5" i="11"/>
  <c r="E5" i="11" s="1"/>
  <c r="J6" i="7"/>
  <c r="J6" i="8"/>
  <c r="J8" i="8" s="1"/>
  <c r="B10" i="8" s="1"/>
  <c r="B25" i="8" s="1"/>
  <c r="B28" i="8" s="1"/>
  <c r="C2387" i="13"/>
  <c r="C1702" i="13"/>
  <c r="C7434" i="13"/>
  <c r="C7912" i="13"/>
  <c r="C4868" i="13"/>
  <c r="C1539" i="13"/>
  <c r="C8868" i="13"/>
  <c r="C9173" i="13"/>
  <c r="C9026" i="13"/>
  <c r="C6123" i="13"/>
  <c r="C6290" i="13"/>
  <c r="C7507" i="13"/>
  <c r="C9804" i="13"/>
  <c r="C4328" i="13"/>
  <c r="C9554" i="13"/>
  <c r="C9065" i="13"/>
  <c r="C8797" i="13"/>
  <c r="C6477" i="13"/>
  <c r="C6387" i="13"/>
  <c r="C6365" i="13"/>
  <c r="C9453" i="13"/>
  <c r="C8173" i="13"/>
  <c r="C4377" i="13"/>
  <c r="C8011" i="13"/>
  <c r="C6907" i="13"/>
  <c r="C9110" i="13"/>
  <c r="C8908" i="13"/>
  <c r="C9134" i="13"/>
  <c r="C6982" i="13"/>
  <c r="C4121" i="13"/>
  <c r="C8703" i="13"/>
  <c r="C6318" i="13"/>
  <c r="C479" i="13"/>
  <c r="C7585" i="13"/>
  <c r="C5834" i="13"/>
  <c r="C8755" i="13"/>
  <c r="C7843" i="13"/>
  <c r="C1422" i="13"/>
  <c r="C8223" i="13"/>
  <c r="C5452" i="13"/>
  <c r="C5821" i="13"/>
  <c r="C9777" i="13"/>
  <c r="C9496" i="13"/>
  <c r="C6959" i="13"/>
  <c r="C8744" i="13"/>
  <c r="C5420" i="13"/>
  <c r="C7886" i="13"/>
  <c r="C5087" i="13"/>
  <c r="C3697" i="13"/>
  <c r="C7719" i="13"/>
  <c r="C9683" i="13"/>
  <c r="C8826" i="13"/>
  <c r="C7942" i="13"/>
  <c r="C5867" i="13"/>
  <c r="C9006" i="13"/>
  <c r="C6858" i="13"/>
  <c r="C9323" i="13"/>
  <c r="C4548" i="13"/>
  <c r="C4725" i="13"/>
  <c r="C7139" i="13"/>
  <c r="C6965" i="13"/>
  <c r="C5480" i="13"/>
  <c r="C6638" i="13"/>
  <c r="C5512" i="13"/>
  <c r="C8355" i="13"/>
  <c r="C9602" i="13"/>
  <c r="C8091" i="13"/>
  <c r="C6793" i="13"/>
  <c r="C1101" i="13"/>
  <c r="C5857" i="13"/>
  <c r="C8708" i="13"/>
  <c r="C7370" i="13"/>
  <c r="C3256" i="13"/>
  <c r="C9097" i="13"/>
  <c r="C8299" i="13"/>
  <c r="C4921" i="13"/>
  <c r="C9754" i="13"/>
  <c r="C5269" i="13"/>
  <c r="C7717" i="13"/>
  <c r="C3844" i="13"/>
  <c r="C8461" i="13"/>
  <c r="C8363" i="13"/>
  <c r="C7794" i="13"/>
  <c r="C7209" i="13"/>
  <c r="C2358" i="13"/>
  <c r="C5209" i="13"/>
  <c r="C5676" i="13"/>
  <c r="C5712" i="13"/>
  <c r="C2908" i="13"/>
  <c r="C8672" i="13"/>
  <c r="C8119" i="13"/>
  <c r="C9369" i="13"/>
  <c r="C5838" i="13"/>
  <c r="C3468" i="13"/>
  <c r="C4753" i="13"/>
  <c r="C9620" i="13"/>
  <c r="C6434" i="13"/>
  <c r="C8408" i="13"/>
  <c r="C6935" i="13"/>
  <c r="C4007" i="13"/>
  <c r="C9332" i="13"/>
  <c r="C5293" i="13"/>
  <c r="C6258" i="13"/>
  <c r="C2472" i="13"/>
  <c r="C5929" i="13"/>
  <c r="C9805" i="13"/>
  <c r="C463" i="13"/>
  <c r="C7412" i="13"/>
  <c r="C3666" i="13"/>
  <c r="C8586" i="13"/>
  <c r="C2389" i="13"/>
  <c r="C468" i="13"/>
  <c r="C2354" i="13"/>
  <c r="C6338" i="13"/>
  <c r="C494" i="13"/>
  <c r="C2158" i="13"/>
  <c r="C2648" i="13"/>
  <c r="C5927" i="13"/>
  <c r="C9584" i="13"/>
  <c r="C6634" i="13"/>
  <c r="C567" i="13"/>
  <c r="C781" i="13"/>
  <c r="C4274" i="13"/>
  <c r="C1614" i="13"/>
  <c r="C2138" i="13"/>
  <c r="C894" i="13"/>
  <c r="C6980" i="13"/>
  <c r="C5840" i="13"/>
  <c r="C9619" i="13"/>
  <c r="C6251" i="13"/>
  <c r="C1082" i="13"/>
  <c r="C861" i="13"/>
  <c r="C3723" i="13"/>
  <c r="C1371" i="13"/>
  <c r="C3454" i="13"/>
  <c r="C986" i="13"/>
  <c r="C5865" i="13"/>
  <c r="C7919" i="13"/>
  <c r="C6384" i="13"/>
  <c r="C8641" i="13"/>
  <c r="C7287" i="13"/>
  <c r="C5856" i="13"/>
  <c r="C271" i="13"/>
  <c r="C496" i="13"/>
  <c r="C4914" i="13"/>
  <c r="C6849" i="13"/>
  <c r="C1493" i="13"/>
  <c r="C3676" i="13"/>
  <c r="C8058" i="13"/>
  <c r="C8095" i="13"/>
  <c r="C3935" i="13"/>
  <c r="C3244" i="13"/>
  <c r="C4824" i="13"/>
  <c r="C1681" i="13"/>
  <c r="C7097" i="13"/>
  <c r="C2853" i="13"/>
  <c r="C8434" i="13"/>
  <c r="C2957" i="13"/>
  <c r="C9930" i="13"/>
  <c r="C2924" i="13"/>
  <c r="C4314" i="13"/>
  <c r="C417" i="13"/>
  <c r="C6597" i="13"/>
  <c r="C9887" i="13"/>
  <c r="C9838" i="13"/>
  <c r="C1073" i="13"/>
  <c r="C4593" i="13"/>
  <c r="C6022" i="13"/>
  <c r="C5974" i="13"/>
  <c r="C827" i="13"/>
  <c r="C266" i="13"/>
  <c r="C6385" i="13"/>
  <c r="C7816" i="13"/>
  <c r="C2716" i="13"/>
  <c r="C5948" i="13"/>
  <c r="C8160" i="13"/>
  <c r="C9780" i="13"/>
  <c r="C1671" i="13"/>
  <c r="C5045" i="13"/>
  <c r="C937" i="13"/>
  <c r="C175" i="13"/>
  <c r="C3041" i="13"/>
  <c r="C1794" i="13"/>
  <c r="C5060" i="13"/>
  <c r="C8151" i="13"/>
  <c r="C1537" i="13"/>
  <c r="C7003" i="13"/>
  <c r="C7173" i="13"/>
  <c r="C3452" i="13"/>
  <c r="C8142" i="13"/>
  <c r="C7861" i="13"/>
  <c r="C7378" i="13"/>
  <c r="C7054" i="13"/>
  <c r="C9652" i="13"/>
  <c r="C3699" i="13"/>
  <c r="C124" i="13"/>
  <c r="C3022" i="13"/>
  <c r="C4000" i="13"/>
  <c r="C3466" i="13"/>
  <c r="C3407" i="13"/>
  <c r="C113" i="13"/>
  <c r="C3573" i="13"/>
  <c r="C9156" i="13"/>
  <c r="C4793" i="13"/>
  <c r="C719" i="13"/>
  <c r="C1041" i="13"/>
  <c r="C5618" i="13"/>
  <c r="C4579" i="13"/>
  <c r="C1738" i="13"/>
  <c r="C1938" i="13"/>
  <c r="C6777" i="13"/>
  <c r="C9871" i="13"/>
  <c r="C9082" i="13"/>
  <c r="C5752" i="13"/>
  <c r="C1195" i="13"/>
  <c r="C2049" i="13"/>
  <c r="C4016" i="13"/>
  <c r="C909" i="13"/>
  <c r="C1994" i="13"/>
  <c r="C1535" i="13"/>
  <c r="C7120" i="13"/>
  <c r="C9296" i="13"/>
  <c r="C6356" i="13"/>
  <c r="C8271" i="13"/>
  <c r="C9398" i="13"/>
  <c r="C1357" i="13"/>
  <c r="C2980" i="13"/>
  <c r="C1860" i="13"/>
  <c r="C6038" i="13"/>
  <c r="C4380" i="13"/>
  <c r="C976" i="13"/>
  <c r="C4755" i="13"/>
  <c r="C7246" i="13"/>
  <c r="C7692" i="13"/>
  <c r="C3164" i="13"/>
  <c r="C4368" i="13"/>
  <c r="C5605" i="13"/>
  <c r="C2005" i="13"/>
  <c r="C7630" i="13"/>
  <c r="C1885" i="13"/>
  <c r="C8164" i="13"/>
  <c r="C2428" i="13"/>
  <c r="C9320" i="13"/>
  <c r="C1894" i="13"/>
  <c r="C4532" i="13"/>
  <c r="C92" i="13"/>
  <c r="C7457" i="13"/>
  <c r="C4557" i="13"/>
  <c r="C4691" i="13"/>
  <c r="C2311" i="13"/>
  <c r="C515" i="13"/>
  <c r="C6648" i="13"/>
  <c r="C6600" i="13"/>
  <c r="C4265" i="13"/>
  <c r="C4531" i="13"/>
  <c r="C5180" i="13"/>
  <c r="C939" i="13"/>
  <c r="C185" i="13"/>
  <c r="C6279" i="13"/>
  <c r="C8578" i="13"/>
  <c r="C8852" i="13"/>
  <c r="C3522" i="13"/>
  <c r="C7039" i="13"/>
  <c r="C4618" i="13"/>
  <c r="C2566" i="13"/>
  <c r="C9430" i="13"/>
  <c r="C6496" i="13"/>
  <c r="C6752" i="13"/>
  <c r="C4515" i="13"/>
  <c r="C1071" i="13"/>
  <c r="C3734" i="13"/>
  <c r="C2760" i="13"/>
  <c r="C727" i="13"/>
  <c r="C367" i="13"/>
  <c r="C4988" i="13"/>
  <c r="C9108" i="13"/>
  <c r="C5705" i="13"/>
  <c r="C5596" i="13"/>
  <c r="C1244" i="13"/>
  <c r="C6694" i="13"/>
  <c r="C3583" i="13"/>
  <c r="C5896" i="13"/>
  <c r="C881" i="13"/>
  <c r="C6608" i="13"/>
  <c r="C26" i="13"/>
  <c r="C6486" i="13"/>
  <c r="C7392" i="13"/>
  <c r="C8494" i="13"/>
  <c r="C1660" i="13"/>
  <c r="C4773" i="13"/>
  <c r="C333" i="13"/>
  <c r="C4745" i="13"/>
  <c r="C1010" i="13"/>
  <c r="C6904" i="13"/>
  <c r="C1145" i="13"/>
  <c r="C5814" i="13"/>
  <c r="C9497" i="13"/>
  <c r="C6854" i="13"/>
  <c r="C8313" i="13"/>
  <c r="C869" i="13"/>
  <c r="C3915" i="13"/>
  <c r="C473" i="13"/>
  <c r="C5113" i="13"/>
  <c r="C7618" i="13"/>
  <c r="C3303" i="13"/>
  <c r="C2380" i="13"/>
  <c r="C7190" i="13"/>
  <c r="C6514" i="13"/>
  <c r="C9183" i="13"/>
  <c r="C1047" i="13"/>
  <c r="C2902" i="13"/>
  <c r="C4291" i="13"/>
  <c r="C3259" i="13"/>
  <c r="C6415" i="13"/>
  <c r="C298" i="13"/>
  <c r="C5792" i="13"/>
  <c r="C9561" i="13"/>
  <c r="C3500" i="13"/>
  <c r="C1936" i="13"/>
  <c r="C5723" i="13"/>
  <c r="C8421" i="13"/>
  <c r="C8221" i="13"/>
  <c r="C1078" i="13"/>
  <c r="C6055" i="13"/>
  <c r="C9297" i="13"/>
  <c r="C5639" i="13"/>
  <c r="C4395" i="13"/>
  <c r="C7655" i="13"/>
  <c r="C4259" i="13"/>
  <c r="C237" i="13"/>
  <c r="C2143" i="13"/>
  <c r="C316" i="13"/>
  <c r="C9384" i="13"/>
  <c r="C6403" i="13"/>
  <c r="C4486" i="13"/>
  <c r="C6390" i="13"/>
  <c r="C8184" i="13"/>
  <c r="C350" i="13"/>
  <c r="C3437" i="13"/>
  <c r="C1663" i="13"/>
  <c r="C7522" i="13"/>
  <c r="C8802" i="13"/>
  <c r="C9087" i="13"/>
  <c r="C2840" i="13"/>
  <c r="C9581" i="13"/>
  <c r="C5696" i="13"/>
  <c r="C7058" i="13"/>
  <c r="C1837" i="13"/>
  <c r="C9185" i="13"/>
  <c r="C1971" i="13"/>
  <c r="C2473" i="13"/>
  <c r="C9694" i="13"/>
  <c r="C9886" i="13"/>
  <c r="C1419" i="13"/>
  <c r="C450" i="13"/>
  <c r="C5722" i="13"/>
  <c r="C501" i="13"/>
  <c r="C2384" i="13"/>
  <c r="C1741" i="13"/>
  <c r="C6745" i="13"/>
  <c r="C804" i="13"/>
  <c r="C8765" i="13"/>
  <c r="C8983" i="13"/>
  <c r="C1451" i="13"/>
  <c r="C2296" i="13"/>
  <c r="C1606" i="13"/>
  <c r="C2918" i="13"/>
  <c r="C4586" i="13"/>
  <c r="C2017" i="13"/>
  <c r="C4155" i="13"/>
  <c r="C5371" i="13"/>
  <c r="C9100" i="13"/>
  <c r="C8701" i="13"/>
  <c r="C1707" i="13"/>
  <c r="C3064" i="13"/>
  <c r="C2022" i="13"/>
  <c r="C1314" i="13"/>
  <c r="C4008" i="13"/>
  <c r="C800" i="13"/>
  <c r="C2776" i="13"/>
  <c r="C3315" i="13"/>
  <c r="C7410" i="13"/>
  <c r="C7687" i="13"/>
  <c r="C7879" i="13"/>
  <c r="C4734" i="13"/>
  <c r="C3856" i="13"/>
  <c r="C5093" i="13"/>
  <c r="C4157" i="13"/>
  <c r="C3645" i="13"/>
  <c r="C4002" i="13"/>
  <c r="C3013" i="13"/>
  <c r="C5637" i="13"/>
  <c r="C4857" i="13"/>
  <c r="C7150" i="13"/>
  <c r="C2916" i="13"/>
  <c r="C4262" i="13"/>
  <c r="C3710" i="13"/>
  <c r="C4329" i="13"/>
  <c r="C2815" i="13"/>
  <c r="C908" i="13"/>
  <c r="C1544" i="13"/>
  <c r="C6277" i="13"/>
  <c r="C2149" i="13"/>
  <c r="C5751" i="13"/>
  <c r="C568" i="13"/>
  <c r="C8861" i="13"/>
  <c r="C9738" i="13"/>
  <c r="C1141" i="13"/>
  <c r="C9164" i="13"/>
  <c r="C6939" i="13"/>
  <c r="C3487" i="13"/>
  <c r="C8331" i="13"/>
  <c r="C8116" i="13"/>
  <c r="C1901" i="13"/>
  <c r="C7616" i="13"/>
  <c r="C8587" i="13"/>
  <c r="C8183" i="13"/>
  <c r="C6604" i="13"/>
  <c r="C3112" i="13"/>
  <c r="C7786" i="13"/>
  <c r="C887" i="13"/>
  <c r="C4688" i="13"/>
  <c r="C673" i="13"/>
  <c r="C2594" i="13"/>
  <c r="C3914" i="13"/>
  <c r="C2527" i="13"/>
  <c r="C130" i="13"/>
  <c r="C3643" i="13"/>
  <c r="C1866" i="13"/>
  <c r="C7293" i="13"/>
  <c r="C7085" i="13"/>
  <c r="C838" i="13"/>
  <c r="C4984" i="13"/>
  <c r="C1444" i="13"/>
  <c r="C4986" i="13"/>
  <c r="C8324" i="13"/>
  <c r="C4495" i="13"/>
  <c r="C6216" i="13"/>
  <c r="C1163" i="13"/>
  <c r="C7147" i="13"/>
  <c r="C7662" i="13"/>
  <c r="C729" i="13"/>
  <c r="C5240" i="13"/>
  <c r="C1254" i="13"/>
  <c r="C2934" i="13"/>
  <c r="C8563" i="13"/>
  <c r="C2927" i="13"/>
  <c r="C5819" i="13"/>
  <c r="C1861" i="13"/>
  <c r="C633" i="13"/>
  <c r="C6934" i="13"/>
  <c r="C8918" i="13"/>
  <c r="C8103" i="13"/>
  <c r="C2563" i="13"/>
  <c r="C3556" i="13"/>
  <c r="C5384" i="13"/>
  <c r="C6389" i="13"/>
  <c r="C5944" i="13"/>
  <c r="C2542" i="13"/>
  <c r="C3715" i="13"/>
  <c r="C5442" i="13"/>
  <c r="C4987" i="13"/>
  <c r="C4123" i="13"/>
  <c r="C1851" i="13"/>
  <c r="C3173" i="13"/>
  <c r="C2118" i="13"/>
  <c r="C3752" i="13"/>
  <c r="C1569" i="13"/>
  <c r="C857" i="13"/>
  <c r="C7787" i="13"/>
  <c r="C8951" i="13"/>
  <c r="C3381" i="13"/>
  <c r="C267" i="13"/>
  <c r="C1432" i="13"/>
  <c r="C2167" i="13"/>
  <c r="C7619" i="13"/>
  <c r="C6180" i="13"/>
  <c r="C4310" i="13"/>
  <c r="C4847" i="13"/>
  <c r="C1282" i="13"/>
  <c r="C9963" i="13"/>
  <c r="C129" i="13"/>
  <c r="C262" i="13"/>
  <c r="C3102" i="13"/>
  <c r="C9678" i="13"/>
  <c r="C8808" i="13"/>
  <c r="C584" i="13"/>
  <c r="C6665" i="13"/>
  <c r="C9166" i="13"/>
  <c r="C4724" i="13"/>
  <c r="C1438" i="13"/>
  <c r="C5699" i="13"/>
  <c r="C4920" i="13"/>
  <c r="C4989" i="13"/>
  <c r="C4248" i="13"/>
  <c r="C8971" i="13"/>
  <c r="C5930" i="13"/>
  <c r="C9345" i="13"/>
  <c r="C4967" i="13"/>
  <c r="C8090" i="13"/>
  <c r="C4034" i="13"/>
  <c r="C3849" i="13"/>
  <c r="C1749" i="13"/>
  <c r="C6284" i="13"/>
  <c r="C8171" i="13"/>
  <c r="C9813" i="13"/>
  <c r="C44" i="13"/>
  <c r="C653" i="13"/>
  <c r="C1715" i="13"/>
  <c r="C1151" i="13"/>
  <c r="C885" i="13"/>
  <c r="C3055" i="13"/>
  <c r="C4411" i="13"/>
  <c r="C9894" i="13"/>
  <c r="C6405" i="13"/>
  <c r="C8669" i="13"/>
  <c r="C1579" i="13"/>
  <c r="C4517" i="13"/>
  <c r="C2254" i="13"/>
  <c r="C111" i="13"/>
  <c r="C6475" i="13"/>
  <c r="C1557" i="13"/>
  <c r="C8496" i="13"/>
  <c r="C9422" i="13"/>
  <c r="C5945" i="13"/>
  <c r="C8800" i="13"/>
  <c r="C1835" i="13"/>
  <c r="C4855" i="13"/>
  <c r="C1012" i="13"/>
  <c r="C89" i="13"/>
  <c r="C6731" i="13"/>
  <c r="C52" i="13"/>
  <c r="C8752" i="13"/>
  <c r="C4800" i="13"/>
  <c r="C9233" i="13"/>
  <c r="C6269" i="13"/>
  <c r="C7591" i="13"/>
  <c r="C2404" i="13"/>
  <c r="C2653" i="13"/>
  <c r="C3108" i="13"/>
  <c r="C4969" i="13"/>
  <c r="C2624" i="13"/>
  <c r="C240" i="13"/>
  <c r="C2941" i="13"/>
  <c r="C5132" i="13"/>
  <c r="C5324" i="13"/>
  <c r="C2714" i="13"/>
  <c r="C2116" i="13"/>
  <c r="C1793" i="13"/>
  <c r="C605" i="13"/>
  <c r="C6114" i="13"/>
  <c r="C1577" i="13"/>
  <c r="C3607" i="13"/>
  <c r="C1543" i="13"/>
  <c r="C9078" i="13"/>
  <c r="C3117" i="13"/>
  <c r="C4255" i="13"/>
  <c r="C1709" i="13"/>
  <c r="C9478" i="13"/>
  <c r="C7103" i="13"/>
  <c r="C4424" i="13"/>
  <c r="C7854" i="13"/>
  <c r="C2052" i="13"/>
  <c r="C8590" i="13"/>
  <c r="C8542" i="13"/>
  <c r="C8662" i="13"/>
  <c r="C4451" i="13"/>
  <c r="C739" i="13"/>
  <c r="C1688" i="13"/>
  <c r="C2423" i="13"/>
  <c r="C7875" i="13"/>
  <c r="C4877" i="13"/>
  <c r="C5186" i="13"/>
  <c r="C4382" i="13"/>
  <c r="C8056" i="13"/>
  <c r="C1328" i="13"/>
  <c r="C8651" i="13"/>
  <c r="C8705" i="13"/>
  <c r="C6676" i="13"/>
  <c r="C6703" i="13"/>
  <c r="C1132" i="13"/>
  <c r="C5528" i="13"/>
  <c r="C2676" i="13"/>
  <c r="C5500" i="13"/>
  <c r="C1215" i="13"/>
  <c r="C7128" i="13"/>
  <c r="C3415" i="13"/>
  <c r="C8442" i="13"/>
  <c r="C5100" i="13"/>
  <c r="C7489" i="13"/>
  <c r="C3292" i="13"/>
  <c r="C3565" i="13"/>
  <c r="C1737" i="13"/>
  <c r="C543" i="13"/>
  <c r="C3211" i="13"/>
  <c r="C715" i="13"/>
  <c r="C2290" i="13"/>
  <c r="C7276" i="13"/>
  <c r="C4844" i="13"/>
  <c r="C7051" i="13"/>
  <c r="C3548" i="13"/>
  <c r="C4226" i="13"/>
  <c r="C2037" i="13"/>
  <c r="C753" i="13"/>
  <c r="C158" i="13"/>
  <c r="C2618" i="13"/>
  <c r="C3322" i="13"/>
  <c r="C7123" i="13"/>
  <c r="C7179" i="13"/>
  <c r="C5721" i="13"/>
  <c r="C9472" i="13"/>
  <c r="C2628" i="13"/>
  <c r="C4143" i="13"/>
  <c r="C2491" i="13"/>
  <c r="C7835" i="13"/>
  <c r="C5224" i="13"/>
  <c r="C3936" i="13"/>
  <c r="C2702" i="13"/>
  <c r="C8538" i="13"/>
  <c r="C8730" i="13"/>
  <c r="C2293" i="13"/>
  <c r="C1009" i="13"/>
  <c r="C3738" i="13"/>
  <c r="C1872" i="13"/>
  <c r="C5993" i="13"/>
  <c r="C395" i="13"/>
  <c r="C6640" i="13"/>
  <c r="C1716" i="13"/>
  <c r="C3777" i="13"/>
  <c r="C2501" i="13"/>
  <c r="C3037" i="13"/>
  <c r="C1184" i="13"/>
  <c r="C5028" i="13"/>
  <c r="C9364" i="13"/>
  <c r="C8561" i="13"/>
  <c r="C1712" i="13"/>
  <c r="C9933" i="13"/>
  <c r="C5184" i="13"/>
  <c r="C5136" i="13"/>
  <c r="C8501" i="13"/>
  <c r="C4019" i="13"/>
  <c r="C2452" i="13"/>
  <c r="C3047" i="13"/>
  <c r="C2862" i="13"/>
  <c r="C9807" i="13"/>
  <c r="C7405" i="13"/>
  <c r="C5610" i="13"/>
  <c r="C392" i="13"/>
  <c r="C6100" i="13"/>
  <c r="C3054" i="13"/>
  <c r="C1890" i="13"/>
  <c r="C371" i="13"/>
  <c r="C610" i="13"/>
  <c r="C9921" i="13"/>
  <c r="C7505" i="13"/>
  <c r="C3053" i="13"/>
  <c r="C7795" i="13"/>
  <c r="C6069" i="13"/>
  <c r="C305" i="13"/>
  <c r="C5961" i="13"/>
  <c r="C2051" i="13"/>
  <c r="C2804" i="13"/>
  <c r="C9039" i="13"/>
  <c r="C8253" i="13"/>
  <c r="C8896" i="13"/>
  <c r="C2346" i="13"/>
  <c r="C5666" i="13"/>
  <c r="C3116" i="13"/>
  <c r="C2369" i="13"/>
  <c r="C50" i="13"/>
  <c r="C842" i="13"/>
  <c r="C1584" i="13"/>
  <c r="C6077" i="13"/>
  <c r="C9544" i="13"/>
  <c r="C8148" i="13"/>
  <c r="C3516" i="13"/>
  <c r="C1234" i="13"/>
  <c r="C655" i="13"/>
  <c r="C407" i="13"/>
  <c r="C4702" i="13"/>
  <c r="C1869" i="13"/>
  <c r="C2654" i="13"/>
  <c r="C8773" i="13"/>
  <c r="C9172" i="13"/>
  <c r="C8419" i="13"/>
  <c r="C4046" i="13"/>
  <c r="C32" i="13"/>
  <c r="C80" i="13"/>
  <c r="C1973" i="13"/>
  <c r="C2015" i="13"/>
  <c r="C1218" i="13"/>
  <c r="C1295" i="13"/>
  <c r="C8999" i="13"/>
  <c r="C2359" i="13"/>
  <c r="C5456" i="13"/>
  <c r="C4944" i="13"/>
  <c r="C3495" i="13"/>
  <c r="C1307" i="13"/>
  <c r="C5381" i="13"/>
  <c r="C8302" i="13"/>
  <c r="C3993" i="13"/>
  <c r="C2041" i="13"/>
  <c r="C2507" i="13"/>
  <c r="C7110" i="13"/>
  <c r="C2968" i="13"/>
  <c r="C3316" i="13"/>
  <c r="C624" i="13"/>
  <c r="C4803" i="13"/>
  <c r="C4683" i="13"/>
  <c r="C2536" i="13"/>
  <c r="C4147" i="13"/>
  <c r="C2142" i="13"/>
  <c r="C5943" i="13"/>
  <c r="C9618" i="13"/>
  <c r="C1892" i="13"/>
  <c r="C3294" i="13"/>
  <c r="C2497" i="13"/>
  <c r="C5969" i="13"/>
  <c r="C4884" i="13"/>
  <c r="C3640" i="13"/>
  <c r="C8619" i="13"/>
  <c r="C6360" i="13"/>
  <c r="C7253" i="13"/>
  <c r="C9607" i="13"/>
  <c r="C3901" i="13"/>
  <c r="C5047" i="13"/>
  <c r="C2945" i="13"/>
  <c r="C6557" i="13"/>
  <c r="C2834" i="13"/>
  <c r="C9267" i="13"/>
  <c r="C9766" i="13"/>
  <c r="C2732" i="13"/>
  <c r="C5614" i="13"/>
  <c r="C516" i="13"/>
  <c r="C4774" i="13"/>
  <c r="C6497" i="13"/>
  <c r="C4759" i="13"/>
  <c r="C2659" i="13"/>
  <c r="C5398" i="13"/>
  <c r="C6883" i="13"/>
  <c r="C1913" i="13"/>
  <c r="C5954" i="13"/>
  <c r="C381" i="13"/>
  <c r="C5289" i="13"/>
  <c r="C531" i="13"/>
  <c r="C3245" i="13"/>
  <c r="C401" i="13"/>
  <c r="C8644" i="13"/>
  <c r="C1210" i="13"/>
  <c r="C3767" i="13"/>
  <c r="C355" i="13"/>
  <c r="C6335" i="13"/>
  <c r="C4401" i="13"/>
  <c r="C8913" i="13"/>
  <c r="C3595" i="13"/>
  <c r="C488" i="13"/>
  <c r="C2859" i="13"/>
  <c r="C3257" i="13"/>
  <c r="C2076" i="13"/>
  <c r="C4347" i="13"/>
  <c r="C2719" i="13"/>
  <c r="C1262" i="13"/>
  <c r="C6089" i="13"/>
  <c r="C4266" i="13"/>
  <c r="C9722" i="13"/>
  <c r="C299" i="13"/>
  <c r="C139" i="13"/>
  <c r="C1924" i="13"/>
  <c r="C4378" i="13"/>
  <c r="C8305" i="13"/>
  <c r="C2275" i="13"/>
  <c r="C1653" i="13"/>
  <c r="C8954" i="13"/>
  <c r="C3420" i="13"/>
  <c r="C9557" i="13"/>
  <c r="C7884" i="13"/>
  <c r="C6830" i="13"/>
  <c r="C5251" i="13"/>
  <c r="C2077" i="13"/>
  <c r="C8741" i="13"/>
  <c r="C3418" i="13"/>
  <c r="C9971" i="13"/>
  <c r="C2250" i="13"/>
  <c r="C4241" i="13"/>
  <c r="C2427" i="13"/>
  <c r="C4339" i="13"/>
  <c r="C6941" i="13"/>
  <c r="C728" i="13"/>
  <c r="C2823" i="13"/>
  <c r="C7754" i="13"/>
  <c r="C1167" i="13"/>
  <c r="C5257" i="13"/>
  <c r="C5899" i="13"/>
  <c r="C9081" i="13"/>
  <c r="C1497" i="13"/>
  <c r="C6177" i="13"/>
  <c r="C7958" i="13"/>
  <c r="C8942" i="13"/>
  <c r="C3926" i="13"/>
  <c r="C9336" i="13"/>
  <c r="C5083" i="13"/>
  <c r="C6429" i="13"/>
  <c r="C3300" i="13"/>
  <c r="C8161" i="13"/>
  <c r="C67" i="13"/>
  <c r="C1753" i="13"/>
  <c r="C3813" i="13"/>
  <c r="C3615" i="13"/>
  <c r="C8743" i="13"/>
  <c r="C4960" i="13"/>
  <c r="C7498" i="13"/>
  <c r="C3590" i="13"/>
  <c r="C7989" i="13"/>
  <c r="C6772" i="13"/>
  <c r="C3302" i="13"/>
  <c r="C155" i="13"/>
  <c r="C9483" i="13"/>
  <c r="C3493" i="13"/>
  <c r="C63" i="13"/>
  <c r="C2273" i="13"/>
  <c r="C7171" i="13"/>
  <c r="C9189" i="13"/>
  <c r="C7950" i="13"/>
  <c r="C8834" i="13"/>
  <c r="C7807" i="13"/>
  <c r="C2132" i="13"/>
  <c r="C4122" i="13"/>
  <c r="C7480" i="13"/>
  <c r="C4118" i="13"/>
  <c r="C4154" i="13"/>
  <c r="C469" i="13"/>
  <c r="C179" i="13"/>
  <c r="C7028" i="13"/>
  <c r="C7776" i="13"/>
  <c r="C2025" i="13"/>
  <c r="C147" i="13"/>
  <c r="C3447" i="13"/>
  <c r="C1552" i="13"/>
  <c r="C3272" i="13"/>
  <c r="C4869" i="13"/>
  <c r="C1335" i="13"/>
  <c r="C5125" i="13"/>
  <c r="C6056" i="13"/>
  <c r="C7690" i="13"/>
  <c r="C3711" i="13"/>
  <c r="C613" i="13"/>
  <c r="C9452" i="13"/>
  <c r="C255" i="13"/>
  <c r="C7504" i="13"/>
  <c r="C4555" i="13"/>
  <c r="C3195" i="13"/>
  <c r="C7885" i="13"/>
  <c r="C4922" i="13"/>
  <c r="C1961" i="13"/>
  <c r="C4535" i="13"/>
  <c r="C816" i="13"/>
  <c r="C5036" i="13"/>
  <c r="C192" i="13"/>
  <c r="C6199" i="13"/>
  <c r="C3680" i="13"/>
  <c r="C9567" i="13"/>
  <c r="C409" i="13"/>
  <c r="C8088" i="13"/>
  <c r="C5784" i="13"/>
  <c r="C9244" i="13"/>
  <c r="C116" i="13"/>
  <c r="C1864" i="13"/>
  <c r="C4470" i="13"/>
  <c r="C4234" i="13"/>
  <c r="C2668" i="13"/>
  <c r="C7373" i="13"/>
  <c r="C5067" i="13"/>
  <c r="C5950" i="13"/>
  <c r="C62" i="13"/>
  <c r="C6913" i="13"/>
  <c r="C8327" i="13"/>
  <c r="C3851" i="13"/>
  <c r="C5599" i="13"/>
  <c r="C1934" i="13"/>
  <c r="C9941" i="13"/>
  <c r="C398" i="13"/>
  <c r="C4079" i="13"/>
  <c r="C4820" i="13"/>
  <c r="C1131" i="13"/>
  <c r="C6649" i="13"/>
  <c r="C6616" i="13"/>
  <c r="C6171" i="13"/>
  <c r="C6565" i="13"/>
  <c r="C6237" i="13"/>
  <c r="C6570" i="13"/>
  <c r="C5521" i="13"/>
  <c r="C1209" i="13"/>
  <c r="C1884" i="13"/>
  <c r="C265" i="13"/>
  <c r="C105" i="13"/>
  <c r="C9362" i="13"/>
  <c r="C1409" i="13"/>
  <c r="C4276" i="13"/>
  <c r="C6063" i="13"/>
  <c r="C4935" i="13"/>
  <c r="C2024" i="13"/>
  <c r="C6444" i="13"/>
  <c r="C1255" i="13"/>
  <c r="C3069" i="13"/>
  <c r="C1429" i="13"/>
  <c r="C7584" i="13"/>
  <c r="C9160" i="13"/>
  <c r="C2136" i="13"/>
  <c r="C7975" i="13"/>
  <c r="C3011" i="13"/>
  <c r="C2424" i="13"/>
  <c r="C2238" i="13"/>
  <c r="C502" i="13"/>
  <c r="C1228" i="13"/>
  <c r="C3115" i="13"/>
  <c r="C3138" i="13"/>
  <c r="C3178" i="13"/>
  <c r="C4833" i="13"/>
  <c r="C5580" i="13"/>
  <c r="C3269" i="13"/>
  <c r="C563" i="13"/>
  <c r="C1092" i="13"/>
  <c r="C5776" i="13"/>
  <c r="C7644" i="13"/>
  <c r="C4270" i="13"/>
  <c r="C8931" i="13"/>
  <c r="C389" i="13"/>
  <c r="C8430" i="13"/>
  <c r="C2442" i="13"/>
  <c r="C3772" i="13"/>
  <c r="C6677" i="13"/>
  <c r="C6083" i="13"/>
  <c r="C3253" i="13"/>
  <c r="C5048" i="13"/>
  <c r="C8558" i="13"/>
  <c r="C1236" i="13"/>
  <c r="C665" i="13"/>
  <c r="C2190" i="13"/>
  <c r="C5778" i="13"/>
  <c r="C3180" i="13"/>
  <c r="C3157" i="13"/>
  <c r="C9359" i="13"/>
  <c r="C5292" i="13"/>
  <c r="C2447" i="13"/>
  <c r="C1256" i="13"/>
  <c r="C9150" i="13"/>
  <c r="C8840" i="13"/>
  <c r="C288" i="13"/>
  <c r="C331" i="13"/>
  <c r="C3712" i="13"/>
  <c r="C999" i="13"/>
  <c r="C4878" i="13"/>
  <c r="C9742" i="13"/>
  <c r="C3186" i="13"/>
  <c r="C1104" i="13"/>
  <c r="C7279" i="13"/>
  <c r="C2398" i="13"/>
  <c r="C6833" i="13"/>
  <c r="C588" i="13"/>
  <c r="C8945" i="13"/>
  <c r="C8859" i="13"/>
  <c r="C6194" i="13"/>
  <c r="C8118" i="13"/>
  <c r="C2907" i="13"/>
  <c r="C2466" i="13"/>
  <c r="C3736" i="13"/>
  <c r="C4827" i="13"/>
  <c r="C2841" i="13"/>
  <c r="C5212" i="13"/>
  <c r="C632" i="13"/>
  <c r="C4995" i="13"/>
  <c r="C6743" i="13"/>
  <c r="C6747" i="13"/>
  <c r="C3335" i="13"/>
  <c r="C1284" i="13"/>
  <c r="C1206" i="13"/>
  <c r="C2124" i="13"/>
  <c r="C8270" i="13"/>
  <c r="C817" i="13"/>
  <c r="C2270" i="13"/>
  <c r="C3608" i="13"/>
  <c r="C6437" i="13"/>
  <c r="C7184" i="13"/>
  <c r="C3631" i="13"/>
  <c r="C4230" i="13"/>
  <c r="C659" i="13"/>
  <c r="C1774" i="13"/>
  <c r="C8295" i="13"/>
  <c r="C539" i="13"/>
  <c r="C1779" i="13"/>
  <c r="C6844" i="13"/>
  <c r="C6523" i="13"/>
  <c r="C5182" i="13"/>
  <c r="C6401" i="13"/>
  <c r="C2366" i="13"/>
  <c r="C3524" i="13"/>
  <c r="C2342" i="13"/>
  <c r="C8440" i="13"/>
  <c r="C7006" i="13"/>
  <c r="C2819" i="13"/>
  <c r="C4202" i="13"/>
  <c r="C9238" i="13"/>
  <c r="C8937" i="13"/>
  <c r="C2125" i="13"/>
  <c r="C1289" i="13"/>
  <c r="C1115" i="13"/>
  <c r="C1809" i="13"/>
  <c r="C143" i="13"/>
  <c r="C4431" i="13"/>
  <c r="C449" i="13"/>
  <c r="C4619" i="13"/>
  <c r="C8463" i="13"/>
  <c r="C2219" i="13"/>
  <c r="C847" i="13"/>
  <c r="C1952" i="13"/>
  <c r="C3679" i="13"/>
  <c r="C9019" i="13"/>
  <c r="C6650" i="13"/>
  <c r="C1300" i="13"/>
  <c r="C1143" i="13"/>
  <c r="C4625" i="13"/>
  <c r="C4786" i="13"/>
  <c r="C8531" i="13"/>
  <c r="C2265" i="13"/>
  <c r="C3129" i="13"/>
  <c r="C2928" i="13"/>
  <c r="C4503" i="13"/>
  <c r="C4560" i="13"/>
  <c r="C8386" i="13"/>
  <c r="C4200" i="13"/>
  <c r="C9776" i="13"/>
  <c r="C7239" i="13"/>
  <c r="C443" i="13"/>
  <c r="C3947" i="13"/>
  <c r="C3122" i="13"/>
  <c r="C1492" i="13"/>
  <c r="C9542" i="13"/>
  <c r="C6977" i="13"/>
  <c r="C4254" i="13"/>
  <c r="C809" i="13"/>
  <c r="C5863" i="13"/>
  <c r="C2180" i="13"/>
  <c r="C2612" i="13"/>
  <c r="C8833" i="13"/>
  <c r="C8639" i="13"/>
  <c r="C5803" i="13"/>
  <c r="C8329" i="13"/>
  <c r="C3624" i="13"/>
  <c r="C2627" i="13"/>
  <c r="C5647" i="13"/>
  <c r="C5503" i="13"/>
  <c r="C2312" i="13"/>
  <c r="C1154" i="13"/>
  <c r="C2950" i="13"/>
  <c r="C4863" i="13"/>
  <c r="C9968" i="13"/>
  <c r="C5493" i="13"/>
  <c r="C3692" i="13"/>
  <c r="C1180" i="13"/>
  <c r="C2066" i="13"/>
  <c r="C3541" i="13"/>
  <c r="C9004" i="13"/>
  <c r="C1842" i="13"/>
  <c r="C2917" i="13"/>
  <c r="C3574" i="13"/>
  <c r="C9593" i="13"/>
  <c r="C4981" i="13"/>
  <c r="C5038" i="13"/>
  <c r="C1708" i="13"/>
  <c r="C1567" i="13"/>
  <c r="C6662" i="13"/>
  <c r="C5564" i="13"/>
  <c r="C1407" i="13"/>
  <c r="C2206" i="13"/>
  <c r="C6914" i="13"/>
  <c r="C5237" i="13"/>
  <c r="C9543" i="13"/>
  <c r="C5995" i="13"/>
  <c r="C14" i="13"/>
  <c r="C218" i="13"/>
  <c r="C3148" i="13"/>
  <c r="C4665" i="13"/>
  <c r="C58" i="13"/>
  <c r="C3501" i="13"/>
  <c r="C686" i="13"/>
  <c r="C8404" i="13"/>
  <c r="C8747" i="13"/>
  <c r="C1630" i="13"/>
  <c r="C4474" i="13"/>
  <c r="C1004" i="13"/>
  <c r="C1280" i="13"/>
  <c r="C2508" i="13"/>
  <c r="C79" i="13"/>
  <c r="C1682" i="13"/>
  <c r="C3345" i="13"/>
  <c r="C7911" i="13"/>
  <c r="C2244" i="13"/>
  <c r="C3824" i="13"/>
  <c r="C4746" i="13"/>
  <c r="C177" i="13"/>
  <c r="C9521" i="13"/>
  <c r="C6905" i="13"/>
  <c r="C2102" i="13"/>
  <c r="C2288" i="13"/>
  <c r="C6324" i="13"/>
  <c r="C4769" i="13"/>
  <c r="C3488" i="13"/>
  <c r="C3882" i="13"/>
  <c r="C1376" i="13"/>
  <c r="C3304" i="13"/>
  <c r="C3336" i="13"/>
  <c r="C4340" i="13"/>
  <c r="C7706" i="13"/>
  <c r="C4541" i="13"/>
  <c r="C8625" i="13"/>
  <c r="C6615" i="13"/>
  <c r="C5370" i="13"/>
  <c r="C5050" i="13"/>
  <c r="C9492" i="13"/>
  <c r="C7458" i="13"/>
  <c r="C7534" i="13"/>
  <c r="C6288" i="13"/>
  <c r="C587" i="13"/>
  <c r="C6148" i="13"/>
  <c r="C6667" i="13"/>
  <c r="C2109" i="13"/>
  <c r="C2814" i="13"/>
  <c r="C434" i="13"/>
  <c r="C4923" i="13"/>
  <c r="C7214" i="13"/>
  <c r="C9252" i="13"/>
  <c r="C1982" i="13"/>
  <c r="C336" i="13"/>
  <c r="C2467" i="13"/>
  <c r="C2079" i="13"/>
  <c r="C1856" i="13"/>
  <c r="C5626" i="13"/>
  <c r="C3730" i="13"/>
  <c r="C4321" i="13"/>
  <c r="C6958" i="13"/>
  <c r="C9149" i="13"/>
  <c r="C2638" i="13"/>
  <c r="C752" i="13"/>
  <c r="C2723" i="13"/>
  <c r="C2953" i="13"/>
  <c r="C2112" i="13"/>
  <c r="C4020" i="13"/>
  <c r="C5243" i="13"/>
  <c r="C4577" i="13"/>
  <c r="C9278" i="13"/>
  <c r="C1283" i="13"/>
  <c r="C1974" i="13"/>
  <c r="C7" i="10"/>
  <c r="C5303" i="13"/>
  <c r="C1275" i="13"/>
  <c r="C7268" i="13"/>
  <c r="C8683" i="13"/>
  <c r="C3074" i="13"/>
  <c r="C5739" i="13"/>
  <c r="C4306" i="13"/>
  <c r="C5374" i="13"/>
  <c r="C7345" i="13"/>
  <c r="C3075" i="13"/>
  <c r="C3628" i="13"/>
  <c r="C929" i="13"/>
  <c r="C1881" i="13"/>
  <c r="C2584" i="13"/>
  <c r="C1367" i="13"/>
  <c r="C6708" i="13"/>
  <c r="C8436" i="13"/>
  <c r="C823" i="13"/>
  <c r="C7335" i="13"/>
  <c r="C8423" i="13"/>
  <c r="C8158" i="13"/>
  <c r="C7112" i="13"/>
  <c r="C4126" i="13"/>
  <c r="C2415" i="13"/>
  <c r="C7266" i="13"/>
  <c r="C9605" i="13"/>
  <c r="C3072" i="13"/>
  <c r="C8890" i="13"/>
  <c r="C352" i="13"/>
  <c r="C8100" i="13"/>
  <c r="C5090" i="13"/>
  <c r="C7227" i="13"/>
  <c r="C7564" i="13"/>
  <c r="C5172" i="13"/>
  <c r="C3371" i="13"/>
  <c r="C1443" i="13"/>
  <c r="C8371" i="13"/>
  <c r="C4146" i="13"/>
  <c r="C1337" i="13"/>
  <c r="C160" i="13"/>
  <c r="C3733" i="13"/>
  <c r="C7653" i="13"/>
  <c r="C6742" i="13"/>
  <c r="C8437" i="13"/>
  <c r="C3578" i="13"/>
  <c r="C9677" i="13"/>
  <c r="C9691" i="13"/>
  <c r="C3033" i="13"/>
  <c r="C7747" i="13"/>
  <c r="C895" i="13"/>
  <c r="C919" i="13"/>
  <c r="C5145" i="13"/>
  <c r="C5337" i="13"/>
  <c r="C125" i="13"/>
  <c r="C745" i="13"/>
  <c r="C338" i="13"/>
  <c r="C1125" i="13"/>
  <c r="C6855" i="13"/>
  <c r="C1805" i="13"/>
  <c r="C3951" i="13"/>
  <c r="C8197" i="13"/>
  <c r="C7535" i="13"/>
  <c r="C7579" i="13"/>
  <c r="C1227" i="13"/>
  <c r="C4627" i="13"/>
  <c r="C3372" i="13"/>
  <c r="C2625" i="13"/>
  <c r="C911" i="13"/>
  <c r="C5043" i="13"/>
  <c r="C3422" i="13"/>
  <c r="C3348" i="13"/>
  <c r="C7446" i="13"/>
  <c r="C7596" i="13"/>
  <c r="C1483" i="13"/>
  <c r="C3236" i="13"/>
  <c r="C3728" i="13"/>
  <c r="C2881" i="13"/>
  <c r="C884" i="13"/>
  <c r="C990" i="13"/>
  <c r="C2034" i="13"/>
  <c r="C3664" i="13"/>
  <c r="C2221" i="13"/>
  <c r="C9609" i="13"/>
  <c r="C9380" i="13"/>
  <c r="C3804" i="13"/>
  <c r="C4315" i="13"/>
  <c r="C198" i="13"/>
  <c r="C3701" i="13"/>
  <c r="C5695" i="13"/>
  <c r="C3527" i="13"/>
  <c r="C117" i="13"/>
  <c r="C7324" i="13"/>
  <c r="C5557" i="13"/>
  <c r="C8244" i="13"/>
  <c r="C1758" i="13"/>
  <c r="C5590" i="13"/>
  <c r="C741" i="13"/>
  <c r="C101" i="13"/>
  <c r="C6206" i="13"/>
  <c r="C940" i="13"/>
  <c r="C9102" i="13"/>
  <c r="C4269" i="13"/>
  <c r="C4210" i="13"/>
  <c r="C3817" i="13"/>
  <c r="C366" i="13"/>
  <c r="C8071" i="13"/>
  <c r="C4392" i="13"/>
  <c r="C7499" i="13"/>
  <c r="C7340" i="13"/>
  <c r="C5727" i="13"/>
  <c r="C7629" i="13"/>
  <c r="C1336" i="13"/>
  <c r="C6751" i="13"/>
  <c r="C5336" i="13"/>
  <c r="C620" i="13"/>
  <c r="C1113" i="13"/>
  <c r="C8394" i="13"/>
  <c r="C4845" i="13"/>
  <c r="C4024" i="13"/>
  <c r="C9037" i="13"/>
  <c r="C9397" i="13"/>
  <c r="C3061" i="13"/>
  <c r="C1889" i="13"/>
  <c r="C3952" i="13"/>
  <c r="C1919" i="13"/>
  <c r="C5918" i="13"/>
  <c r="C1796" i="13"/>
  <c r="C7191" i="13"/>
  <c r="C4655" i="13"/>
  <c r="C8269" i="13"/>
  <c r="C8106" i="13"/>
  <c r="C3093" i="13"/>
  <c r="C3410" i="13"/>
  <c r="C2461" i="13"/>
  <c r="C1903" i="13"/>
  <c r="C4794" i="13"/>
  <c r="C3735" i="13"/>
  <c r="C5178" i="13"/>
  <c r="C4223" i="13"/>
  <c r="C7779" i="13"/>
  <c r="C8141" i="13"/>
  <c r="C3846" i="13"/>
  <c r="C3003" i="13"/>
  <c r="C2717" i="13"/>
  <c r="C2226" i="13"/>
  <c r="C4048" i="13"/>
  <c r="C2895" i="13"/>
  <c r="C5756" i="13"/>
  <c r="C3642" i="13"/>
  <c r="C8688" i="13"/>
  <c r="C7848" i="13"/>
  <c r="C7323" i="13"/>
  <c r="C5667" i="13"/>
  <c r="C4197" i="13"/>
  <c r="C1436" i="13"/>
  <c r="C9169" i="13"/>
  <c r="C9086" i="13"/>
  <c r="C5266" i="13"/>
  <c r="C4106" i="13"/>
  <c r="C642" i="13"/>
  <c r="C4962" i="13"/>
  <c r="C6500" i="13"/>
  <c r="C3559" i="13"/>
  <c r="C2636" i="13"/>
  <c r="C186" i="13"/>
  <c r="C1269" i="13"/>
  <c r="C3497" i="13"/>
  <c r="C230" i="13"/>
  <c r="C3070" i="13"/>
  <c r="C6727" i="13"/>
  <c r="C844" i="13"/>
  <c r="C6768" i="13"/>
  <c r="C1847" i="13"/>
  <c r="C3775" i="13"/>
  <c r="C8785" i="13"/>
  <c r="C2712" i="13"/>
  <c r="C9611" i="13"/>
  <c r="C7244" i="13"/>
  <c r="C4438" i="13"/>
  <c r="C1725" i="13"/>
  <c r="C6192" i="13"/>
  <c r="C4251" i="13"/>
  <c r="C8624" i="13"/>
  <c r="C6331" i="13"/>
  <c r="C8718" i="13"/>
  <c r="C7254" i="13"/>
  <c r="C4236" i="13"/>
  <c r="C1252" i="13"/>
  <c r="C8275" i="13"/>
  <c r="C9253" i="13"/>
  <c r="C2589" i="13"/>
  <c r="C660" i="13"/>
  <c r="C3358" i="13"/>
  <c r="C6981" i="13"/>
  <c r="C7390" i="13"/>
  <c r="C2227" i="13"/>
  <c r="C4951" i="13"/>
  <c r="C7581" i="13"/>
  <c r="C9434" i="13"/>
  <c r="C9546" i="13"/>
  <c r="C169" i="13"/>
  <c r="C5686" i="13"/>
  <c r="C4502" i="13"/>
  <c r="C4597" i="13"/>
  <c r="C8969" i="13"/>
  <c r="C5049" i="13"/>
  <c r="C1685" i="13"/>
  <c r="C1993" i="13"/>
  <c r="C5106" i="13"/>
  <c r="C3413" i="13"/>
  <c r="C1482" i="13"/>
  <c r="C3166" i="13"/>
  <c r="C6521" i="13"/>
  <c r="C3528" i="13"/>
  <c r="C4071" i="13"/>
  <c r="C7586" i="13"/>
  <c r="C651" i="13"/>
  <c r="C303" i="13"/>
  <c r="C4950" i="13"/>
  <c r="C1697" i="13"/>
  <c r="C7660" i="13"/>
  <c r="C1263" i="13"/>
  <c r="C3675" i="13"/>
  <c r="C9758" i="13"/>
  <c r="C3795" i="13"/>
  <c r="C6744" i="13"/>
  <c r="C1404" i="13"/>
  <c r="C295" i="13"/>
  <c r="C4133" i="13"/>
  <c r="C958" i="13"/>
  <c r="C7682" i="13"/>
  <c r="C1519" i="13"/>
  <c r="C94" i="13"/>
  <c r="C9704" i="13"/>
  <c r="C7041" i="13"/>
  <c r="C6863" i="13"/>
  <c r="C9298" i="13"/>
  <c r="C1246" i="13"/>
  <c r="C4694" i="13"/>
  <c r="C8794" i="13"/>
  <c r="C9192" i="13"/>
  <c r="C2779" i="13"/>
  <c r="C412" i="13"/>
  <c r="C5142" i="13"/>
  <c r="C4872" i="13"/>
  <c r="C5256" i="13"/>
  <c r="C4467" i="13"/>
  <c r="C998" i="13"/>
  <c r="C3654" i="13"/>
  <c r="C4783" i="13"/>
  <c r="C4358" i="13"/>
  <c r="C1632" i="13"/>
  <c r="C899" i="13"/>
  <c r="C9600" i="13"/>
  <c r="C5636" i="13"/>
  <c r="C3903" i="13"/>
  <c r="C1448" i="13"/>
  <c r="C6121" i="13"/>
  <c r="C3807" i="13"/>
  <c r="C5329" i="13"/>
  <c r="C8584" i="13"/>
  <c r="C1051" i="13"/>
  <c r="C8346" i="13"/>
  <c r="C7411" i="13"/>
  <c r="C7523" i="13"/>
  <c r="C3262" i="13"/>
  <c r="C7148" i="13"/>
  <c r="C2103" i="13"/>
  <c r="C3103" i="13"/>
  <c r="C9023" i="13"/>
  <c r="C3280" i="13"/>
  <c r="C9576" i="13"/>
  <c r="C7087" i="13"/>
  <c r="C5250" i="13"/>
  <c r="C9410" i="13"/>
  <c r="C3850" i="13"/>
  <c r="C1087" i="13"/>
  <c r="C5310" i="13"/>
  <c r="C7758" i="13"/>
  <c r="C8941" i="13"/>
  <c r="C1726" i="13"/>
  <c r="C1127" i="13"/>
  <c r="C2211" i="13"/>
  <c r="C2718" i="13"/>
  <c r="C1600" i="13"/>
  <c r="C5114" i="13"/>
  <c r="C4343" i="13"/>
  <c r="C5345" i="13"/>
  <c r="C4776" i="13"/>
  <c r="C8073" i="13"/>
  <c r="C5880" i="13"/>
  <c r="C5820" i="13"/>
  <c r="C735" i="13"/>
  <c r="C45" i="13"/>
  <c r="C7129" i="13"/>
  <c r="C226" i="13"/>
  <c r="C5673" i="13"/>
  <c r="C5868" i="13"/>
  <c r="C5335" i="13"/>
  <c r="C7683" i="13"/>
  <c r="C2171" i="13"/>
  <c r="C4805" i="13"/>
  <c r="C572" i="13"/>
  <c r="C477" i="13"/>
  <c r="C8322" i="13"/>
  <c r="C1199" i="13"/>
  <c r="C6344" i="13"/>
  <c r="C5581" i="13"/>
  <c r="C7811" i="13"/>
  <c r="C5369" i="13"/>
  <c r="C7628" i="13"/>
  <c r="C5179" i="13"/>
  <c r="C4250" i="13"/>
  <c r="C38" i="13"/>
  <c r="C2490" i="13"/>
  <c r="C6380" i="13"/>
  <c r="C948" i="13"/>
  <c r="C2412" i="13"/>
  <c r="C3833" i="13"/>
  <c r="C4025" i="13"/>
  <c r="C308" i="13"/>
  <c r="C1484" i="13"/>
  <c r="C2894" i="13"/>
  <c r="C1808" i="13"/>
  <c r="C6740" i="13"/>
  <c r="C217" i="13"/>
  <c r="C1401" i="13"/>
  <c r="C4603" i="13"/>
  <c r="C6439" i="13"/>
  <c r="C510" i="13"/>
  <c r="C1257" i="13"/>
  <c r="C769" i="13"/>
  <c r="C4672" i="13"/>
  <c r="C7343" i="13"/>
  <c r="C4839" i="13"/>
  <c r="C7671" i="13"/>
  <c r="C2825" i="13"/>
  <c r="C9725" i="13"/>
  <c r="C9800" i="13"/>
  <c r="C6183" i="13"/>
  <c r="C4463" i="13"/>
  <c r="C254" i="13"/>
  <c r="C2930" i="13"/>
  <c r="C3691" i="13"/>
  <c r="C8870" i="13"/>
  <c r="C5777" i="13"/>
  <c r="C3866" i="13"/>
  <c r="C4044" i="13"/>
  <c r="C5906" i="13"/>
  <c r="C1026" i="13"/>
  <c r="C6221" i="13"/>
  <c r="C220" i="13"/>
  <c r="C7829" i="13"/>
  <c r="C8048" i="13"/>
  <c r="C5875" i="13"/>
  <c r="C5579" i="13"/>
  <c r="C3790" i="13"/>
  <c r="C4117" i="13"/>
  <c r="C3904" i="13"/>
  <c r="C4994" i="13"/>
  <c r="C384" i="13"/>
  <c r="C640" i="13"/>
  <c r="C8399" i="13"/>
  <c r="C2479" i="13"/>
  <c r="C512" i="13"/>
  <c r="C1950" i="13"/>
  <c r="C37" i="13"/>
  <c r="C631" i="13"/>
  <c r="C5947" i="13"/>
  <c r="C1217" i="13"/>
  <c r="C7002" i="13"/>
  <c r="C1520" i="13"/>
  <c r="C6592" i="13"/>
  <c r="C3801" i="13"/>
  <c r="C6896" i="13"/>
  <c r="C1069" i="13"/>
  <c r="C4835" i="13"/>
  <c r="C1093" i="13"/>
  <c r="C410" i="13"/>
  <c r="C1191" i="13"/>
  <c r="C2949" i="13"/>
  <c r="C2503" i="13"/>
  <c r="C7800" i="13"/>
  <c r="C5816" i="13"/>
  <c r="C6605" i="13"/>
  <c r="C225" i="13"/>
  <c r="C3268" i="13"/>
  <c r="C923" i="13"/>
  <c r="C1777" i="13"/>
  <c r="C1965" i="13"/>
  <c r="C2443" i="13"/>
  <c r="C2759" i="13"/>
  <c r="C7363" i="13"/>
  <c r="C6733" i="13"/>
  <c r="C6587" i="13"/>
  <c r="C4953" i="13"/>
  <c r="C3271" i="13"/>
  <c r="C4067" i="13"/>
  <c r="C1273" i="13"/>
  <c r="C9352" i="13"/>
  <c r="C8786" i="13"/>
  <c r="C1729" i="13"/>
  <c r="C2554" i="13"/>
  <c r="C8120" i="13"/>
  <c r="C8312" i="13"/>
  <c r="C3035" i="13"/>
  <c r="C1836" i="13"/>
  <c r="C5683" i="13"/>
  <c r="C2904" i="13"/>
  <c r="C6443" i="13"/>
  <c r="C1877" i="13"/>
  <c r="C7413" i="13"/>
  <c r="C1315" i="13"/>
  <c r="C4757" i="13"/>
  <c r="C883" i="13"/>
  <c r="C5334" i="13"/>
  <c r="C4052" i="13"/>
  <c r="C6961" i="13"/>
  <c r="C9485" i="13"/>
  <c r="C9266" i="13"/>
  <c r="C2050" i="13"/>
  <c r="C4252" i="13"/>
  <c r="C6406" i="13"/>
  <c r="C6296" i="13"/>
  <c r="C6291" i="13"/>
  <c r="C4828" i="13"/>
  <c r="C977" i="13"/>
  <c r="C787" i="13"/>
  <c r="C4667" i="13"/>
  <c r="C7777" i="13"/>
  <c r="C9524" i="13"/>
  <c r="C3974" i="13"/>
  <c r="C5787" i="13"/>
  <c r="C1068" i="13"/>
  <c r="C696" i="13"/>
  <c r="C3227" i="13"/>
  <c r="C1359" i="13"/>
  <c r="C4148" i="13"/>
  <c r="C6603" i="13"/>
  <c r="C5968" i="13"/>
  <c r="C159" i="13"/>
  <c r="C6983" i="13"/>
  <c r="C2890" i="13"/>
  <c r="C3114" i="13"/>
  <c r="C451" i="13"/>
  <c r="C9202" i="13"/>
  <c r="C6169" i="13"/>
  <c r="C3870" i="13"/>
  <c r="C5881" i="13"/>
  <c r="C8506" i="13"/>
  <c r="C1098" i="13"/>
  <c r="C2367" i="13"/>
  <c r="C5505" i="13"/>
  <c r="C6239" i="13"/>
  <c r="C5547" i="13"/>
  <c r="C4489" i="13"/>
  <c r="C4374" i="13"/>
  <c r="C8008" i="13"/>
  <c r="C5218" i="13"/>
  <c r="C6348" i="13"/>
  <c r="C9661" i="13"/>
  <c r="C762" i="13"/>
  <c r="C1147" i="13"/>
  <c r="C3840" i="13"/>
  <c r="C2695" i="13"/>
  <c r="C5932" i="13"/>
  <c r="C4277" i="13"/>
  <c r="C8418" i="13"/>
  <c r="C356" i="13"/>
  <c r="C2738" i="13"/>
  <c r="C6778" i="13"/>
  <c r="C6758" i="13"/>
  <c r="C4676" i="13"/>
  <c r="C5355" i="13"/>
  <c r="C1656" i="13"/>
  <c r="C2854" i="13"/>
  <c r="C3720" i="13"/>
  <c r="C3779" i="13"/>
  <c r="C2632" i="13"/>
  <c r="C8509" i="13"/>
  <c r="C7623" i="13"/>
  <c r="C499" i="13"/>
  <c r="C2873" i="13"/>
  <c r="C1309" i="13"/>
  <c r="C6679" i="13"/>
  <c r="C8926" i="13"/>
  <c r="C4460" i="13"/>
  <c r="C1138" i="13"/>
  <c r="C4714" i="13"/>
  <c r="C2300" i="13"/>
  <c r="C1964" i="13"/>
  <c r="C7497" i="13"/>
  <c r="C626" i="13"/>
  <c r="C6094" i="13"/>
  <c r="C9514" i="13"/>
  <c r="C6580" i="13"/>
  <c r="C6641" i="13"/>
  <c r="C6746" i="13"/>
  <c r="C4580" i="13"/>
  <c r="C1755" i="13"/>
  <c r="C1673" i="13"/>
  <c r="C2372" i="13"/>
  <c r="C7654" i="13"/>
  <c r="C9287" i="13"/>
  <c r="C813" i="13"/>
  <c r="C325" i="13"/>
  <c r="C6149" i="13"/>
  <c r="C4804" i="13"/>
  <c r="C3593" i="13"/>
  <c r="C1849" i="13"/>
  <c r="C636" i="13"/>
  <c r="C3239" i="13"/>
  <c r="C1591" i="13"/>
  <c r="C2444" i="13"/>
  <c r="C5393" i="13"/>
  <c r="C3060" i="13"/>
  <c r="C1780" i="13"/>
  <c r="C3373" i="13"/>
  <c r="C914" i="13"/>
  <c r="C3368" i="13"/>
  <c r="C6193" i="13"/>
  <c r="C882" i="13"/>
  <c r="C6770" i="13"/>
  <c r="C1410" i="13"/>
  <c r="C1286" i="13"/>
  <c r="C8851" i="13"/>
  <c r="C4275" i="13"/>
  <c r="C1033" i="13"/>
  <c r="C8287" i="13"/>
  <c r="C5361" i="13"/>
  <c r="C2613" i="13"/>
  <c r="C5464" i="13"/>
  <c r="C9872" i="13"/>
  <c r="C3785" i="13"/>
  <c r="C5665" i="13"/>
  <c r="C6853" i="13"/>
  <c r="C8690" i="13"/>
  <c r="C6004" i="13"/>
  <c r="C7925" i="13"/>
  <c r="C7649" i="13"/>
  <c r="C3385" i="13"/>
  <c r="C282" i="13"/>
  <c r="C2301" i="13"/>
  <c r="C2405" i="13"/>
  <c r="C4030" i="13"/>
  <c r="C4370" i="13"/>
  <c r="C2155" i="13"/>
  <c r="C5955" i="13"/>
  <c r="C3273" i="13"/>
  <c r="C2043" i="13"/>
  <c r="C9978" i="13"/>
  <c r="C2218" i="13"/>
  <c r="C5815" i="13"/>
  <c r="C7247" i="13"/>
  <c r="C4891" i="13"/>
  <c r="C4183" i="13"/>
  <c r="C5664" i="13"/>
  <c r="C6985" i="13"/>
  <c r="C2450" i="13"/>
  <c r="C8131" i="13"/>
  <c r="C268" i="13"/>
  <c r="C2173" i="13"/>
  <c r="C3343" i="13"/>
  <c r="C2454" i="13"/>
  <c r="C118" i="13"/>
  <c r="C4014" i="13"/>
  <c r="C596" i="13"/>
  <c r="C1061" i="13"/>
  <c r="C3084" i="13"/>
  <c r="C9314" i="13"/>
  <c r="C306" i="13"/>
  <c r="C5112" i="13"/>
  <c r="C1806" i="13"/>
  <c r="C5685" i="13"/>
  <c r="C4648" i="13"/>
  <c r="C1888" i="13"/>
  <c r="C6908" i="13"/>
  <c r="C8167" i="13"/>
  <c r="C4322" i="13"/>
  <c r="C1322" i="13"/>
  <c r="C3976" i="13"/>
  <c r="C4134" i="13"/>
  <c r="C9757" i="13"/>
  <c r="C6014" i="13"/>
  <c r="C5550" i="13"/>
  <c r="C2411" i="13"/>
  <c r="C4594" i="13"/>
  <c r="C1930" i="13"/>
  <c r="C3634" i="13"/>
  <c r="C7366" i="13"/>
  <c r="C1696" i="13"/>
  <c r="C9047" i="13"/>
  <c r="C6819" i="13"/>
  <c r="C6899" i="13"/>
  <c r="C7651" i="13"/>
  <c r="C5585" i="13"/>
  <c r="C2682" i="13"/>
  <c r="C7952" i="13"/>
  <c r="C8694" i="13"/>
  <c r="C5658" i="13"/>
  <c r="C6906" i="13"/>
  <c r="C717" i="13"/>
  <c r="C7513" i="13"/>
  <c r="C3326" i="13"/>
  <c r="C2789" i="13"/>
  <c r="C5633" i="13"/>
  <c r="C8635" i="13"/>
  <c r="C6574" i="13"/>
  <c r="C8824" i="13"/>
  <c r="C7145" i="13"/>
  <c r="C9223" i="13"/>
  <c r="C1724" i="13"/>
  <c r="C3920" i="13"/>
  <c r="C390" i="13"/>
  <c r="C789" i="13"/>
  <c r="C5769" i="13"/>
  <c r="C803" i="13"/>
  <c r="C7763" i="13"/>
  <c r="C7241" i="13"/>
  <c r="C7799" i="13"/>
  <c r="C5382" i="13"/>
  <c r="C619" i="13"/>
  <c r="C4303" i="13"/>
  <c r="C5499" i="13"/>
  <c r="C2783" i="13"/>
  <c r="C461" i="13"/>
  <c r="C4899" i="13"/>
  <c r="C1687" i="13"/>
  <c r="C6624" i="13"/>
  <c r="C7752" i="13"/>
  <c r="C5730" i="13"/>
  <c r="C1597" i="13"/>
  <c r="C2429" i="13"/>
  <c r="C3911" i="13"/>
  <c r="C3039" i="13"/>
  <c r="C783" i="13"/>
  <c r="C3275" i="13"/>
  <c r="C2305" i="13"/>
  <c r="C5540" i="13"/>
  <c r="C6159" i="13"/>
  <c r="C8319" i="13"/>
  <c r="C7289" i="13"/>
  <c r="C3109" i="13"/>
  <c r="C2586" i="13"/>
  <c r="C7822" i="13"/>
  <c r="C7720" i="13"/>
  <c r="C4032" i="13"/>
  <c r="C4453" i="13"/>
  <c r="C22" i="13"/>
  <c r="C9860" i="13"/>
  <c r="C4636" i="13"/>
  <c r="C3002" i="13"/>
  <c r="C2604" i="13"/>
  <c r="C102" i="13"/>
  <c r="C2230" i="13"/>
  <c r="C6220" i="13"/>
  <c r="C2344" i="13"/>
  <c r="C3092" i="13"/>
  <c r="C9774" i="13"/>
  <c r="C9786" i="13"/>
  <c r="C2141" i="13"/>
  <c r="C6970" i="13"/>
  <c r="C5851" i="13"/>
  <c r="C6088" i="13"/>
  <c r="C7597" i="13"/>
  <c r="C3617" i="13"/>
  <c r="C2769" i="13"/>
  <c r="C1588" i="13"/>
  <c r="C9260" i="13"/>
  <c r="C9188" i="13"/>
  <c r="C4066" i="13"/>
  <c r="C6607" i="13"/>
  <c r="C3442" i="13"/>
  <c r="C5062" i="13"/>
  <c r="C4179" i="13"/>
  <c r="C6843" i="13"/>
  <c r="C5617" i="13"/>
  <c r="C8888" i="13"/>
  <c r="C4232" i="13"/>
  <c r="C8974" i="13"/>
  <c r="C167" i="13"/>
  <c r="C138" i="13"/>
  <c r="C2502" i="13"/>
  <c r="C2679" i="13"/>
  <c r="C8333" i="13"/>
  <c r="C5133" i="13"/>
  <c r="C5824" i="13"/>
  <c r="C3176" i="13"/>
  <c r="C3746" i="13"/>
  <c r="C1198" i="13"/>
  <c r="C3048" i="13"/>
  <c r="C493" i="13"/>
  <c r="C4664" i="13"/>
  <c r="C6126" i="13"/>
  <c r="C8904" i="13"/>
  <c r="C1323" i="13"/>
  <c r="C4261" i="13"/>
  <c r="C562" i="13"/>
  <c r="C710" i="13"/>
  <c r="C7688" i="13"/>
  <c r="C1090" i="13"/>
  <c r="C8843" i="13"/>
  <c r="C9142" i="13"/>
  <c r="C2098" i="13"/>
  <c r="C8787" i="13"/>
  <c r="C1063" i="13"/>
  <c r="C2915" i="13"/>
  <c r="C4468" i="13"/>
  <c r="C3465" i="13"/>
  <c r="C4421" i="13"/>
  <c r="C779" i="13"/>
  <c r="C6909" i="13"/>
  <c r="C8540" i="13"/>
  <c r="C1373" i="13"/>
  <c r="C9271" i="13"/>
  <c r="C309" i="13"/>
  <c r="C4454" i="13"/>
  <c r="C4763" i="13"/>
  <c r="C3946" i="13"/>
  <c r="C4696" i="13"/>
  <c r="C2746" i="13"/>
  <c r="C7257" i="13"/>
  <c r="C5987" i="13"/>
  <c r="C9998" i="13"/>
  <c r="C6293" i="13"/>
  <c r="C6537" i="13"/>
  <c r="C4338" i="13"/>
  <c r="C326" i="13"/>
  <c r="C6872" i="13"/>
  <c r="C7228" i="13"/>
  <c r="C122" i="13"/>
  <c r="C5864" i="13"/>
  <c r="C1237" i="13"/>
  <c r="C4781" i="13"/>
  <c r="C5983" i="13"/>
  <c r="C1406" i="13"/>
  <c r="C3247" i="13"/>
  <c r="C3543" i="13"/>
  <c r="C2007" i="13"/>
  <c r="C1053" i="13"/>
  <c r="C4654" i="13"/>
  <c r="C1845" i="13"/>
  <c r="C3695" i="13"/>
  <c r="C9264" i="13"/>
  <c r="C687" i="13"/>
  <c r="C8883" i="13"/>
  <c r="C3020" i="13"/>
  <c r="C7354" i="13"/>
  <c r="C7308" i="13"/>
  <c r="C4916" i="13"/>
  <c r="C2240" i="13"/>
  <c r="C3566" i="13"/>
  <c r="C9647" i="13"/>
  <c r="C9833" i="13"/>
  <c r="C1119" i="13"/>
  <c r="C4819" i="13"/>
  <c r="C3621" i="13"/>
  <c r="C4733" i="13"/>
  <c r="C3992" i="13"/>
  <c r="C9067" i="13"/>
  <c r="C6702" i="13"/>
  <c r="C9350" i="13"/>
  <c r="C4573" i="13"/>
  <c r="C5207" i="13"/>
  <c r="C3766" i="13"/>
  <c r="C983" i="13"/>
  <c r="C6783" i="13"/>
  <c r="C8468" i="13"/>
  <c r="C6559" i="13"/>
  <c r="C4194" i="13"/>
  <c r="C2731" i="13"/>
  <c r="C3774" i="13"/>
  <c r="C2531" i="13"/>
  <c r="C1086" i="13"/>
  <c r="C4642" i="13"/>
  <c r="C571" i="13"/>
  <c r="C7935" i="13"/>
  <c r="C8372" i="13"/>
  <c r="C4834" i="13"/>
  <c r="C645" i="13"/>
  <c r="C860" i="13"/>
  <c r="C4101" i="13"/>
  <c r="C736" i="13"/>
  <c r="C5267" i="13"/>
  <c r="C3684" i="13"/>
  <c r="C7223" i="13"/>
  <c r="C7701" i="13"/>
  <c r="C7988" i="13"/>
  <c r="C4505" i="13"/>
  <c r="C471" i="13"/>
  <c r="C2838" i="13"/>
  <c r="C4357" i="13"/>
  <c r="C3584" i="13"/>
  <c r="C2433" i="13"/>
  <c r="C3768" i="13"/>
  <c r="C7546" i="13"/>
  <c r="C9132" i="13"/>
  <c r="C4633" i="13"/>
  <c r="C7348" i="13"/>
  <c r="C9451" i="13"/>
  <c r="C1692" i="13"/>
  <c r="C698" i="13"/>
  <c r="C2205" i="13"/>
  <c r="C5563" i="13"/>
  <c r="C6943" i="13"/>
  <c r="C806" i="13"/>
  <c r="C2334" i="13"/>
  <c r="C6596" i="13"/>
  <c r="C6788" i="13"/>
  <c r="C4288" i="13"/>
  <c r="C4727" i="13"/>
  <c r="C318" i="13"/>
  <c r="C681" i="13"/>
  <c r="C8206" i="13"/>
  <c r="C1810" i="13"/>
  <c r="C4873" i="13"/>
  <c r="C734" i="13"/>
  <c r="C7080" i="13"/>
  <c r="C5080" i="13"/>
  <c r="C1171" i="13"/>
  <c r="C1114" i="13"/>
  <c r="C8265" i="13"/>
  <c r="C6052" i="13"/>
  <c r="C5635" i="13"/>
  <c r="C7872" i="13"/>
  <c r="C3515" i="13"/>
  <c r="C7433" i="13"/>
  <c r="C7250" i="13"/>
  <c r="C9854" i="13"/>
  <c r="C5331" i="13"/>
  <c r="C65" i="13"/>
  <c r="C2734" i="13"/>
  <c r="C808" i="13"/>
  <c r="C6633" i="13"/>
  <c r="C9650" i="13"/>
  <c r="C8957" i="13"/>
  <c r="C3814" i="13"/>
  <c r="C9630" i="13"/>
  <c r="C6204" i="13"/>
  <c r="C2151" i="13"/>
  <c r="C7529" i="13"/>
  <c r="C5975" i="13"/>
  <c r="C5898" i="13"/>
  <c r="C9321" i="13"/>
  <c r="C2040" i="13"/>
  <c r="C8342" i="13"/>
  <c r="C8358" i="13"/>
  <c r="C3228" i="13"/>
  <c r="C3429" i="13"/>
  <c r="C9641" i="13"/>
  <c r="C2047" i="13"/>
  <c r="C9689" i="13"/>
  <c r="C5831" i="13"/>
  <c r="C6215" i="13"/>
  <c r="C3918" i="13"/>
  <c r="C627" i="13"/>
  <c r="C5595" i="13"/>
  <c r="C1465" i="13"/>
  <c r="C2488" i="13"/>
  <c r="C2166" i="13"/>
  <c r="C1549" i="13"/>
  <c r="C8374" i="13"/>
  <c r="C525" i="13"/>
  <c r="C1477" i="13"/>
  <c r="C2510" i="13"/>
  <c r="C1177" i="13"/>
  <c r="C256" i="13"/>
  <c r="C6203" i="13"/>
  <c r="C975" i="13"/>
  <c r="C7258" i="13"/>
  <c r="C2982" i="13"/>
  <c r="C6871" i="13"/>
  <c r="C4906" i="13"/>
  <c r="C1951" i="13"/>
  <c r="C1259" i="13"/>
  <c r="C2172" i="13"/>
  <c r="C960" i="13"/>
  <c r="C6404" i="13"/>
  <c r="C820" i="13"/>
  <c r="C1534" i="13"/>
  <c r="C1906" i="13"/>
  <c r="C6440" i="13"/>
  <c r="C5959" i="13"/>
  <c r="C4740" i="13"/>
  <c r="C5508" i="13"/>
  <c r="C2160" i="13"/>
  <c r="C3570" i="13"/>
  <c r="C3051" i="13"/>
  <c r="C5471" i="13"/>
  <c r="C6756" i="13"/>
  <c r="C3610" i="13"/>
  <c r="C4927" i="13"/>
  <c r="C9242" i="13"/>
  <c r="C9636" i="13"/>
  <c r="C5280" i="13"/>
  <c r="C1329" i="13"/>
  <c r="C3800" i="13"/>
  <c r="C3170" i="13"/>
  <c r="C577" i="13"/>
  <c r="C7069" i="13"/>
  <c r="C1442" i="13"/>
  <c r="C1062" i="13"/>
  <c r="C9128" i="13"/>
  <c r="C1036" i="13"/>
  <c r="C989" i="13"/>
  <c r="C2394" i="13"/>
  <c r="C9190" i="13"/>
  <c r="C8552" i="13"/>
  <c r="C328" i="13"/>
  <c r="C7252" i="13"/>
  <c r="C9109" i="13"/>
  <c r="C6726" i="13"/>
  <c r="C9112" i="13"/>
  <c r="C6059" i="13"/>
  <c r="C1638" i="13"/>
  <c r="C1378" i="13"/>
  <c r="C414" i="13"/>
  <c r="C150" i="13"/>
  <c r="C9961" i="13"/>
  <c r="C7057" i="13"/>
  <c r="C5535" i="13"/>
  <c r="C5804" i="13"/>
  <c r="C1798" i="13"/>
  <c r="C1723" i="13"/>
  <c r="C2459" i="13"/>
  <c r="C1823" i="13"/>
  <c r="C7425" i="13"/>
  <c r="C1636" i="13"/>
  <c r="C1612" i="13"/>
  <c r="C7441" i="13"/>
  <c r="C8981" i="13"/>
  <c r="C9428" i="13"/>
  <c r="C2869" i="13"/>
  <c r="C127" i="13"/>
  <c r="C4496" i="13"/>
  <c r="C3958" i="13"/>
  <c r="C875" i="13"/>
  <c r="C56" i="13"/>
  <c r="C3353" i="13"/>
  <c r="C2656" i="13"/>
  <c r="C8916" i="13"/>
  <c r="C8934" i="13"/>
  <c r="C3635" i="13"/>
  <c r="C629" i="13"/>
  <c r="C4822" i="13"/>
  <c r="C2352" i="13"/>
  <c r="C668" i="13"/>
  <c r="C312" i="13"/>
  <c r="C4462" i="13"/>
  <c r="C2912" i="13"/>
  <c r="C2963" i="13"/>
  <c r="C8576" i="13"/>
  <c r="C8832" i="13"/>
  <c r="C1963" i="13"/>
  <c r="C12" i="10"/>
  <c r="C2926" i="13"/>
  <c r="C8980" i="13"/>
  <c r="C7047" i="13"/>
  <c r="C4598" i="13"/>
  <c r="C2242" i="13"/>
  <c r="C9098" i="13"/>
  <c r="C9942" i="13"/>
  <c r="C7376" i="13"/>
  <c r="C2197" i="13"/>
  <c r="C4792" i="13"/>
  <c r="C341" i="13"/>
  <c r="C347" i="13"/>
  <c r="C6832" i="13"/>
  <c r="C1926" i="13"/>
  <c r="C6292" i="13"/>
  <c r="C5568" i="13"/>
  <c r="C944" i="13"/>
  <c r="C151" i="13"/>
  <c r="C924" i="13"/>
  <c r="C8776" i="13"/>
  <c r="C4775" i="13"/>
  <c r="C8373" i="13"/>
  <c r="C8255" i="13"/>
  <c r="C5217" i="13"/>
  <c r="C8067" i="13"/>
  <c r="C2153" i="13"/>
  <c r="C5246" i="13"/>
  <c r="C5395" i="13"/>
  <c r="C2092" i="13"/>
  <c r="C3312" i="13"/>
  <c r="C8695" i="13"/>
  <c r="C6879" i="13"/>
  <c r="C4110" i="13"/>
  <c r="C5353" i="13"/>
  <c r="C425" i="13"/>
  <c r="C6628" i="13"/>
  <c r="C6911" i="13"/>
  <c r="C3827" i="13"/>
  <c r="C6270" i="13"/>
  <c r="C7071" i="13"/>
  <c r="C5843" i="13"/>
  <c r="C3940" i="13"/>
  <c r="C9409" i="13"/>
  <c r="C6465" i="13"/>
  <c r="C7670" i="13"/>
  <c r="C9999" i="13"/>
  <c r="C1968" i="13"/>
  <c r="C260" i="13"/>
  <c r="C2078" i="13"/>
  <c r="C4140" i="13"/>
  <c r="C5703" i="13"/>
  <c r="C6642" i="13"/>
  <c r="C4298" i="13"/>
  <c r="C252" i="13"/>
  <c r="C1362" i="13"/>
  <c r="C2740" i="13"/>
  <c r="C8656" i="13"/>
  <c r="C2598" i="13"/>
  <c r="C695" i="13"/>
  <c r="C5571" i="13"/>
  <c r="C8704" i="13"/>
  <c r="C191" i="13"/>
  <c r="C3471" i="13"/>
  <c r="C1713" i="13"/>
  <c r="C3406" i="13"/>
  <c r="C1527" i="13"/>
  <c r="C4955" i="13"/>
  <c r="C2727" i="13"/>
  <c r="C7765" i="13"/>
  <c r="C2023" i="13"/>
  <c r="C8855" i="13"/>
  <c r="C394" i="13"/>
  <c r="C3954" i="13"/>
  <c r="C767" i="13"/>
  <c r="C1868" i="13"/>
  <c r="C1783" i="13"/>
  <c r="C5342" i="13"/>
  <c r="C2983" i="13"/>
  <c r="C7967" i="13"/>
  <c r="C7583" i="13"/>
  <c r="C3860" i="13"/>
  <c r="C6664" i="13"/>
  <c r="C4754" i="13"/>
  <c r="C720" i="13"/>
  <c r="C3012" i="13"/>
  <c r="C4089" i="13"/>
  <c r="C4281" i="13"/>
  <c r="C1747" i="13"/>
  <c r="C2260" i="13"/>
  <c r="C4466" i="13"/>
  <c r="C9568" i="13"/>
  <c r="C9527" i="13"/>
  <c r="C5507" i="13"/>
  <c r="C2932" i="13"/>
  <c r="C6200" i="13"/>
  <c r="C7063" i="13"/>
  <c r="C832" i="13"/>
  <c r="C3786" i="13"/>
  <c r="C959" i="13"/>
  <c r="C4104" i="13"/>
  <c r="C8537" i="13"/>
  <c r="C3120" i="13"/>
  <c r="C188" i="13"/>
  <c r="C3662" i="13"/>
  <c r="C2038" i="13"/>
  <c r="C9878" i="13"/>
  <c r="C7030" i="13"/>
  <c r="C5098" i="13"/>
  <c r="C136" i="13"/>
  <c r="C5742" i="13"/>
  <c r="C5798" i="13"/>
  <c r="C1200" i="13"/>
  <c r="C541" i="13"/>
  <c r="C1420" i="13"/>
  <c r="C9562" i="13"/>
  <c r="C5287" i="13"/>
  <c r="C8214" i="13"/>
  <c r="C8823" i="13"/>
  <c r="C5473" i="13"/>
  <c r="C7119" i="13"/>
  <c r="C2110" i="13"/>
  <c r="C984" i="13"/>
  <c r="C3690" i="13"/>
  <c r="C8967" i="13"/>
  <c r="C8811" i="13"/>
  <c r="C5343" i="13"/>
  <c r="C2506" i="13"/>
  <c r="C915" i="13"/>
  <c r="C3845" i="13"/>
  <c r="C1159" i="13"/>
  <c r="C2994" i="13"/>
  <c r="C3225" i="13"/>
  <c r="C7642" i="13"/>
  <c r="C7486" i="13"/>
  <c r="C9141" i="13"/>
  <c r="C7736" i="13"/>
  <c r="C1790" i="13"/>
  <c r="C368" i="13"/>
  <c r="C194" i="13"/>
  <c r="C1602" i="13"/>
  <c r="C750" i="13"/>
  <c r="C2905" i="13"/>
  <c r="C2730" i="13"/>
  <c r="C7362" i="13"/>
  <c r="C5354" i="13"/>
  <c r="C7260" i="13"/>
  <c r="C1611" i="13"/>
  <c r="C784" i="13"/>
  <c r="C987" i="13"/>
  <c r="C1858" i="13"/>
  <c r="C534" i="13"/>
  <c r="C4219" i="13"/>
  <c r="C1984" i="13"/>
  <c r="C9803" i="13"/>
  <c r="C8617" i="13"/>
  <c r="C6247" i="13"/>
  <c r="C9226" i="13"/>
  <c r="C2091" i="13"/>
  <c r="C5367" i="13"/>
  <c r="C8376" i="13"/>
  <c r="C8515" i="13"/>
  <c r="C3461" i="13"/>
  <c r="C4659" i="13"/>
  <c r="C5900" i="13"/>
  <c r="C8793" i="13"/>
  <c r="C9008" i="13"/>
  <c r="C4064" i="13"/>
  <c r="C1299" i="13"/>
  <c r="C5131" i="13"/>
  <c r="C2129" i="13"/>
  <c r="C3248" i="13"/>
  <c r="C1231" i="13"/>
  <c r="C2084" i="13"/>
  <c r="C9357" i="13"/>
  <c r="C5200" i="13"/>
  <c r="C4613" i="13"/>
  <c r="C2689" i="13"/>
  <c r="C7225" i="13"/>
  <c r="C3931" i="13"/>
  <c r="C6229" i="13"/>
  <c r="C9261" i="13"/>
  <c r="C1528" i="13"/>
  <c r="C7959" i="13"/>
  <c r="C7977" i="13"/>
  <c r="C8229" i="13"/>
  <c r="C5411" i="13"/>
  <c r="C7603" i="13"/>
  <c r="C6359" i="13"/>
  <c r="C3960" i="13"/>
  <c r="C9393" i="13"/>
  <c r="C2175" i="13"/>
  <c r="C5726" i="13"/>
  <c r="C7327" i="13"/>
  <c r="C3930" i="13"/>
  <c r="C6894" i="13"/>
  <c r="C1091" i="13"/>
  <c r="C858" i="13"/>
  <c r="C5587" i="13"/>
  <c r="C1498" i="13"/>
  <c r="C7606" i="13"/>
  <c r="C4838" i="13"/>
  <c r="C9870" i="13"/>
  <c r="C5594" i="13"/>
  <c r="C2422" i="13"/>
  <c r="C953" i="13"/>
  <c r="C578" i="13"/>
  <c r="C8528" i="13"/>
  <c r="C462" i="13"/>
  <c r="C9752" i="13"/>
  <c r="C6820" i="13"/>
  <c r="C8836" i="13"/>
  <c r="C4687" i="13"/>
  <c r="C1055" i="13"/>
  <c r="C2988" i="13"/>
  <c r="C4167" i="13"/>
  <c r="C3862" i="13"/>
  <c r="C3913" i="13"/>
  <c r="C721" i="13"/>
  <c r="C7573" i="13"/>
  <c r="C8665" i="13"/>
  <c r="C7921" i="13"/>
  <c r="C2692" i="13"/>
  <c r="C370" i="13"/>
  <c r="C2315" i="13"/>
  <c r="C901" i="13"/>
  <c r="C7724" i="13"/>
  <c r="C2245" i="13"/>
  <c r="C7437" i="13"/>
  <c r="C6513" i="13"/>
  <c r="C8675" i="13"/>
  <c r="C7050" i="13"/>
  <c r="C2948" i="13"/>
  <c r="C172" i="13"/>
  <c r="C4582" i="13"/>
  <c r="C1129" i="13"/>
  <c r="C7360" i="13"/>
  <c r="C3190" i="13"/>
  <c r="C5986" i="13"/>
  <c r="C6558" i="13"/>
  <c r="C7242" i="13"/>
  <c r="C6028" i="13"/>
  <c r="C7100" i="13"/>
  <c r="C4170" i="13"/>
  <c r="C3652" i="13"/>
  <c r="C382" i="13"/>
  <c r="C9859" i="13"/>
  <c r="C1797" i="13"/>
  <c r="C3306" i="13"/>
  <c r="C5307" i="13"/>
  <c r="C9616" i="13"/>
  <c r="C9937" i="13"/>
  <c r="C2003" i="13"/>
  <c r="C4379" i="13"/>
  <c r="C3687" i="13"/>
  <c r="C2936" i="13"/>
  <c r="C9059" i="13"/>
  <c r="C1190" i="13"/>
  <c r="C3653" i="13"/>
  <c r="C3531" i="13"/>
  <c r="C1912" i="13"/>
  <c r="C5368" i="13"/>
  <c r="C764" i="13"/>
  <c r="C3847" i="13"/>
  <c r="C3052" i="13"/>
  <c r="C7899" i="13"/>
  <c r="C4797" i="13"/>
  <c r="C639" i="13"/>
  <c r="C2095" i="13"/>
  <c r="C4284" i="13"/>
  <c r="C4396" i="13"/>
  <c r="C8268" i="13"/>
  <c r="C694" i="13"/>
  <c r="C757" i="13"/>
  <c r="C4100" i="13"/>
  <c r="C5363" i="13"/>
  <c r="C121" i="13"/>
  <c r="C1824" i="13"/>
  <c r="C9471" i="13"/>
  <c r="C2114" i="13"/>
  <c r="C9174" i="13"/>
  <c r="C5249" i="13"/>
  <c r="C2559" i="13"/>
  <c r="C8361" i="13"/>
  <c r="C3567" i="13"/>
  <c r="C6391" i="13"/>
  <c r="C5519" i="13"/>
  <c r="C9220" i="13"/>
  <c r="C9058" i="13"/>
  <c r="C313" i="13"/>
  <c r="C950" i="13"/>
  <c r="C604" i="13"/>
  <c r="C2009" i="13"/>
  <c r="C1561" i="13"/>
  <c r="C199" i="13"/>
  <c r="C4669" i="13"/>
  <c r="C1133" i="13"/>
  <c r="C2877" i="13"/>
  <c r="C4082" i="13"/>
  <c r="C704" i="13"/>
  <c r="C8943" i="13"/>
  <c r="C2055" i="13"/>
  <c r="C3425" i="13"/>
  <c r="C1457" i="13"/>
  <c r="C9523" i="13"/>
  <c r="C7111" i="13"/>
  <c r="C212" i="13"/>
  <c r="C4854" i="13"/>
  <c r="C931" i="13"/>
  <c r="C6110" i="13"/>
  <c r="C1084" i="13"/>
  <c r="C5631" i="13"/>
  <c r="C9591" i="13"/>
  <c r="C3317" i="13"/>
  <c r="C8264" i="13"/>
  <c r="C6118" i="13"/>
  <c r="C9914" i="13"/>
  <c r="C1511" i="13"/>
  <c r="C6522" i="13"/>
  <c r="C2799" i="13"/>
  <c r="C6645" i="13"/>
  <c r="C2733" i="13"/>
  <c r="C1816" i="13"/>
  <c r="C2693" i="13"/>
  <c r="C5021" i="13"/>
  <c r="C6373" i="13"/>
  <c r="C3243" i="13"/>
  <c r="C547" i="13"/>
  <c r="C9831" i="13"/>
  <c r="C2818" i="13"/>
  <c r="C7725" i="13"/>
  <c r="C5144" i="13"/>
  <c r="C8081" i="13"/>
  <c r="C6128" i="13"/>
  <c r="C2787" i="13"/>
  <c r="C2113" i="13"/>
  <c r="C1574" i="13"/>
  <c r="C2540" i="13"/>
  <c r="C5134" i="13"/>
  <c r="C5061" i="13"/>
  <c r="C4112" i="13"/>
  <c r="C6921" i="13"/>
  <c r="C337" i="13"/>
  <c r="C1516" i="13"/>
  <c r="C6782" i="13"/>
  <c r="C9892" i="13"/>
  <c r="C8556" i="13"/>
  <c r="C7159" i="13"/>
  <c r="C5904" i="13"/>
  <c r="C5011" i="13"/>
  <c r="C5978" i="13"/>
  <c r="C1161" i="13"/>
  <c r="C7577" i="13"/>
  <c r="C7987" i="13"/>
  <c r="C549" i="13"/>
  <c r="C9761" i="13"/>
  <c r="C248" i="13"/>
  <c r="C9912" i="13"/>
  <c r="C504" i="13"/>
  <c r="C4518" i="13"/>
  <c r="C6027" i="13"/>
  <c r="C9038" i="13"/>
  <c r="C1742" i="13"/>
  <c r="C457" i="13"/>
  <c r="C5754" i="13"/>
  <c r="C4596" i="13"/>
  <c r="C5949" i="13"/>
  <c r="C6167" i="13"/>
  <c r="C442" i="13"/>
  <c r="C1645" i="13"/>
  <c r="C546" i="13"/>
  <c r="C9882" i="13"/>
  <c r="C702" i="13"/>
  <c r="C849" i="13"/>
  <c r="C5247" i="13"/>
  <c r="C545" i="13"/>
  <c r="C7406" i="13"/>
  <c r="C9994" i="13"/>
  <c r="C362" i="13"/>
  <c r="C2263" i="13"/>
  <c r="C8047" i="13"/>
  <c r="C4105" i="13"/>
  <c r="C9101" i="13"/>
  <c r="C3140" i="13"/>
  <c r="C2773" i="13"/>
  <c r="C7887" i="13"/>
  <c r="C315" i="13"/>
  <c r="C2971" i="13"/>
  <c r="C2201" i="13"/>
  <c r="C9828" i="13"/>
  <c r="C6601" i="13"/>
  <c r="C8126" i="13"/>
  <c r="C9511" i="13"/>
  <c r="C3979" i="13"/>
  <c r="C4643" i="13"/>
  <c r="C855" i="13"/>
  <c r="C251" i="13"/>
  <c r="C8225" i="13"/>
  <c r="C9195" i="13"/>
  <c r="C6418" i="13"/>
  <c r="C8195" i="13"/>
  <c r="C2000" i="13"/>
  <c r="C6567" i="13"/>
  <c r="C9187" i="13"/>
  <c r="C7328" i="13"/>
  <c r="C6606" i="13"/>
  <c r="C4682" i="13"/>
  <c r="C1513" i="13"/>
  <c r="C1285" i="13"/>
  <c r="C5525" i="13"/>
  <c r="C1666" i="13"/>
  <c r="C6283" i="13"/>
  <c r="C2362" i="13"/>
  <c r="C3815" i="13"/>
  <c r="C7264" i="13"/>
  <c r="C4028" i="13"/>
  <c r="C8362" i="13"/>
  <c r="C979" i="13"/>
  <c r="C2203" i="13"/>
  <c r="C2681" i="13"/>
  <c r="C3105" i="13"/>
  <c r="C9361" i="13"/>
  <c r="C3532" i="13"/>
  <c r="C2802" i="13"/>
  <c r="C585" i="13"/>
  <c r="C6345" i="13"/>
  <c r="C4799" i="13"/>
  <c r="C7520" i="13"/>
  <c r="C164" i="13"/>
  <c r="C6451" i="13"/>
  <c r="C7115" i="13"/>
  <c r="C2757" i="13"/>
  <c r="C1553" i="13"/>
  <c r="C391" i="13"/>
  <c r="C2978" i="13"/>
  <c r="C9655" i="13"/>
  <c r="C6464" i="13"/>
  <c r="C7751" i="13"/>
  <c r="C5737" i="13"/>
  <c r="C6975" i="13"/>
  <c r="C9980" i="13"/>
  <c r="C3873" i="13"/>
  <c r="C1644" i="13"/>
  <c r="C71" i="13"/>
  <c r="C7313" i="13"/>
  <c r="C2430" i="13"/>
  <c r="C5265" i="13"/>
  <c r="C3529" i="13"/>
  <c r="C2602" i="13"/>
  <c r="C2884" i="13"/>
  <c r="C3651" i="13"/>
  <c r="C9926" i="13"/>
  <c r="C5003" i="13"/>
  <c r="C1020" i="13"/>
  <c r="C3672" i="13"/>
  <c r="C5069" i="13"/>
  <c r="C8724" i="13"/>
  <c r="C5151" i="13"/>
  <c r="C2150" i="13"/>
  <c r="C7598" i="13"/>
  <c r="C64" i="13"/>
  <c r="C5138" i="13"/>
  <c r="C928" i="13"/>
  <c r="C3928" i="13"/>
  <c r="C4990" i="13"/>
  <c r="C985" i="13"/>
  <c r="C5561" i="13"/>
  <c r="C4589" i="13"/>
  <c r="C1490" i="13"/>
  <c r="C7409" i="13"/>
  <c r="C1085" i="13"/>
  <c r="C2828" i="13"/>
  <c r="C4701" i="13"/>
  <c r="C3344" i="13"/>
  <c r="C7141" i="13"/>
  <c r="C956" i="13"/>
  <c r="C180" i="13"/>
  <c r="C4991" i="13"/>
  <c r="C9372" i="13"/>
  <c r="C3682" i="13"/>
  <c r="C7626" i="13"/>
  <c r="C3632" i="13"/>
  <c r="C2133" i="13"/>
  <c r="C682" i="13"/>
  <c r="C7329" i="13"/>
  <c r="C2883" i="13"/>
  <c r="C8290" i="13"/>
  <c r="C4860" i="13"/>
  <c r="C2565" i="13"/>
  <c r="C3764" i="13"/>
  <c r="C351" i="13"/>
  <c r="C36" i="13"/>
  <c r="C9094" i="13"/>
  <c r="C8297" i="13"/>
  <c r="C4647" i="13"/>
  <c r="C6211" i="13"/>
  <c r="C3214" i="13"/>
  <c r="C2356" i="13"/>
  <c r="C1440" i="13"/>
  <c r="C3213" i="13"/>
  <c r="C9688" i="13"/>
  <c r="C7495" i="13"/>
  <c r="C4371" i="13"/>
  <c r="C57" i="13"/>
  <c r="C5152" i="13"/>
  <c r="C1704" i="13"/>
  <c r="C6072" i="13"/>
  <c r="C7686" i="13"/>
  <c r="C1970" i="13"/>
  <c r="C1732" i="13"/>
  <c r="C3327" i="13"/>
  <c r="C2977" i="13"/>
  <c r="C5299" i="13"/>
  <c r="C5762" i="13"/>
  <c r="C8698" i="13"/>
  <c r="C165" i="13"/>
  <c r="C11" i="10"/>
  <c r="C3859" i="13"/>
  <c r="C3079" i="13"/>
  <c r="C75" i="13"/>
  <c r="C8188" i="13"/>
  <c r="C5827" i="13"/>
  <c r="C1609" i="13"/>
  <c r="C2517" i="13"/>
  <c r="C5602" i="13"/>
  <c r="C383" i="13"/>
  <c r="C6516" i="13"/>
  <c r="C1408" i="13"/>
  <c r="C535" i="13"/>
  <c r="C9490" i="13"/>
  <c r="C8973" i="13"/>
  <c r="C3538" i="13"/>
  <c r="C1604" i="13"/>
  <c r="C4208" i="13"/>
  <c r="C2281" i="13"/>
  <c r="C6174" i="13"/>
  <c r="C1990" i="13"/>
  <c r="C7418" i="13"/>
  <c r="C1494" i="13"/>
  <c r="C9196" i="13"/>
  <c r="C9334" i="13"/>
  <c r="C2267" i="13"/>
  <c r="C335" i="13"/>
  <c r="C4464" i="13"/>
  <c r="C3222" i="13"/>
  <c r="C7000" i="13"/>
  <c r="C103" i="13"/>
  <c r="C7193" i="13"/>
  <c r="C1750" i="13"/>
  <c r="C9443" i="13"/>
  <c r="C9748" i="13"/>
  <c r="C1194" i="13"/>
  <c r="C7448" i="13"/>
  <c r="C4224" i="13"/>
  <c r="C1862" i="13"/>
  <c r="C8915" i="13"/>
  <c r="C8512" i="13"/>
  <c r="C2562" i="13"/>
  <c r="C524" i="13"/>
  <c r="C1395" i="13"/>
  <c r="C3101" i="13"/>
  <c r="C1538" i="13"/>
  <c r="C1461" i="13"/>
  <c r="C4760" i="13"/>
  <c r="C2725" i="13"/>
  <c r="C8502" i="13"/>
  <c r="C253" i="13"/>
  <c r="C6915" i="13"/>
  <c r="C2324" i="13"/>
  <c r="C6191" i="13"/>
  <c r="C1642" i="13"/>
  <c r="C4323" i="13"/>
  <c r="C4924" i="13"/>
  <c r="C2061" i="13"/>
  <c r="C285" i="13"/>
  <c r="C6023" i="13"/>
  <c r="C8854" i="13"/>
  <c r="C8596" i="13"/>
  <c r="C3057" i="13"/>
  <c r="C140" i="13"/>
  <c r="C7613" i="13"/>
  <c r="C364" i="13"/>
  <c r="C91" i="13"/>
  <c r="C595" i="13"/>
  <c r="C6184" i="13"/>
  <c r="C7937" i="13"/>
  <c r="C1635" i="13"/>
  <c r="C9839" i="13"/>
  <c r="C7549" i="13"/>
  <c r="C9186" i="13"/>
  <c r="C1886" i="13"/>
  <c r="C7542" i="13"/>
  <c r="C2209" i="13"/>
  <c r="C3359" i="13"/>
  <c r="C8650" i="13"/>
  <c r="C291" i="13"/>
  <c r="C9682" i="13"/>
  <c r="C7705" i="13"/>
  <c r="C6790" i="13"/>
  <c r="C6695" i="13"/>
  <c r="C3534" i="13"/>
  <c r="C7275" i="13"/>
  <c r="C2395" i="13"/>
  <c r="C5159" i="13"/>
  <c r="C5322" i="13"/>
  <c r="C7981" i="13"/>
  <c r="C946" i="13"/>
  <c r="C733" i="13"/>
  <c r="C5731" i="13"/>
  <c r="C42" i="13"/>
  <c r="C7166" i="13"/>
  <c r="C2526" i="13"/>
  <c r="C3474" i="13"/>
  <c r="C8676" i="13"/>
  <c r="C8898" i="13"/>
  <c r="C2788" i="13"/>
  <c r="C4970" i="13"/>
  <c r="C4549" i="13"/>
  <c r="C3742" i="13"/>
  <c r="C6800" i="13"/>
  <c r="C2582" i="13"/>
  <c r="C7818" i="13"/>
  <c r="C3042" i="13"/>
  <c r="C8521" i="13"/>
  <c r="C8612" i="13"/>
  <c r="C3044" i="13"/>
  <c r="C3842" i="13"/>
  <c r="C4919" i="13"/>
  <c r="C973" i="13"/>
  <c r="C7389" i="13"/>
  <c r="C1838" i="13"/>
  <c r="C7852" i="13"/>
  <c r="C2189" i="13"/>
  <c r="C6678" i="13"/>
  <c r="C6825" i="13"/>
  <c r="C7144" i="13"/>
  <c r="C3267" i="13"/>
  <c r="C1011" i="13"/>
  <c r="C2685" i="13"/>
  <c r="C7789" i="13"/>
  <c r="C7999" i="13"/>
  <c r="C2555" i="13"/>
  <c r="C3871" i="13"/>
  <c r="C3154" i="13"/>
  <c r="C7866" i="13"/>
  <c r="C9656" i="13"/>
  <c r="C2390" i="13"/>
  <c r="C5541" i="13"/>
  <c r="C666" i="13"/>
  <c r="C5513" i="13"/>
  <c r="C621" i="13"/>
  <c r="C7314" i="13"/>
  <c r="C1469" i="13"/>
  <c r="C6545" i="13"/>
  <c r="C9783" i="13"/>
  <c r="C2575" i="13"/>
  <c r="C862" i="13"/>
  <c r="C2006" i="13"/>
  <c r="C552" i="13"/>
  <c r="C6546" i="13"/>
  <c r="C9549" i="13"/>
  <c r="C9293" i="13"/>
  <c r="C3403" i="13"/>
  <c r="C811" i="13"/>
  <c r="C9281" i="13"/>
  <c r="C2181" i="13"/>
  <c r="C399" i="13"/>
  <c r="C988" i="13"/>
  <c r="C6471" i="13"/>
  <c r="C7025" i="13"/>
  <c r="C3378" i="13"/>
  <c r="C4565" i="13"/>
  <c r="C7452" i="13"/>
  <c r="C9957" i="13"/>
  <c r="C3196" i="13"/>
  <c r="C8301" i="13"/>
  <c r="C6057" i="13"/>
  <c r="C7722" i="13"/>
  <c r="C5356" i="13"/>
  <c r="C7053" i="13"/>
  <c r="C5006" i="13"/>
  <c r="C3309" i="13"/>
  <c r="C426" i="13"/>
  <c r="C396" i="13"/>
  <c r="C4526" i="13"/>
  <c r="C174" i="13"/>
  <c r="C1911" i="13"/>
  <c r="C2826" i="13"/>
  <c r="C6822" i="13"/>
  <c r="C9686" i="13"/>
  <c r="C302" i="13"/>
  <c r="C2484" i="13"/>
  <c r="C3397" i="13"/>
  <c r="C608" i="13"/>
  <c r="C5755" i="13"/>
  <c r="C3602" i="13"/>
  <c r="C4764" i="13"/>
  <c r="C2652" i="13"/>
  <c r="C4493" i="13"/>
  <c r="C9283" i="13"/>
  <c r="C1909" i="13"/>
  <c r="C3349" i="13"/>
  <c r="C3968" i="13"/>
  <c r="C2140" i="13"/>
  <c r="C6011" i="13"/>
  <c r="C3599" i="13"/>
  <c r="C1281" i="13"/>
  <c r="C7560" i="13"/>
  <c r="C9615" i="13"/>
  <c r="C8790" i="13"/>
  <c r="C5548" i="13"/>
  <c r="C176" i="13"/>
  <c r="C455" i="13"/>
  <c r="C18" i="13"/>
  <c r="C8098" i="13"/>
  <c r="C1677" i="13"/>
  <c r="C4499" i="13"/>
  <c r="C697" i="13"/>
  <c r="C7472" i="13"/>
  <c r="C7636" i="13"/>
  <c r="C3530" i="13"/>
  <c r="C2044" i="13"/>
  <c r="C1683" i="13"/>
  <c r="C2082" i="13"/>
  <c r="C1693" i="13"/>
  <c r="C1714" i="13"/>
  <c r="C3483" i="13"/>
  <c r="C3714" i="13"/>
  <c r="C6315" i="13"/>
  <c r="C203" i="13"/>
  <c r="C4059" i="13"/>
  <c r="C3307" i="13"/>
  <c r="C4890" i="13"/>
  <c r="C9579" i="13"/>
  <c r="C7510" i="13"/>
  <c r="C2541" i="13"/>
  <c r="C7788" i="13"/>
  <c r="C6371" i="13"/>
  <c r="C6530" i="13"/>
  <c r="C1564" i="13"/>
  <c r="C472" i="13"/>
  <c r="C2617" i="13"/>
  <c r="C9228" i="13"/>
  <c r="C8717" i="13"/>
  <c r="C1148" i="13"/>
  <c r="C8445" i="13"/>
  <c r="C5988" i="13"/>
  <c r="C9436" i="13"/>
  <c r="C9305" i="13"/>
  <c r="C5340" i="13"/>
  <c r="C864" i="13"/>
  <c r="C6139" i="13"/>
  <c r="C3250" i="13"/>
  <c r="C4887" i="13"/>
  <c r="C8315" i="13"/>
  <c r="C8889" i="13"/>
  <c r="C3014" i="13"/>
  <c r="C1226" i="13"/>
  <c r="C3798" i="13"/>
  <c r="C1441" i="13"/>
  <c r="C5566" i="13"/>
  <c r="C480" i="13"/>
  <c r="C8029" i="13"/>
  <c r="C3674" i="13"/>
  <c r="C3582" i="13"/>
  <c r="C3484" i="13"/>
  <c r="C4862" i="13"/>
  <c r="C1107" i="13"/>
  <c r="C7537" i="13"/>
  <c r="C1746" i="13"/>
  <c r="C2721" i="13"/>
  <c r="C161" i="13"/>
  <c r="C9351" i="13"/>
  <c r="C6564" i="13"/>
  <c r="C8580" i="13"/>
  <c r="C2421" i="13"/>
  <c r="C2278" i="13"/>
  <c r="C3149" i="13"/>
  <c r="C3152" i="13"/>
  <c r="C1455" i="13"/>
  <c r="C4169" i="13"/>
  <c r="C402" i="13"/>
  <c r="C5620" i="13"/>
  <c r="C6963" i="13"/>
  <c r="C8485" i="13"/>
  <c r="C2677" i="13"/>
  <c r="C1414" i="13"/>
  <c r="C3405" i="13"/>
  <c r="C4383" i="13"/>
  <c r="C1711" i="13"/>
  <c r="C4425" i="13"/>
  <c r="C835" i="13"/>
  <c r="C6132" i="13"/>
  <c r="C8947" i="13"/>
  <c r="C6834" i="13"/>
  <c r="C3158" i="13"/>
  <c r="C1916" i="13"/>
  <c r="C5029" i="13"/>
  <c r="C918" i="13"/>
  <c r="C5238" i="13"/>
  <c r="C8465" i="13"/>
  <c r="C2683" i="13"/>
  <c r="C5317" i="13"/>
  <c r="C1795" i="13"/>
  <c r="C7346" i="13"/>
  <c r="C2426" i="13"/>
  <c r="C4015" i="13"/>
  <c r="C601" i="13"/>
  <c r="C850" i="13"/>
  <c r="C1706" i="13"/>
  <c r="C5562" i="13"/>
  <c r="C3009" i="13"/>
  <c r="C7435" i="13"/>
  <c r="C4968" i="13"/>
  <c r="C2892" i="13"/>
  <c r="C8944" i="13"/>
  <c r="C6075" i="13"/>
  <c r="C9200" i="13"/>
  <c r="C6998" i="13"/>
  <c r="C3980" i="13"/>
  <c r="C1589" i="13"/>
  <c r="C8242" i="13"/>
  <c r="C9161" i="13"/>
  <c r="C3927" i="13"/>
  <c r="C6876" i="13"/>
  <c r="C851" i="13"/>
  <c r="C6698" i="13"/>
  <c r="C372" i="13"/>
  <c r="C7556" i="13"/>
  <c r="C8759" i="13"/>
  <c r="C7562" i="13"/>
  <c r="C5494" i="13"/>
  <c r="C4213" i="13"/>
  <c r="C70" i="13"/>
  <c r="C2258" i="13"/>
  <c r="C597" i="13"/>
  <c r="C1765" i="13"/>
  <c r="C5498" i="13"/>
  <c r="C1999" i="13"/>
  <c r="C1873" i="13"/>
  <c r="C7828" i="13"/>
  <c r="C1000" i="13"/>
  <c r="C2645" i="13"/>
  <c r="C3390" i="13"/>
  <c r="C2505" i="13"/>
  <c r="C2020" i="13"/>
  <c r="C3321" i="13"/>
  <c r="C8490" i="13"/>
  <c r="C772" i="13"/>
  <c r="C1434" i="13"/>
  <c r="C2901" i="13"/>
  <c r="C2550" i="13"/>
  <c r="C4475" i="13"/>
  <c r="C6813" i="13"/>
  <c r="C1219" i="13"/>
  <c r="C1459" i="13"/>
  <c r="C4078" i="13"/>
  <c r="C7090" i="13"/>
  <c r="C6460" i="13"/>
  <c r="C6864" i="13"/>
  <c r="C7052" i="13"/>
  <c r="C1739" i="13"/>
  <c r="C3492" i="13"/>
  <c r="C4490" i="13"/>
  <c r="C4795" i="13"/>
  <c r="C6130" i="13"/>
  <c r="C393" i="13"/>
  <c r="C4074" i="13"/>
  <c r="C5853" i="13"/>
  <c r="C9491" i="13"/>
  <c r="C859" i="13"/>
  <c r="C5189" i="13"/>
  <c r="C8457" i="13"/>
  <c r="C576" i="13"/>
  <c r="C4830" i="13"/>
  <c r="C2008" i="13"/>
  <c r="C9463" i="13"/>
  <c r="C1288" i="13"/>
  <c r="C2268" i="13"/>
  <c r="C3017" i="13"/>
  <c r="C3919" i="13"/>
  <c r="C7211" i="13"/>
  <c r="C5554" i="13"/>
  <c r="C1841" i="13"/>
  <c r="C3209" i="13"/>
  <c r="C6431" i="13"/>
  <c r="C5033" i="13"/>
  <c r="C6701" i="13"/>
  <c r="C1804" i="13"/>
  <c r="C6210" i="13"/>
  <c r="C5708" i="13"/>
  <c r="C9328" i="13"/>
  <c r="C777" i="13"/>
  <c r="C273" i="13"/>
  <c r="C4645" i="13"/>
  <c r="C2607" i="13"/>
  <c r="C4231" i="13"/>
  <c r="C5710" i="13"/>
  <c r="C3246" i="13"/>
  <c r="C2758" i="13"/>
  <c r="C9695" i="13"/>
  <c r="C2249" i="13"/>
  <c r="C1689" i="13"/>
  <c r="C5924" i="13"/>
  <c r="C9918" i="13"/>
  <c r="C2516" i="13"/>
  <c r="C5833" i="13"/>
  <c r="C3030" i="13"/>
  <c r="C5139" i="13"/>
  <c r="C8979" i="13"/>
  <c r="C330" i="13"/>
  <c r="C1102" i="13"/>
  <c r="C2494" i="13"/>
  <c r="C7303" i="13"/>
  <c r="C4445" i="13"/>
  <c r="C5692" i="13"/>
  <c r="C9258" i="13"/>
  <c r="C2709" i="13"/>
  <c r="C9764" i="13"/>
  <c r="C7359" i="13"/>
  <c r="C8500" i="13"/>
  <c r="C9020" i="13"/>
  <c r="C4114" i="13"/>
  <c r="C2213" i="13"/>
  <c r="C1140" i="13"/>
  <c r="C2663" i="13"/>
  <c r="C3641" i="13"/>
  <c r="C1316" i="13"/>
  <c r="C2376" i="13"/>
  <c r="C8471" i="13"/>
  <c r="C2297" i="13"/>
  <c r="C705" i="13"/>
  <c r="C4341" i="13"/>
  <c r="C8235" i="13"/>
  <c r="C5349" i="13"/>
  <c r="C3708" i="13"/>
  <c r="C5278" i="13"/>
  <c r="C9117" i="13"/>
  <c r="C8462" i="13"/>
  <c r="C3006" i="13"/>
  <c r="C972" i="13"/>
  <c r="C6238" i="13"/>
  <c r="C1495" i="13"/>
  <c r="C3830" i="13"/>
  <c r="C558" i="13"/>
  <c r="C8413" i="13"/>
  <c r="C2553" i="13"/>
  <c r="C2821" i="13"/>
  <c r="C6317" i="13"/>
  <c r="C537" i="13"/>
  <c r="C8791" i="13"/>
  <c r="C236" i="13"/>
  <c r="C7068" i="13"/>
  <c r="C5835" i="13"/>
  <c r="C8444" i="13"/>
  <c r="C6263" i="13"/>
  <c r="C3769" i="13"/>
  <c r="C8601" i="13"/>
  <c r="C2392" i="13"/>
  <c r="C9690" i="13"/>
  <c r="C1048" i="13"/>
  <c r="C208" i="13"/>
  <c r="C969" i="13"/>
  <c r="C110" i="13"/>
  <c r="C7511" i="13"/>
  <c r="C3402" i="13"/>
  <c r="C2956" i="13"/>
  <c r="C6395" i="13"/>
  <c r="C5760" i="13"/>
  <c r="C967" i="13"/>
  <c r="C380" i="13"/>
  <c r="C227" i="13"/>
  <c r="C78" i="13"/>
  <c r="C890" i="13"/>
  <c r="C2335" i="13"/>
  <c r="C1052" i="13"/>
  <c r="C853" i="13"/>
  <c r="C1580" i="13"/>
  <c r="C9823" i="13"/>
  <c r="C7350" i="13"/>
  <c r="C5588" i="13"/>
  <c r="C2623" i="13"/>
  <c r="C3757" i="13"/>
  <c r="C5725" i="13"/>
  <c r="C478" i="13"/>
  <c r="C8721" i="13"/>
  <c r="C2954" i="13"/>
  <c r="C3216" i="13"/>
  <c r="C3542" i="13"/>
  <c r="C4680" i="13"/>
  <c r="C8420" i="13"/>
  <c r="C9007" i="13"/>
  <c r="C7316" i="13"/>
  <c r="C9054" i="13"/>
  <c r="C3332" i="13"/>
  <c r="C4342" i="13"/>
  <c r="C831" i="13"/>
  <c r="C340" i="13"/>
  <c r="C5285" i="13"/>
  <c r="C1960" i="13"/>
  <c r="C2237" i="13"/>
  <c r="C2349" i="13"/>
  <c r="C706" i="13"/>
  <c r="C1157" i="13"/>
  <c r="C2937" i="13"/>
  <c r="C1081" i="13"/>
  <c r="C6643" i="13"/>
  <c r="C3179" i="13"/>
  <c r="C5016" i="13"/>
  <c r="C8010" i="13"/>
  <c r="C8523" i="13"/>
  <c r="C8257" i="13"/>
  <c r="C4415" i="13"/>
  <c r="C3131" i="13"/>
  <c r="C6217" i="13"/>
  <c r="C9881" i="13"/>
  <c r="C2680" i="13"/>
  <c r="C2539" i="13"/>
  <c r="C3499" i="13"/>
  <c r="C8905" i="13"/>
  <c r="C3311" i="13"/>
  <c r="C5164" i="13"/>
  <c r="C3409" i="13"/>
  <c r="C2028" i="13"/>
  <c r="C1844" i="13"/>
  <c r="C6045" i="13"/>
  <c r="C2955" i="13"/>
  <c r="C592" i="13"/>
  <c r="C1486" i="13"/>
  <c r="C5976" i="13"/>
  <c r="C1074" i="13"/>
  <c r="C9843" i="13"/>
  <c r="C8438" i="13"/>
  <c r="C204" i="13"/>
  <c r="C7590" i="13"/>
  <c r="C3320" i="13"/>
  <c r="C8673" i="13"/>
  <c r="C3648" i="13"/>
  <c r="C4097" i="13"/>
  <c r="C898" i="13"/>
  <c r="C9157" i="13"/>
  <c r="C2696" i="13"/>
  <c r="C3685" i="13"/>
  <c r="C7387" i="13"/>
  <c r="C7635" i="13"/>
  <c r="C8565" i="13"/>
  <c r="C6569" i="13"/>
  <c r="C2363" i="13"/>
  <c r="C8250" i="13"/>
  <c r="C3455" i="13"/>
  <c r="C8262" i="13"/>
  <c r="C5655" i="13"/>
  <c r="C1355" i="13"/>
  <c r="C1928" i="13"/>
  <c r="C1760" i="13"/>
  <c r="C2241" i="13"/>
  <c r="C1193" i="13"/>
  <c r="C1278" i="13"/>
  <c r="C6617" i="13"/>
  <c r="C7408" i="13"/>
  <c r="C7240" i="13"/>
  <c r="C4073" i="13"/>
  <c r="C6673" i="13"/>
  <c r="C7740" i="13"/>
  <c r="C3799" i="13"/>
  <c r="C4229" i="13"/>
  <c r="C2446" i="13"/>
  <c r="C5538" i="13"/>
  <c r="C5625" i="13"/>
  <c r="C20" i="13"/>
  <c r="C693" i="13"/>
  <c r="C433" i="13"/>
  <c r="C481" i="13"/>
  <c r="C9984" i="13"/>
  <c r="C9664" i="13"/>
  <c r="C413" i="13"/>
  <c r="C59" i="13"/>
  <c r="C4399" i="13"/>
  <c r="C429" i="13"/>
  <c r="C5586" i="13"/>
  <c r="C8579" i="13"/>
  <c r="C678" i="13"/>
  <c r="C2852" i="13"/>
  <c r="C6646" i="13"/>
  <c r="C3065" i="13"/>
  <c r="C2860" i="13"/>
  <c r="C3266" i="13"/>
  <c r="C3404" i="13"/>
  <c r="C104" i="13"/>
  <c r="C5101" i="13"/>
  <c r="C2511" i="13"/>
  <c r="C2863" i="13"/>
  <c r="C7163" i="13"/>
  <c r="C1343" i="13"/>
  <c r="C3276" i="13"/>
  <c r="C3677" i="13"/>
  <c r="C7117" i="13"/>
  <c r="C5467" i="13"/>
  <c r="C7180" i="13"/>
  <c r="C9910" i="13"/>
  <c r="C7570" i="13"/>
  <c r="C7455" i="13"/>
  <c r="C6815" i="13"/>
  <c r="C3598" i="13"/>
  <c r="C2572" i="13"/>
  <c r="C3912" i="13"/>
  <c r="C628" i="13"/>
  <c r="C1672" i="13"/>
  <c r="C3291" i="13"/>
  <c r="C2145" i="13"/>
  <c r="C8449" i="13"/>
  <c r="C5026" i="13"/>
  <c r="C5407" i="13"/>
  <c r="C2414" i="13"/>
  <c r="C2309" i="13"/>
  <c r="C2212" i="13"/>
  <c r="C2217" i="13"/>
  <c r="C7037" i="13"/>
  <c r="C1510" i="13"/>
  <c r="C3762" i="13"/>
  <c r="C2903" i="13"/>
  <c r="C4601" i="13"/>
  <c r="C4898" i="13"/>
  <c r="C1235" i="13"/>
  <c r="C3818" i="13"/>
  <c r="C3141" i="13"/>
  <c r="C3049" i="13"/>
  <c r="C7430" i="13"/>
  <c r="C1173" i="13"/>
  <c r="C3212" i="13"/>
  <c r="C4283" i="13"/>
  <c r="C2016" i="13"/>
  <c r="C9547" i="13"/>
  <c r="C9559" i="13"/>
  <c r="C2434" i="13"/>
  <c r="C830" i="13"/>
  <c r="C3646" i="13"/>
  <c r="C6586" i="13"/>
  <c r="C6374" i="13"/>
  <c r="C1995" i="13"/>
  <c r="C3998" i="13"/>
  <c r="C3820" i="13"/>
  <c r="C7929" i="13"/>
  <c r="C9119" i="13"/>
  <c r="C2518" i="13"/>
  <c r="C43" i="13"/>
  <c r="C2749" i="13"/>
  <c r="C672" i="13"/>
  <c r="C1825" i="13"/>
  <c r="C6000" i="13"/>
  <c r="C4678" i="13"/>
  <c r="C5198" i="13"/>
  <c r="C2640" i="13"/>
  <c r="C3433" i="13"/>
  <c r="C137" i="13"/>
  <c r="C5147" i="13"/>
  <c r="C5638" i="13"/>
  <c r="C4427" i="13"/>
  <c r="C7375" i="13"/>
  <c r="C4285" i="13"/>
  <c r="C8939" i="13"/>
  <c r="C5436" i="13"/>
  <c r="C9533" i="13"/>
  <c r="C99" i="13"/>
  <c r="C1450" i="13"/>
  <c r="C2753" i="13"/>
  <c r="C6225" i="13"/>
  <c r="C5140" i="13"/>
  <c r="C4359" i="13"/>
  <c r="C9083" i="13"/>
  <c r="C5855" i="13"/>
  <c r="C9027" i="13"/>
  <c r="C1969" i="13"/>
  <c r="C788" i="13"/>
  <c r="C1966" i="13"/>
  <c r="C8638" i="13"/>
  <c r="C5718" i="13"/>
  <c r="C8239" i="13"/>
  <c r="C8080" i="13"/>
  <c r="C5729" i="13"/>
  <c r="C7961" i="13"/>
  <c r="C6945" i="13"/>
  <c r="C3787" i="13"/>
  <c r="C1221" i="13"/>
  <c r="C5239" i="13"/>
  <c r="C4247" i="13"/>
  <c r="C9140" i="13"/>
  <c r="C10" i="10"/>
  <c r="C3215" i="13"/>
  <c r="C201" i="13"/>
  <c r="C444" i="13"/>
  <c r="C1271" i="13"/>
  <c r="C4564" i="13"/>
  <c r="C2471" i="13"/>
  <c r="C7524" i="13"/>
  <c r="C4516" i="13"/>
  <c r="C4731" i="13"/>
  <c r="C13" i="10"/>
  <c r="C1017" i="13"/>
  <c r="C1345" i="13"/>
  <c r="C3472" i="13"/>
  <c r="C1756" i="13"/>
  <c r="C1452" i="13"/>
  <c r="C5733" i="13"/>
  <c r="C3264" i="13"/>
  <c r="C9907" i="13"/>
  <c r="C4452" i="13"/>
  <c r="C365" i="13"/>
  <c r="C1178" i="13"/>
  <c r="C1018" i="13"/>
  <c r="C4436" i="13"/>
  <c r="C2997" i="13"/>
  <c r="C2966" i="13"/>
  <c r="C711" i="13"/>
  <c r="C3520" i="13"/>
  <c r="C961" i="13"/>
  <c r="C8960" i="13"/>
  <c r="C9329" i="13"/>
  <c r="C2523" i="13"/>
  <c r="C1089" i="13"/>
  <c r="C4758" i="13"/>
  <c r="C7621" i="13"/>
  <c r="C7331" i="13"/>
  <c r="C2331" i="13"/>
  <c r="C327" i="13"/>
  <c r="C6144" i="13"/>
  <c r="C7469" i="13"/>
  <c r="C8024" i="13"/>
  <c r="C1803" i="13"/>
  <c r="C1121" i="13"/>
  <c r="C2220" i="13"/>
  <c r="C5419" i="13"/>
  <c r="C1634" i="13"/>
  <c r="C5019" i="13"/>
  <c r="C970" i="13"/>
  <c r="C6060" i="13"/>
  <c r="C2214" i="13"/>
  <c r="C216" i="13"/>
  <c r="C2361" i="13"/>
  <c r="C8986" i="13"/>
  <c r="C4204" i="13"/>
  <c r="C343" i="13"/>
  <c r="C7931" i="13"/>
  <c r="C5584" i="13"/>
  <c r="C8989" i="13"/>
  <c r="C6543" i="13"/>
  <c r="C7022" i="13"/>
  <c r="C5272" i="13"/>
  <c r="C2631" i="13"/>
  <c r="C5758" i="13"/>
  <c r="C6776" i="13"/>
  <c r="C6312" i="13"/>
  <c r="C5466" i="13"/>
  <c r="C9594" i="13"/>
  <c r="C6246" i="13"/>
  <c r="C7484" i="13"/>
  <c r="C5002" i="13"/>
  <c r="C3019" i="13"/>
  <c r="C1056" i="13"/>
  <c r="C6245" i="13"/>
  <c r="C5288" i="13"/>
  <c r="C8019" i="13"/>
  <c r="C2965" i="13"/>
  <c r="C5560" i="13"/>
  <c r="C242" i="13"/>
  <c r="C428" i="13"/>
  <c r="C8130" i="13"/>
  <c r="C594" i="13"/>
  <c r="C5417" i="13"/>
  <c r="C4996" i="13"/>
  <c r="C7514" i="13"/>
  <c r="C2385" i="13"/>
  <c r="C1555" i="13"/>
  <c r="C3647" i="13"/>
  <c r="C4930" i="13"/>
  <c r="C638" i="13"/>
  <c r="C796" i="13"/>
  <c r="C1112" i="13"/>
  <c r="C8388" i="13"/>
  <c r="C9842" i="13"/>
  <c r="C4957" i="13"/>
  <c r="C1946" i="13"/>
  <c r="C1843" i="13"/>
  <c r="C4354" i="13"/>
  <c r="C5439" i="13"/>
  <c r="C47" i="13"/>
  <c r="C1627" i="13"/>
  <c r="C1317" i="13"/>
  <c r="C8560" i="13"/>
  <c r="C6378" i="13"/>
  <c r="C5274" i="13"/>
  <c r="C8473" i="13"/>
  <c r="C5736" i="13"/>
  <c r="C5458" i="13"/>
  <c r="C1358" i="13"/>
  <c r="C6226" i="13"/>
  <c r="C6884" i="13"/>
  <c r="C691" i="13"/>
  <c r="C527" i="13"/>
  <c r="C3438" i="13"/>
  <c r="C7093" i="13"/>
  <c r="C7091" i="13"/>
  <c r="C2690" i="13"/>
  <c r="C5427" i="13"/>
  <c r="C6160" i="13"/>
  <c r="C2343" i="13"/>
  <c r="C467" i="13"/>
  <c r="C703" i="13"/>
  <c r="C2793" i="13"/>
  <c r="C5387" i="13"/>
  <c r="C6532" i="13"/>
  <c r="C1897" i="13"/>
  <c r="C6267" i="13"/>
  <c r="C1421" i="13"/>
  <c r="C7300" i="13"/>
  <c r="C8191" i="13"/>
  <c r="C5697" i="13"/>
  <c r="C4447" i="13"/>
  <c r="C2829" i="13"/>
  <c r="C3605" i="13"/>
  <c r="C3661" i="13"/>
  <c r="C3557" i="13"/>
  <c r="C726" i="13"/>
  <c r="C1554" i="13"/>
  <c r="C6070" i="13"/>
  <c r="C3794" i="13"/>
  <c r="C6299" i="13"/>
  <c r="C6940" i="13"/>
  <c r="C9563" i="13"/>
  <c r="C6116" i="13"/>
  <c r="C3981" i="13"/>
  <c r="C1536" i="13"/>
  <c r="C1142" i="13"/>
  <c r="C3604" i="13"/>
  <c r="C4164" i="13"/>
  <c r="C9325" i="13"/>
  <c r="C6483" i="13"/>
  <c r="C3384" i="13"/>
  <c r="C9257" i="13"/>
  <c r="C9927" i="13"/>
  <c r="C3906" i="13"/>
  <c r="C2558" i="13"/>
  <c r="C2325" i="13"/>
  <c r="C7650" i="13"/>
  <c r="C6333" i="13"/>
  <c r="C9697" i="13"/>
  <c r="C8829" i="13"/>
  <c r="C3260" i="13"/>
  <c r="C4815" i="13"/>
  <c r="C1179" i="13"/>
  <c r="C551" i="13"/>
  <c r="C1586" i="13"/>
  <c r="C5701" i="13"/>
  <c r="C1986" i="13"/>
  <c r="C6339" i="13"/>
  <c r="C7440" i="13"/>
  <c r="C4420" i="13"/>
  <c r="C6" i="10"/>
  <c r="C5211" i="13"/>
  <c r="C5400" i="13"/>
  <c r="C2671" i="13"/>
  <c r="C2919" i="13"/>
  <c r="C2302" i="13"/>
  <c r="C7463" i="13"/>
  <c r="C5649" i="13"/>
  <c r="C7756" i="13"/>
  <c r="C9811" i="13"/>
  <c r="C1158" i="13"/>
  <c r="C3308" i="13"/>
  <c r="C5656" i="13"/>
  <c r="C2264" i="13"/>
  <c r="C4539" i="13"/>
  <c r="C357" i="13"/>
  <c r="C7882" i="13"/>
  <c r="C9599" i="13"/>
  <c r="C9939" i="13"/>
  <c r="C7945" i="13"/>
  <c r="C9088" i="13"/>
  <c r="C1291" i="13"/>
  <c r="C1136" i="13"/>
  <c r="C2979" i="13"/>
  <c r="C4294" i="13"/>
  <c r="C6035" i="13"/>
  <c r="C3282" i="13"/>
  <c r="C1248" i="13"/>
  <c r="C5970" i="13"/>
  <c r="C6162" i="13"/>
  <c r="C418" i="13"/>
  <c r="C4741" i="13"/>
  <c r="C421" i="13"/>
  <c r="C2057" i="13"/>
  <c r="C8930" i="13"/>
  <c r="C5219" i="13"/>
  <c r="C5773" i="13"/>
  <c r="C264" i="13"/>
  <c r="C3577" i="13"/>
  <c r="C2629" i="13"/>
  <c r="C3518" i="13"/>
  <c r="C4039" i="13"/>
  <c r="C8127" i="13"/>
  <c r="C6303" i="13"/>
  <c r="C4567" i="13"/>
  <c r="C6893" i="13"/>
  <c r="C2178" i="13"/>
  <c r="C8910" i="13"/>
  <c r="C8114" i="13"/>
  <c r="C8458" i="13"/>
  <c r="C11" i="13"/>
  <c r="C2121" i="13"/>
  <c r="C4718" i="13"/>
  <c r="C5459" i="13"/>
  <c r="C7079" i="13"/>
  <c r="C9982" i="13"/>
  <c r="C3627" i="13"/>
  <c r="C3539" i="13"/>
  <c r="C677" i="13"/>
  <c r="C3888" i="13"/>
  <c r="C1572" i="13"/>
  <c r="C7296" i="13"/>
  <c r="C4279" i="13"/>
  <c r="C2192" i="13"/>
  <c r="C2045" i="13"/>
  <c r="C8534" i="13"/>
  <c r="C5938" i="13"/>
  <c r="C8277" i="13"/>
  <c r="C4326" i="13"/>
  <c r="C3562" i="13"/>
  <c r="C4498" i="13"/>
  <c r="C5214" i="13"/>
  <c r="C3097" i="13"/>
  <c r="C557" i="13"/>
  <c r="C888" i="13"/>
  <c r="C6067" i="13"/>
  <c r="C6734" i="13"/>
  <c r="C7847" i="13"/>
  <c r="C4634" i="13"/>
  <c r="C2397" i="13"/>
  <c r="C4115" i="13"/>
  <c r="C6272" i="13"/>
  <c r="C3867" i="13"/>
  <c r="C561" i="13"/>
  <c r="C1144" i="13"/>
  <c r="C6323" i="13"/>
  <c r="C7995" i="13"/>
  <c r="C77" i="13"/>
  <c r="C3462" i="13"/>
  <c r="C1515" i="13"/>
  <c r="C1164" i="13"/>
  <c r="C1232" i="13"/>
  <c r="C7679" i="13"/>
  <c r="C7017" i="13"/>
  <c r="C3365" i="13"/>
  <c r="C1022" i="13"/>
  <c r="C5175" i="13"/>
  <c r="C9416" i="13"/>
  <c r="C684" i="13"/>
  <c r="C3204" i="13"/>
  <c r="C756" i="13"/>
  <c r="C2154" i="13"/>
  <c r="C4346" i="13"/>
  <c r="C4137" i="13"/>
  <c r="C6388" i="13"/>
  <c r="C8245" i="13"/>
  <c r="C5037" i="13"/>
  <c r="C2806" i="13"/>
  <c r="C7970" i="13"/>
  <c r="C1523" i="13"/>
  <c r="C9956" i="13"/>
  <c r="C8057" i="13"/>
  <c r="C8857" i="13"/>
  <c r="C1776" i="13"/>
  <c r="C8140" i="13"/>
  <c r="C9798" i="13"/>
  <c r="C5194" i="13"/>
  <c r="C5630" i="13"/>
  <c r="C846" i="13"/>
  <c r="C7553" i="13"/>
  <c r="C276" i="13"/>
  <c r="C8040" i="13"/>
  <c r="C8867" i="13"/>
  <c r="C6010" i="13"/>
  <c r="C3185" i="13"/>
  <c r="C2556" i="13"/>
  <c r="C9383" i="13"/>
  <c r="C870" i="13"/>
  <c r="C2374" i="13"/>
  <c r="C1474" i="13"/>
  <c r="C4116" i="13"/>
  <c r="C8948" i="13"/>
  <c r="C6209" i="13"/>
  <c r="C1812" i="13"/>
  <c r="C1576" i="13"/>
  <c r="C5583" i="13"/>
  <c r="C3210" i="13"/>
  <c r="C1393" i="13"/>
  <c r="C8357" i="13"/>
  <c r="C6276" i="13"/>
  <c r="C9044" i="13"/>
  <c r="C8609" i="13"/>
  <c r="C2532" i="13"/>
  <c r="C2708" i="13"/>
  <c r="C4293" i="13"/>
  <c r="C3650" i="13"/>
  <c r="C6544" i="13"/>
  <c r="C1292" i="13"/>
  <c r="C7431" i="13"/>
  <c r="C2083" i="13"/>
  <c r="C7878" i="13"/>
  <c r="C7904" i="13"/>
  <c r="C2564" i="13"/>
  <c r="C646" i="13"/>
  <c r="C5227" i="13"/>
  <c r="C2239" i="13"/>
  <c r="C497" i="13"/>
  <c r="C797" i="13"/>
  <c r="C3945" i="13"/>
  <c r="C8550" i="13"/>
  <c r="C7146" i="13"/>
  <c r="C7609" i="13"/>
  <c r="C2820" i="13"/>
  <c r="C1857" i="13"/>
  <c r="C2188" i="13"/>
  <c r="C2495" i="13"/>
  <c r="C1108" i="13"/>
  <c r="C275" i="13"/>
  <c r="C4201" i="13"/>
  <c r="C8806" i="13"/>
  <c r="C7008" i="13"/>
  <c r="C7322" i="13"/>
  <c r="C7083" i="13"/>
  <c r="C323" i="13"/>
  <c r="C5496" i="13"/>
  <c r="C85" i="13"/>
  <c r="C4091" i="13"/>
  <c r="C2641" i="13"/>
  <c r="C1065" i="13"/>
  <c r="C5848" i="13"/>
  <c r="C786" i="13"/>
  <c r="C4484" i="13"/>
  <c r="C5874" i="13"/>
  <c r="C4782" i="13"/>
  <c r="C3279" i="13"/>
  <c r="C3050" i="13"/>
  <c r="C607" i="13"/>
  <c r="C822" i="13"/>
  <c r="C3094" i="13"/>
  <c r="C2785" i="13"/>
  <c r="C8194" i="13"/>
  <c r="C3999" i="13"/>
  <c r="C8045" i="13"/>
  <c r="C6103" i="13"/>
  <c r="C5506" i="13"/>
  <c r="C9276" i="13"/>
  <c r="C2457" i="13"/>
  <c r="C5166" i="13"/>
  <c r="C7728" i="13"/>
  <c r="C3457" i="13"/>
  <c r="C3098" i="13"/>
  <c r="C5319" i="13"/>
  <c r="C1649" i="13"/>
  <c r="C5858" i="13"/>
  <c r="C2269" i="13"/>
  <c r="C9960" i="13"/>
  <c r="C8146" i="13"/>
  <c r="C9113" i="13"/>
  <c r="C5876" i="13"/>
  <c r="C8396" i="13"/>
  <c r="C9727" i="13"/>
  <c r="C339" i="13"/>
  <c r="C2251" i="13"/>
  <c r="C896" i="13"/>
  <c r="C6582" i="13"/>
  <c r="C9964" i="13"/>
  <c r="C3644" i="13"/>
  <c r="C1267" i="13"/>
  <c r="C3341" i="13"/>
  <c r="C4553" i="13"/>
  <c r="C1249" i="13"/>
  <c r="C514" i="13"/>
  <c r="C856" i="13"/>
  <c r="C8607" i="13"/>
  <c r="C5789" i="13"/>
  <c r="C5981" i="13"/>
  <c r="C304" i="13"/>
  <c r="C614" i="13"/>
  <c r="C2580" i="13"/>
  <c r="C2987" i="13"/>
  <c r="C5933" i="13"/>
  <c r="C1054" i="13"/>
  <c r="C951" i="13"/>
  <c r="C1722" i="13"/>
  <c r="C6347" i="13"/>
  <c r="C6762" i="13"/>
  <c r="C560" i="13"/>
  <c r="C1385" i="13"/>
  <c r="C3445" i="13"/>
  <c r="C2644" i="13"/>
  <c r="C6189" i="13"/>
  <c r="C495" i="13"/>
  <c r="C2678" i="13"/>
  <c r="C1978" i="13"/>
  <c r="C873" i="13"/>
  <c r="C744" i="13"/>
  <c r="C8306" i="13"/>
  <c r="C4102" i="13"/>
  <c r="C5123" i="13"/>
  <c r="C310" i="13"/>
  <c r="C7011" i="13"/>
  <c r="C7274" i="13"/>
  <c r="C277" i="13"/>
  <c r="C2348" i="13"/>
  <c r="C980" i="13"/>
  <c r="C8405" i="13"/>
  <c r="C8762" i="13"/>
  <c r="C5330" i="13"/>
  <c r="C2774" i="13"/>
  <c r="C2073" i="13"/>
  <c r="C3950" i="13"/>
  <c r="C2767" i="13"/>
  <c r="C1260" i="13"/>
  <c r="C2063" i="13"/>
  <c r="C9240" i="13"/>
  <c r="C8686" i="13"/>
  <c r="C1389" i="13"/>
  <c r="C3223" i="13"/>
  <c r="C2400" i="13"/>
  <c r="C5402" i="13"/>
  <c r="C9146" i="13"/>
  <c r="C6689" i="13"/>
  <c r="C4190" i="13"/>
  <c r="C9197" i="13"/>
  <c r="C2849" i="13"/>
  <c r="C4153" i="13"/>
  <c r="C1813" i="13"/>
  <c r="C2280" i="13"/>
  <c r="C906" i="13"/>
  <c r="C4013" i="13"/>
  <c r="C9760" i="13"/>
  <c r="C1863" i="13"/>
  <c r="C7351" i="13"/>
  <c r="C4109" i="13"/>
  <c r="C6518" i="13"/>
  <c r="C2059" i="13"/>
  <c r="C4151" i="13"/>
  <c r="C5406" i="13"/>
  <c r="C7249" i="13"/>
  <c r="C4287" i="13"/>
  <c r="C7259" i="13"/>
  <c r="C7206" i="13"/>
  <c r="C3649" i="13"/>
  <c r="C7565" i="13"/>
  <c r="C6301" i="13"/>
  <c r="C206" i="13"/>
  <c r="C4187" i="13"/>
  <c r="C3630" i="13"/>
  <c r="C2101" i="13"/>
  <c r="C7890" i="13"/>
  <c r="C7737" i="13"/>
  <c r="C8219" i="13"/>
  <c r="C1146" i="13"/>
  <c r="C82" i="13"/>
  <c r="C2067" i="13"/>
  <c r="C3836" i="13"/>
  <c r="C5890" i="13"/>
  <c r="C287" i="13"/>
  <c r="C2667" i="13"/>
  <c r="C9588" i="13"/>
  <c r="C9877" i="13"/>
  <c r="C1675" i="13"/>
  <c r="C2938" i="13"/>
  <c r="C5698" i="13"/>
  <c r="C1941" i="13"/>
  <c r="C5783" i="13"/>
  <c r="C716" i="13"/>
  <c r="C6997" i="13"/>
  <c r="C1060" i="13"/>
  <c r="C9623" i="13"/>
  <c r="C9920" i="13"/>
  <c r="C1931" i="13"/>
  <c r="C1633" i="13"/>
  <c r="C3340" i="13"/>
  <c r="C991" i="13"/>
  <c r="C6039" i="13"/>
  <c r="C893" i="13"/>
  <c r="C6539" i="13"/>
  <c r="C2274" i="13"/>
  <c r="C9072" i="13"/>
  <c r="C6765" i="13"/>
  <c r="C4135" i="13"/>
  <c r="C6957" i="13"/>
  <c r="C2229" i="13"/>
  <c r="C1168" i="13"/>
  <c r="C9033" i="13"/>
  <c r="C9390" i="13"/>
  <c r="C1374" i="13"/>
  <c r="C1855" i="13"/>
  <c r="C934" i="13"/>
  <c r="C3342" i="13"/>
  <c r="C1853" i="13"/>
  <c r="C490" i="13"/>
  <c r="C5526" i="13"/>
  <c r="C2210" i="13"/>
  <c r="C7859" i="13"/>
  <c r="C506" i="13"/>
  <c r="C5801" i="13"/>
  <c r="C1116" i="13"/>
  <c r="C5800" i="13"/>
  <c r="C1400" i="13"/>
  <c r="C2810" i="13"/>
  <c r="C5619" i="13"/>
  <c r="C7825" i="13"/>
  <c r="C2460" i="13"/>
  <c r="C5576" i="13"/>
  <c r="C8555" i="13"/>
  <c r="C9665" i="13"/>
  <c r="C1415" i="13"/>
  <c r="C1874" i="13"/>
  <c r="C7074" i="13"/>
  <c r="C415" i="13"/>
  <c r="C1618" i="13"/>
  <c r="C8391" i="13"/>
  <c r="C2261" i="13"/>
  <c r="C1647" i="13"/>
  <c r="C2537" i="13"/>
  <c r="C9726" i="13"/>
  <c r="C2896" i="13"/>
  <c r="C4144" i="13"/>
  <c r="C7552" i="13"/>
  <c r="C6328" i="13"/>
  <c r="C4720" i="13"/>
  <c r="C3987" i="13"/>
  <c r="C4400" i="13"/>
  <c r="C7821" i="13"/>
  <c r="C5847" i="13"/>
  <c r="C4976" i="13"/>
  <c r="C6212" i="13"/>
  <c r="C5202" i="13"/>
  <c r="C6463" i="13"/>
  <c r="C4646" i="13"/>
  <c r="C1940" i="13"/>
  <c r="C9028" i="13"/>
  <c r="C1947" i="13"/>
  <c r="C1181" i="13"/>
  <c r="C2159" i="13"/>
  <c r="C1734" i="13"/>
  <c r="C156" i="13"/>
  <c r="C7381" i="13"/>
  <c r="C4309" i="13"/>
  <c r="C9481" i="13"/>
  <c r="C5624" i="13"/>
  <c r="C3184" i="13"/>
  <c r="C8381" i="13"/>
  <c r="C1103" i="13"/>
  <c r="C7753" i="13"/>
  <c r="C6370" i="13"/>
  <c r="C9856" i="13"/>
  <c r="C9180" i="13"/>
  <c r="C8731" i="13"/>
  <c r="C7393" i="13"/>
  <c r="C7974" i="13"/>
  <c r="C8186" i="13"/>
  <c r="C2308" i="13"/>
  <c r="C2947" i="13"/>
  <c r="C758" i="13"/>
  <c r="C3689" i="13"/>
  <c r="C2396" i="13"/>
  <c r="C954" i="13"/>
  <c r="C8735" i="13"/>
  <c r="C5982" i="13"/>
  <c r="C5501" i="13"/>
  <c r="C2413" i="13"/>
  <c r="C4791" i="13"/>
  <c r="C8036" i="13"/>
  <c r="C2341" i="13"/>
  <c r="C9411" i="13"/>
  <c r="C2621" i="13"/>
  <c r="C6013" i="13"/>
  <c r="C2660" i="13"/>
  <c r="C1208" i="13"/>
  <c r="C1030" i="13"/>
  <c r="C1253" i="13"/>
  <c r="C5965" i="13"/>
  <c r="C61" i="13"/>
  <c r="C3460" i="13"/>
  <c r="C2370" i="13"/>
  <c r="C7519" i="13"/>
  <c r="C5608" i="13"/>
  <c r="C9519" i="13"/>
  <c r="C7444" i="13"/>
  <c r="C1095" i="13"/>
  <c r="C3891" i="13"/>
  <c r="C5953" i="13"/>
  <c r="C920" i="13"/>
  <c r="C5892" i="13"/>
  <c r="C4677" i="13"/>
  <c r="C8872" i="13"/>
  <c r="C5007" i="13"/>
  <c r="C2923" i="13"/>
  <c r="C5119" i="13"/>
  <c r="C8679" i="13"/>
  <c r="C9255" i="13"/>
  <c r="C2470" i="13"/>
  <c r="C329" i="13"/>
  <c r="C2996" i="13"/>
  <c r="C4388" i="13"/>
  <c r="C9741" i="13"/>
  <c r="C1650" i="13"/>
  <c r="C2001" i="13"/>
  <c r="C3967" i="13"/>
  <c r="C2672" i="13"/>
  <c r="C8691" i="13"/>
  <c r="C3205" i="13"/>
  <c r="C5431" i="13"/>
  <c r="C8927" i="13"/>
  <c r="C307" i="13"/>
  <c r="C7401" i="13"/>
  <c r="C2139" i="13"/>
  <c r="C4163" i="13"/>
  <c r="C3546" i="13"/>
  <c r="C1079" i="13"/>
  <c r="C4087" i="13"/>
  <c r="C9848" i="13"/>
  <c r="C9909" i="13"/>
  <c r="C4908" i="13"/>
  <c r="C7302" i="13"/>
  <c r="C7567" i="13"/>
  <c r="C6927" i="13"/>
  <c r="C1983" i="13"/>
  <c r="C2870" i="13"/>
  <c r="C1531" i="13"/>
  <c r="C7840" i="13"/>
  <c r="C7689" i="13"/>
  <c r="C1977" i="13"/>
  <c r="C1279" i="13"/>
  <c r="C2307" i="13"/>
  <c r="C1802" i="13"/>
  <c r="C9029" i="13"/>
  <c r="C1541" i="13"/>
  <c r="C54" i="13"/>
  <c r="C4299" i="13"/>
  <c r="C403" i="13"/>
  <c r="C4904" i="13"/>
  <c r="C8015" i="13"/>
  <c r="C7204" i="13"/>
  <c r="C3880" i="13"/>
  <c r="C3163" i="13"/>
  <c r="C2235" i="13"/>
  <c r="C1664" i="13"/>
  <c r="C464" i="13"/>
  <c r="C1920" i="13"/>
  <c r="C6196" i="13"/>
  <c r="C9291" i="13"/>
  <c r="C6847" i="13"/>
  <c r="C1499" i="13"/>
  <c r="C778" i="13"/>
  <c r="C938" i="13"/>
  <c r="C824" i="13"/>
  <c r="C3986" i="13"/>
  <c r="C679" i="13"/>
  <c r="C3062" i="13"/>
  <c r="C8368" i="13"/>
  <c r="C379" i="13"/>
  <c r="C7449" i="13"/>
  <c r="C2885" i="13"/>
  <c r="C9090" i="13"/>
  <c r="C2379" i="13"/>
  <c r="C8198" i="13"/>
  <c r="C5206" i="13"/>
  <c r="C2669" i="13"/>
  <c r="C1423" i="13"/>
  <c r="C763" i="13"/>
  <c r="C1607" i="13"/>
  <c r="C9464" i="13"/>
  <c r="C2529" i="13"/>
  <c r="C7004" i="13"/>
  <c r="C2262" i="13"/>
  <c r="C1596" i="13"/>
  <c r="C564" i="13"/>
  <c r="C6294" i="13"/>
  <c r="C8006" i="13"/>
  <c r="C3596" i="13"/>
  <c r="C2060" i="13"/>
  <c r="C166" i="13"/>
  <c r="C7082" i="13"/>
  <c r="C1948" i="13"/>
  <c r="C1201" i="13"/>
  <c r="C6494" i="13"/>
  <c r="C6498" i="13"/>
  <c r="C8631" i="13"/>
  <c r="C7833" i="13"/>
  <c r="C556" i="13"/>
  <c r="C6895" i="13"/>
  <c r="C3886" i="13"/>
  <c r="C7764" i="13"/>
  <c r="C293" i="13"/>
  <c r="C5653" i="13"/>
  <c r="C650" i="13"/>
  <c r="C8456" i="13"/>
  <c r="C3623" i="13"/>
  <c r="C6091" i="13"/>
  <c r="C135" i="13"/>
  <c r="C8733" i="13"/>
  <c r="C2187" i="13"/>
  <c r="C3525" i="13"/>
  <c r="C4562" i="13"/>
  <c r="C8055" i="13"/>
  <c r="C3848" i="13"/>
  <c r="C3206" i="13"/>
  <c r="C2616" i="13"/>
  <c r="C10004" i="13"/>
  <c r="C879" i="13"/>
  <c r="C9515" i="13"/>
  <c r="C1088" i="13"/>
  <c r="C9324" i="13"/>
  <c r="C459" i="13"/>
  <c r="C3283" i="13"/>
  <c r="C88" i="13"/>
  <c r="C2375" i="13"/>
  <c r="C9421" i="13"/>
  <c r="C652" i="13"/>
  <c r="C1383" i="13"/>
  <c r="C1100" i="13"/>
  <c r="C8795" i="13"/>
  <c r="C5089" i="13"/>
  <c r="C4581" i="13"/>
  <c r="C369" i="13"/>
  <c r="C34" i="13"/>
  <c r="C9723" i="13"/>
  <c r="C2858" i="13"/>
  <c r="C9979" i="13"/>
  <c r="C4656" i="13"/>
  <c r="C5078" i="13"/>
  <c r="C5084" i="13"/>
  <c r="C1768" i="13"/>
  <c r="C7311" i="13"/>
  <c r="C9123" i="13"/>
  <c r="C6107" i="13"/>
  <c r="C3025" i="13"/>
  <c r="C1169" i="13"/>
  <c r="C48" i="13"/>
  <c r="C1165" i="13"/>
  <c r="C3533" i="13"/>
  <c r="C641" i="13"/>
  <c r="C4098" i="13"/>
  <c r="C4099" i="13"/>
  <c r="C761" i="13"/>
  <c r="C5937" i="13"/>
  <c r="C5157" i="13"/>
  <c r="C3694" i="13"/>
  <c r="C6836" i="13"/>
  <c r="C707" i="13"/>
  <c r="C7045" i="13"/>
  <c r="C3503" i="13"/>
  <c r="C2455" i="13"/>
  <c r="C7048" i="13"/>
  <c r="C3367" i="13"/>
  <c r="C7730" i="13"/>
  <c r="C815" i="13"/>
  <c r="C3357" i="13"/>
  <c r="C3941" i="13"/>
  <c r="C119" i="13"/>
  <c r="C6222" i="13"/>
  <c r="C3897" i="13"/>
  <c r="C1039" i="13"/>
  <c r="C95" i="13"/>
  <c r="C7712" i="13"/>
  <c r="C9932" i="13"/>
  <c r="C8042" i="13"/>
  <c r="C7306" i="13"/>
  <c r="C8429" i="13"/>
  <c r="C6109" i="13"/>
  <c r="C4679" i="13"/>
  <c r="C6482" i="13"/>
  <c r="C2438" i="13"/>
  <c r="C7605" i="13"/>
  <c r="C5388" i="13"/>
  <c r="C3868" i="13"/>
  <c r="C5435" i="13"/>
  <c r="C144" i="13"/>
  <c r="C1485" i="13"/>
  <c r="C8435" i="13"/>
  <c r="C2899" i="13"/>
  <c r="C3721" i="13"/>
  <c r="C7208" i="13"/>
  <c r="C565" i="13"/>
  <c r="C283" i="13"/>
  <c r="C7547" i="13"/>
  <c r="C2568" i="13"/>
  <c r="C3716" i="13"/>
  <c r="C1578" i="13"/>
  <c r="C4507" i="13"/>
  <c r="C6062" i="13"/>
  <c r="C1854" i="13"/>
  <c r="C589" i="13"/>
  <c r="C4406" i="13"/>
  <c r="C3885" i="13"/>
  <c r="C1583" i="13"/>
  <c r="C6636" i="13"/>
  <c r="C6868" i="13"/>
  <c r="C3277" i="13"/>
  <c r="C6527" i="13"/>
  <c r="C2284" i="13"/>
  <c r="C4842" i="13"/>
  <c r="C4278" i="13"/>
  <c r="C7215" i="13"/>
  <c r="C6076" i="13"/>
  <c r="C2402" i="13"/>
  <c r="C1363" i="13"/>
  <c r="C408" i="13"/>
  <c r="C3585" i="13"/>
  <c r="C5675" i="13"/>
  <c r="C386" i="13"/>
  <c r="C7700" i="13"/>
  <c r="C7532" i="13"/>
  <c r="C4660" i="13"/>
  <c r="C2409" i="13"/>
  <c r="C2048" i="13"/>
  <c r="C3780" i="13"/>
  <c r="C460" i="13"/>
  <c r="C5446" i="13"/>
  <c r="C7162" i="13"/>
  <c r="C771" i="13"/>
  <c r="C3938" i="13"/>
  <c r="C1547" i="13"/>
  <c r="C4712" i="13"/>
  <c r="C8356" i="13"/>
  <c r="C2156" i="13"/>
  <c r="C1379" i="13"/>
  <c r="C5989" i="13"/>
  <c r="C7634" i="13"/>
  <c r="C7149" i="13"/>
  <c r="C7694" i="13"/>
  <c r="C1905" i="13"/>
  <c r="C4728" i="13"/>
  <c r="C692" i="13"/>
  <c r="C532" i="13"/>
  <c r="C8068" i="13"/>
  <c r="C2601" i="13"/>
  <c r="C5641" i="13"/>
  <c r="C7072" i="13"/>
  <c r="C9743" i="13"/>
  <c r="C5714" i="13"/>
  <c r="C83" i="13"/>
  <c r="C3434" i="13"/>
  <c r="C957" i="13"/>
  <c r="C791" i="13"/>
  <c r="C3956" i="13"/>
  <c r="C2706" i="13"/>
  <c r="C1014" i="13"/>
  <c r="C8914" i="13"/>
  <c r="C9745" i="13"/>
  <c r="C9814" i="13"/>
  <c r="C1006" i="13"/>
  <c r="C2333" i="13"/>
  <c r="C2097" i="13"/>
  <c r="C1921" i="13"/>
  <c r="C4212" i="13"/>
  <c r="C3878" i="13"/>
  <c r="C1067" i="13"/>
  <c r="C9122" i="13"/>
  <c r="C8296" i="13"/>
  <c r="C5644" i="13"/>
  <c r="C5956" i="13"/>
  <c r="C246" i="13"/>
  <c r="C28" i="13"/>
  <c r="C1372" i="13"/>
  <c r="C5076" i="13"/>
  <c r="C5914" i="13"/>
  <c r="C1771" i="13"/>
  <c r="C2474" i="13"/>
  <c r="C1904" i="13"/>
  <c r="C8205" i="13"/>
  <c r="C3737" i="13"/>
  <c r="C688" i="13"/>
  <c r="C436" i="13"/>
  <c r="C4886" i="13"/>
  <c r="C517" i="13"/>
  <c r="C1559" i="13"/>
  <c r="C2191" i="13"/>
  <c r="C7745" i="13"/>
  <c r="C8649" i="13"/>
  <c r="C825" i="13"/>
  <c r="C4419" i="13"/>
  <c r="C4304" i="13"/>
  <c r="C5488" i="13"/>
  <c r="C5570" i="13"/>
  <c r="C8075" i="13"/>
  <c r="C6261" i="13"/>
  <c r="C9201" i="13"/>
  <c r="C4317" i="13"/>
  <c r="C3091" i="13"/>
  <c r="C5000" i="13"/>
  <c r="C2666" i="13"/>
  <c r="C4389" i="13"/>
  <c r="C4308" i="13"/>
  <c r="C6243" i="13"/>
  <c r="C9809" i="13"/>
  <c r="C9360" i="13"/>
  <c r="C1871" i="13"/>
  <c r="C4508" i="13"/>
  <c r="C4584" i="13"/>
  <c r="C2857" i="13"/>
  <c r="C1679" i="13"/>
  <c r="C2879" i="13"/>
  <c r="C9564" i="13"/>
  <c r="C9234" i="13"/>
  <c r="C1274" i="13"/>
  <c r="C7897" i="13"/>
  <c r="C9951" i="13"/>
  <c r="C5936" i="13"/>
  <c r="C5741" i="13"/>
  <c r="C4150" i="13"/>
  <c r="C9648" i="13"/>
  <c r="C1619" i="13"/>
  <c r="C6495" i="13"/>
  <c r="C6687" i="13"/>
  <c r="C3278" i="13"/>
  <c r="C5509" i="13"/>
  <c r="C348" i="13"/>
  <c r="C799" i="13"/>
  <c r="C4777" i="13"/>
  <c r="C5107" i="13"/>
  <c r="C6798" i="13"/>
  <c r="C10000" i="13"/>
  <c r="C7500" i="13"/>
  <c r="C8479" i="13"/>
  <c r="C1433" i="13"/>
  <c r="C2851" i="13"/>
  <c r="C12" i="13"/>
  <c r="C1384" i="13"/>
  <c r="C4361" i="13"/>
  <c r="C2591" i="13"/>
  <c r="C2277" i="13"/>
  <c r="C9371" i="13"/>
  <c r="C8410" i="13"/>
  <c r="C8138" i="13"/>
  <c r="C9" i="10"/>
  <c r="C3174" i="13"/>
  <c r="C241" i="13"/>
  <c r="C1640" i="13"/>
  <c r="C4617" i="13"/>
  <c r="C2847" i="13"/>
  <c r="C3077" i="13"/>
  <c r="C9889" i="13"/>
  <c r="C1225" i="13"/>
  <c r="C4345" i="13"/>
  <c r="C4537" i="13"/>
  <c r="C1491" i="13"/>
  <c r="C2635" i="13"/>
  <c r="C4131" i="13"/>
  <c r="C9355" i="13"/>
  <c r="C8615" i="13"/>
  <c r="C4666" i="13"/>
  <c r="C1529" i="13"/>
  <c r="C3254" i="13"/>
  <c r="C7814" i="13"/>
  <c r="C9992" i="13"/>
  <c r="C913" i="13"/>
  <c r="C3667" i="13"/>
  <c r="C5559" i="13"/>
  <c r="C3502" i="13"/>
  <c r="C4974" i="13"/>
  <c r="C13" i="13"/>
  <c r="C7066" i="13"/>
  <c r="C9484" i="13"/>
  <c r="C3301" i="13"/>
  <c r="C5221" i="13"/>
  <c r="C1744" i="13"/>
  <c r="C6145" i="13"/>
  <c r="C4439" i="13"/>
  <c r="C6397" i="13"/>
  <c r="C6711" i="13"/>
  <c r="C9487" i="13"/>
  <c r="C5616" i="13"/>
  <c r="C542" i="13"/>
  <c r="C8653" i="13"/>
  <c r="C4846" i="13"/>
  <c r="C1247" i="13"/>
  <c r="C98" i="13"/>
  <c r="C6873" i="13"/>
  <c r="C4472" i="13"/>
  <c r="C9767" i="13"/>
  <c r="C731" i="13"/>
  <c r="C5010" i="13"/>
  <c r="C7948" i="13"/>
  <c r="C108" i="13"/>
  <c r="C2792" i="13"/>
  <c r="C1166" i="13"/>
  <c r="C7892" i="13"/>
  <c r="C9603" i="13"/>
  <c r="C7631" i="13"/>
  <c r="C2012" i="13"/>
  <c r="C2185" i="13"/>
  <c r="C84" i="13"/>
  <c r="C1346" i="13"/>
  <c r="C3143" i="13"/>
  <c r="C2649" i="13"/>
  <c r="C321" i="13"/>
  <c r="C8469" i="13"/>
  <c r="C8182" i="13"/>
  <c r="C3431" i="13"/>
  <c r="C4534" i="13"/>
  <c r="C6020" i="13"/>
  <c r="C1186" i="13"/>
  <c r="C7718" i="13"/>
  <c r="C3670" i="13"/>
  <c r="C7991" i="13"/>
  <c r="C2675" i="13"/>
  <c r="C7943" i="13"/>
  <c r="C8341" i="13"/>
  <c r="C3874" i="13"/>
  <c r="C5298" i="13"/>
  <c r="C4837" i="13"/>
  <c r="C519" i="13"/>
  <c r="C7744" i="13"/>
  <c r="C3127" i="13"/>
  <c r="C8398" i="13"/>
  <c r="C2931" i="13"/>
  <c r="C1811" i="13"/>
  <c r="C7984" i="13"/>
  <c r="C2590" i="13"/>
  <c r="C8774" i="13"/>
  <c r="C865" i="13"/>
  <c r="C4787" i="13"/>
  <c r="C7177" i="13"/>
  <c r="C7353" i="13"/>
  <c r="C3237" i="13"/>
  <c r="C782" i="13"/>
  <c r="C2700" i="13"/>
  <c r="C8737" i="13"/>
  <c r="C8359" i="13"/>
  <c r="C2027" i="13"/>
  <c r="C187" i="13"/>
  <c r="C1330" i="13"/>
  <c r="C6861" i="13"/>
  <c r="C435" i="13"/>
  <c r="C145" i="13"/>
  <c r="C2729" i="13"/>
  <c r="C6991" i="13"/>
  <c r="C7540" i="13"/>
  <c r="C2570" i="13"/>
  <c r="C109" i="13"/>
  <c r="C2419" i="13"/>
  <c r="C2630" i="13"/>
  <c r="C7212" i="13"/>
  <c r="C9919" i="13"/>
  <c r="C9913" i="13"/>
  <c r="C4107" i="13"/>
  <c r="C76" i="13"/>
  <c r="C8968" i="13"/>
  <c r="C3934" i="13"/>
  <c r="C2882" i="13"/>
  <c r="C1207" i="13"/>
  <c r="C7774" i="13"/>
  <c r="C8089" i="13"/>
  <c r="C2748" i="13"/>
  <c r="C6084" i="13"/>
  <c r="C8487" i="13"/>
  <c r="C9595" i="13"/>
  <c r="C1662" i="13"/>
  <c r="C6412" i="13"/>
  <c r="C7161" i="13"/>
  <c r="C3288" i="13"/>
  <c r="C3855" i="13"/>
  <c r="C3078" i="13"/>
  <c r="C5092" i="13"/>
  <c r="C8349" i="13"/>
  <c r="C3416" i="13"/>
  <c r="C8082" i="13"/>
  <c r="C533" i="13"/>
  <c r="C5445" i="13"/>
  <c r="C1241" i="13"/>
  <c r="C1042" i="13"/>
  <c r="C7318" i="13"/>
  <c r="C4057" i="13"/>
  <c r="C6399" i="13"/>
  <c r="C4160" i="13"/>
  <c r="C3618" i="13"/>
  <c r="C1021" i="13"/>
  <c r="C1350" i="13"/>
  <c r="C635" i="13"/>
  <c r="C3963" i="13"/>
  <c r="C2247" i="13"/>
  <c r="C7417" i="13"/>
  <c r="C6996" i="13"/>
  <c r="C7748" i="13"/>
  <c r="C405" i="13"/>
  <c r="C1717" i="13"/>
  <c r="C2781" i="13"/>
  <c r="C2703" i="13"/>
  <c r="C6146" i="13"/>
  <c r="C701" i="13"/>
  <c r="C3383" i="13"/>
  <c r="C6043" i="13"/>
  <c r="C6794" i="13"/>
  <c r="C7806" i="13"/>
  <c r="C1233" i="13"/>
  <c r="C128" i="13"/>
  <c r="C2499" i="13"/>
  <c r="C2232" i="13"/>
  <c r="C6462" i="13"/>
  <c r="C1305" i="13"/>
  <c r="C1377" i="13"/>
  <c r="C8751" i="13"/>
  <c r="C7379" i="13"/>
  <c r="C8455" i="13"/>
  <c r="C4249" i="13"/>
  <c r="C1565" i="13"/>
  <c r="C1595" i="13"/>
  <c r="C513" i="13"/>
  <c r="C9468" i="13"/>
  <c r="C1598" i="13"/>
  <c r="C294" i="13"/>
  <c r="C2763" i="13"/>
  <c r="C7478" i="13"/>
  <c r="C7049" i="13"/>
  <c r="C2811" i="13"/>
  <c r="C3399" i="13"/>
  <c r="C2179" i="13"/>
  <c r="C2521" i="13"/>
  <c r="C6332" i="13"/>
  <c r="C4911" i="13"/>
  <c r="C4628" i="13"/>
  <c r="C3916" i="13"/>
  <c r="C9461" i="13"/>
  <c r="C2476" i="13"/>
  <c r="C2303" i="13"/>
  <c r="C1573" i="13"/>
  <c r="C1550" i="13"/>
  <c r="C5102" i="13"/>
  <c r="C7551" i="13"/>
  <c r="C3398" i="13"/>
  <c r="C5449" i="13"/>
  <c r="C6725" i="13"/>
  <c r="C6837" i="13"/>
  <c r="C4387" i="13"/>
  <c r="C1751" i="13"/>
  <c r="C6398" i="13"/>
  <c r="C9891" i="13"/>
  <c r="C9772" i="13"/>
  <c r="C3408" i="13"/>
  <c r="C5433" i="13"/>
  <c r="C8344" i="13"/>
  <c r="C9847" i="13"/>
  <c r="C4384" i="13"/>
  <c r="C2485" i="13"/>
  <c r="C141" i="13"/>
  <c r="C4165" i="13"/>
  <c r="C4407" i="13"/>
  <c r="C73" i="13"/>
  <c r="C2425" i="13"/>
  <c r="C8083" i="13"/>
  <c r="C7281" i="13"/>
  <c r="C9550" i="13"/>
  <c r="C1980" i="13"/>
  <c r="C4176" i="13"/>
  <c r="C483" i="13"/>
  <c r="C3470" i="13"/>
  <c r="C6025" i="13"/>
  <c r="C917" i="13"/>
  <c r="C8110" i="13"/>
  <c r="C8233" i="13"/>
  <c r="C7541" i="13"/>
  <c r="C9789" i="13"/>
  <c r="C2646" i="13"/>
  <c r="C4432" i="13"/>
  <c r="C1613" i="13"/>
  <c r="C841" i="13"/>
  <c r="C6281" i="13"/>
  <c r="C1453" i="13"/>
  <c r="C8078" i="13"/>
  <c r="C5606" i="13"/>
  <c r="C9622" i="13"/>
  <c r="C6719" i="13"/>
  <c r="C9043" i="13"/>
  <c r="C2933" i="13"/>
  <c r="C1830" i="13"/>
  <c r="C3816" i="13"/>
  <c r="C4506" i="13"/>
  <c r="C7538" i="13"/>
  <c r="C437" i="13"/>
  <c r="C2798" i="13"/>
  <c r="C6280" i="13"/>
  <c r="C5771" i="13"/>
  <c r="C1353" i="13"/>
  <c r="C1007" i="13"/>
  <c r="C2075" i="13"/>
  <c r="C1339" i="13"/>
  <c r="C6888" i="13"/>
  <c r="C553" i="13"/>
  <c r="C4211" i="13"/>
  <c r="C1944" i="13"/>
  <c r="C7820" i="13"/>
  <c r="C603" i="13"/>
  <c r="C1083" i="13"/>
  <c r="C21" i="13"/>
  <c r="C8825" i="13"/>
  <c r="C6657" i="13"/>
  <c r="C3352" i="13"/>
  <c r="C6831" i="13"/>
  <c r="C2889" i="13"/>
  <c r="C8172" i="13"/>
  <c r="C8124" i="13"/>
  <c r="C5305" i="13"/>
  <c r="C801" i="13"/>
  <c r="C3161" i="13"/>
  <c r="C107" i="13"/>
  <c r="C2087" i="13"/>
  <c r="C7319" i="13"/>
  <c r="C4999" i="13"/>
  <c r="C3922" i="13"/>
  <c r="C3473" i="13"/>
  <c r="C6350" i="13"/>
  <c r="C1403" i="13"/>
  <c r="C7808" i="13"/>
  <c r="C5805" i="13"/>
  <c r="C6093" i="13"/>
  <c r="C7174" i="13"/>
  <c r="C4129" i="13"/>
  <c r="C3394" i="13"/>
  <c r="C2100" i="13"/>
  <c r="C9061" i="13"/>
  <c r="C4750" i="13"/>
  <c r="C625" i="13"/>
  <c r="C9439" i="13"/>
  <c r="C1532" i="13"/>
  <c r="C4859" i="13"/>
  <c r="C5118" i="13"/>
  <c r="C2365" i="13"/>
  <c r="C17" i="13"/>
  <c r="C470" i="13"/>
  <c r="C5315" i="13"/>
  <c r="C7531" i="13"/>
  <c r="C892" i="13"/>
  <c r="C4709" i="13"/>
  <c r="C9376" i="13"/>
  <c r="C5423" i="13"/>
  <c r="C4545" i="13"/>
  <c r="C2340" i="13"/>
  <c r="C814" i="13"/>
  <c r="C4983" i="13"/>
  <c r="C6506" i="13"/>
  <c r="C2283" i="13"/>
  <c r="C1736" i="13"/>
  <c r="C213" i="13"/>
  <c r="C3299" i="13"/>
  <c r="C4747" i="13"/>
  <c r="C9947" i="13"/>
  <c r="C2596" i="13"/>
  <c r="C611" i="13"/>
  <c r="C5495" i="13"/>
  <c r="C5886" i="13"/>
  <c r="C3226" i="13"/>
  <c r="C1992" i="13"/>
  <c r="C509" i="13"/>
  <c r="C3555" i="13"/>
  <c r="C197" i="13"/>
  <c r="C8291" i="13"/>
  <c r="C7715" i="13"/>
  <c r="C2299" i="13"/>
  <c r="C2756" i="13"/>
  <c r="C2973" i="13"/>
  <c r="C8246" i="13"/>
  <c r="C9005" i="13"/>
  <c r="C8" i="10"/>
  <c r="C4578" i="13"/>
  <c r="C4413" i="13"/>
  <c r="C7372" i="13"/>
  <c r="C7207" i="13"/>
  <c r="C2939" i="13"/>
  <c r="C5573" i="13"/>
  <c r="C1710" i="13"/>
  <c r="C663" i="13"/>
  <c r="C7782" i="13"/>
  <c r="C1548" i="13"/>
  <c r="C6363" i="13"/>
  <c r="C6015" i="13"/>
  <c r="C2453" i="13"/>
  <c r="C2754" i="13"/>
  <c r="C573" i="13"/>
  <c r="C9391" i="13"/>
  <c r="C4765" i="13"/>
  <c r="C100" i="13"/>
  <c r="C8633" i="13"/>
  <c r="C6117" i="13"/>
  <c r="C7792" i="13"/>
  <c r="C2577" i="13"/>
  <c r="C7543" i="13"/>
  <c r="C16" i="13"/>
  <c r="C2874" i="13"/>
  <c r="C297" i="13"/>
  <c r="C9103" i="13"/>
  <c r="C7369" i="13"/>
  <c r="C3678" i="13"/>
  <c r="C6548" i="13"/>
  <c r="C3481" i="13"/>
  <c r="C3865" i="13"/>
  <c r="C183" i="13"/>
  <c r="C6699" i="13"/>
  <c r="C7910" i="13"/>
  <c r="C8310" i="13"/>
  <c r="C8207" i="13"/>
  <c r="C3175" i="13"/>
  <c r="C5555" i="13"/>
  <c r="C5592" i="13"/>
  <c r="C674" i="13"/>
  <c r="C7194" i="13"/>
  <c r="C2836" i="13"/>
  <c r="C8027" i="13"/>
  <c r="C4606" i="13"/>
  <c r="C6848" i="13"/>
  <c r="C6432" i="13"/>
  <c r="C3207" i="13"/>
  <c r="C272" i="13"/>
  <c r="C4482" i="13"/>
  <c r="C3016" i="13"/>
  <c r="C768" i="13"/>
  <c r="C209" i="13"/>
  <c r="C5244" i="13"/>
  <c r="C9852" i="13"/>
  <c r="C6491" i="13"/>
  <c r="C6779" i="13"/>
  <c r="C3463" i="13"/>
  <c r="C656" i="13"/>
  <c r="C3826" i="13"/>
  <c r="C3177" i="13"/>
  <c r="C1456" i="13"/>
  <c r="C2350" i="13"/>
  <c r="C765" i="13"/>
  <c r="C9303" i="13"/>
  <c r="C7070" i="13"/>
  <c r="C6445" i="13"/>
  <c r="C6637" i="13"/>
  <c r="C210" i="13"/>
  <c r="C189" i="13"/>
  <c r="C1454" i="13"/>
  <c r="C1684" i="13"/>
  <c r="C2406" i="13"/>
  <c r="C334" i="13"/>
  <c r="C5960" i="13"/>
  <c r="C2322" i="13"/>
  <c r="C9724" i="13"/>
  <c r="C5796" i="13"/>
  <c r="C2382" i="13"/>
  <c r="C6256" i="13"/>
  <c r="C2626" i="13"/>
  <c r="C623" i="13"/>
  <c r="C280" i="13"/>
  <c r="C4031" i="13"/>
  <c r="C2256" i="13"/>
  <c r="C7356" i="13"/>
  <c r="C839" i="13"/>
  <c r="C5001" i="13"/>
  <c r="C7349" i="13"/>
  <c r="C4199" i="13"/>
  <c r="C9735" i="13"/>
  <c r="C664" i="13"/>
  <c r="C5996" i="13"/>
  <c r="C7627" i="13"/>
  <c r="C4318" i="13"/>
  <c r="C1910" i="13"/>
  <c r="C9017" i="13"/>
  <c r="C5304" i="13"/>
  <c r="C7134" i="13"/>
  <c r="C4336" i="13"/>
  <c r="C3729" i="13"/>
  <c r="C8128" i="13"/>
  <c r="C9770" i="13"/>
  <c r="C2053" i="13"/>
  <c r="C8814" i="13"/>
  <c r="C4141" i="13"/>
  <c r="C4624" i="13"/>
  <c r="C1887" i="13"/>
  <c r="C1785" i="13"/>
  <c r="C8874" i="13"/>
  <c r="C8079" i="13"/>
  <c r="C274" i="13"/>
  <c r="C6952" i="13"/>
  <c r="C8936" i="13"/>
  <c r="C3681" i="13"/>
  <c r="C5612" i="13"/>
  <c r="C3119" i="13"/>
  <c r="C8152" i="13"/>
  <c r="C123" i="13"/>
  <c r="C6295" i="13"/>
  <c r="C6224" i="13"/>
  <c r="C876" i="13"/>
  <c r="C1718" i="13"/>
  <c r="C3126" i="13"/>
  <c r="C3700" i="13"/>
  <c r="C215" i="13"/>
  <c r="C2338" i="13"/>
  <c r="C1458" i="13"/>
  <c r="C1290" i="13"/>
  <c r="C5794" i="13"/>
  <c r="C4889" i="13"/>
  <c r="C5081" i="13"/>
  <c r="C300" i="13"/>
  <c r="C654" i="13"/>
  <c r="C2029" i="13"/>
  <c r="C427" i="13"/>
  <c r="C6383" i="13"/>
  <c r="C748" i="13"/>
  <c r="C3439" i="13"/>
  <c r="C4602" i="13"/>
  <c r="C6228" i="13"/>
  <c r="C4825" i="13"/>
  <c r="C173" i="13"/>
  <c r="C843" i="13"/>
  <c r="C818" i="13"/>
  <c r="C743" i="13"/>
  <c r="C6639" i="13"/>
  <c r="C1077" i="13"/>
  <c r="C3172" i="13"/>
  <c r="C2417" i="13"/>
  <c r="C439" i="13"/>
  <c r="C1900" i="13"/>
  <c r="C9259" i="13"/>
  <c r="C1342" i="13"/>
  <c r="C6080" i="13"/>
  <c r="C1819" i="13"/>
  <c r="C5486" i="13"/>
  <c r="C5263" i="13"/>
  <c r="C2157" i="13"/>
  <c r="C4675" i="13"/>
  <c r="C3477" i="13"/>
  <c r="C7668" i="13"/>
  <c r="C9494" i="13"/>
  <c r="C263" i="13"/>
  <c r="C3718" i="13"/>
  <c r="C2054" i="13"/>
  <c r="C257" i="13"/>
  <c r="C1213" i="13"/>
  <c r="C1375" i="13"/>
  <c r="C2399" i="13"/>
  <c r="C9633" i="13"/>
  <c r="C9210" i="13"/>
  <c r="C3290" i="13"/>
  <c r="C2456" i="13"/>
  <c r="C4132" i="13"/>
  <c r="C3743" i="13"/>
  <c r="C1902" i="13"/>
  <c r="C7135" i="13"/>
  <c r="C3996" i="13"/>
  <c r="C9844" i="13"/>
  <c r="C7130" i="13"/>
  <c r="C5601" i="13"/>
  <c r="C3594" i="13"/>
  <c r="C2698" i="13"/>
  <c r="C5558" i="13"/>
  <c r="C8366" i="13"/>
  <c r="C2837" i="13"/>
  <c r="C4915" i="13"/>
  <c r="C3810" i="13"/>
  <c r="C3834" i="13"/>
  <c r="C3313" i="13"/>
  <c r="C709" i="13"/>
  <c r="C1318" i="13"/>
  <c r="C3451" i="13"/>
  <c r="C722" i="13"/>
  <c r="C4491" i="13"/>
  <c r="C385" i="13"/>
  <c r="C211" i="13"/>
  <c r="C4670" i="13"/>
  <c r="C445" i="13"/>
  <c r="C8740" i="13"/>
  <c r="C5013" i="13"/>
  <c r="C1766" i="13"/>
  <c r="C4330" i="13"/>
  <c r="C8280" i="13"/>
  <c r="C2670" i="13"/>
  <c r="C8620" i="13"/>
  <c r="C4192" i="13"/>
  <c r="C3362" i="13"/>
  <c r="C5065" i="13"/>
  <c r="C3655" i="13"/>
  <c r="C7698" i="13"/>
  <c r="C229" i="13"/>
  <c r="C7610" i="13"/>
  <c r="C3021" i="13"/>
  <c r="C7908" i="13"/>
  <c r="C2832" i="13"/>
  <c r="C232" i="13"/>
  <c r="C1324" i="13"/>
  <c r="C5154" i="13"/>
  <c r="C5053" i="13"/>
  <c r="C2713" i="13"/>
  <c r="C3319" i="13"/>
  <c r="C3043" i="13"/>
  <c r="C8251" i="13"/>
  <c r="C2808" i="13"/>
  <c r="C9983" i="13"/>
  <c r="C3892" i="13"/>
  <c r="C1049" i="13"/>
  <c r="C7479" i="13"/>
  <c r="C4256" i="13"/>
  <c r="C3426" i="13"/>
  <c r="C4127" i="13"/>
  <c r="C9069" i="13"/>
  <c r="C4198" i="13"/>
  <c r="C4485" i="13"/>
  <c r="C1932" i="13"/>
  <c r="C190" i="13"/>
  <c r="C1915" i="13"/>
  <c r="C2925" i="13"/>
  <c r="C289" i="13"/>
  <c r="C1582" i="13"/>
  <c r="C802" i="13"/>
  <c r="C9294" i="13"/>
  <c r="C897" i="13"/>
  <c r="C878" i="13"/>
  <c r="C8013" i="13"/>
  <c r="C2909" i="13"/>
  <c r="C6487" i="13"/>
  <c r="C529" i="13"/>
  <c r="C2846" i="13"/>
  <c r="C877" i="13"/>
  <c r="C7611" i="13"/>
  <c r="C1467" i="13"/>
  <c r="C7222" i="13"/>
  <c r="C2492" i="13"/>
  <c r="C8454" i="13"/>
  <c r="C3475" i="13"/>
  <c r="C3083" i="13"/>
  <c r="C2534" i="13"/>
  <c r="C8632" i="13"/>
  <c r="C1556" i="13"/>
  <c r="C1767" i="13"/>
  <c r="C7582" i="13"/>
  <c r="C5869" i="13"/>
  <c r="C1820" i="13"/>
  <c r="C1229" i="13"/>
  <c r="C2913" i="13"/>
  <c r="C6416" i="13"/>
  <c r="C9996" i="13"/>
  <c r="C1852" i="13"/>
  <c r="C848" i="13"/>
  <c r="C3310" i="13"/>
  <c r="C2170" i="13"/>
  <c r="C9525" i="13"/>
  <c r="C2108" i="13"/>
  <c r="C1585" i="13"/>
  <c r="C3134" i="13"/>
  <c r="C1035" i="13"/>
  <c r="C2337" i="13"/>
  <c r="C8879" i="13"/>
  <c r="C4658" i="13"/>
  <c r="C8882" i="13"/>
  <c r="C3182" i="13"/>
  <c r="C4856" i="13"/>
  <c r="C7797" i="13"/>
  <c r="C1331" i="13"/>
  <c r="C3924" i="13"/>
  <c r="C5920" i="13"/>
  <c r="C5377" i="13"/>
  <c r="C9962" i="13"/>
  <c r="C2744" i="13"/>
  <c r="C6031" i="13"/>
  <c r="C7262" i="13"/>
  <c r="C3218" i="13"/>
  <c r="C7034" i="13"/>
  <c r="C8599" i="13"/>
  <c r="C5487" i="13"/>
  <c r="C9708" i="13"/>
  <c r="C1822" i="13"/>
  <c r="C2436" i="13"/>
  <c r="C1787" i="13"/>
  <c r="C3910" i="13"/>
  <c r="C1546" i="13"/>
  <c r="C8232" i="13"/>
  <c r="C3482" i="13"/>
  <c r="C9936" i="13"/>
  <c r="C1072" i="13"/>
  <c r="C2587" i="13"/>
  <c r="C1080" i="13"/>
  <c r="C7067" i="13"/>
  <c r="C3024" i="13"/>
  <c r="C1470" i="13"/>
  <c r="C3591" i="13"/>
  <c r="C905" i="13"/>
  <c r="C521" i="13"/>
  <c r="C5137" i="13"/>
  <c r="C149" i="13"/>
  <c r="C5380" i="13"/>
  <c r="C7164" i="13"/>
  <c r="C8858" i="13"/>
  <c r="C3564" i="13"/>
  <c r="C4362" i="13"/>
  <c r="C3318" i="13"/>
  <c r="C223" i="13"/>
  <c r="C8285" i="13"/>
  <c r="C6007" i="13"/>
  <c r="C9466" i="13"/>
  <c r="C292" i="13"/>
  <c r="C8593" i="13"/>
  <c r="C4070" i="13"/>
  <c r="C2595" i="13"/>
  <c r="C7181" i="13"/>
  <c r="C2194" i="13"/>
  <c r="C6034" i="13"/>
  <c r="C903" i="13"/>
  <c r="C454" i="13"/>
  <c r="C53" i="13"/>
  <c r="C8566" i="13"/>
  <c r="C724" i="13"/>
  <c r="C3446" i="13"/>
  <c r="C3853" i="13"/>
  <c r="C1046" i="13"/>
  <c r="C231" i="13"/>
  <c r="C9030" i="13"/>
  <c r="C9319" i="13"/>
  <c r="C400" i="13"/>
  <c r="C3028" i="13"/>
  <c r="C5782" i="13"/>
  <c r="C730" i="13"/>
  <c r="C5903" i="13"/>
  <c r="C6512" i="13"/>
  <c r="C4767" i="13"/>
  <c r="C3076" i="13"/>
  <c r="C1126" i="13"/>
  <c r="C725" i="13"/>
  <c r="C6717" i="13"/>
  <c r="C4065" i="13"/>
  <c r="C7659" i="13"/>
  <c r="C284" i="13"/>
  <c r="C8099" i="13"/>
  <c r="C8044" i="13"/>
  <c r="C7888" i="13"/>
  <c r="C4867" i="13"/>
  <c r="C5462" i="13"/>
  <c r="C9148" i="13"/>
  <c r="C3193" i="13"/>
  <c r="C5141" i="13"/>
  <c r="C1162" i="13"/>
  <c r="C8054" i="13"/>
  <c r="C184" i="13"/>
  <c r="C314" i="13"/>
  <c r="C317" i="13"/>
  <c r="C5790" i="13"/>
  <c r="C4616" i="13"/>
  <c r="C8525" i="13"/>
  <c r="C2755" i="13"/>
  <c r="C9893" i="13"/>
  <c r="C4240" i="13"/>
  <c r="C5177" i="13"/>
  <c r="C511" i="13"/>
  <c r="C3323" i="13"/>
  <c r="C8839" i="13"/>
  <c r="C4286" i="13"/>
  <c r="C9085" i="13"/>
  <c r="C7969" i="13"/>
  <c r="C2198" i="13"/>
  <c r="C7488" i="13"/>
  <c r="C6520" i="13"/>
  <c r="C5990" i="13"/>
  <c r="C971" i="13"/>
  <c r="C9824" i="13"/>
  <c r="C1264" i="13"/>
  <c r="C4404" i="13"/>
  <c r="C5662" i="13"/>
  <c r="C1094" i="13"/>
  <c r="C1480" i="13"/>
  <c r="C2035" i="13"/>
  <c r="C4730" i="13"/>
  <c r="C1276" i="13"/>
  <c r="C2408" i="13"/>
  <c r="C1174" i="13"/>
  <c r="C1502" i="13"/>
  <c r="C30" i="13"/>
  <c r="C927" i="13"/>
  <c r="C7442" i="13"/>
  <c r="C5054" i="13"/>
  <c r="C7226" i="13"/>
  <c r="C6918" i="13"/>
  <c r="C1628" i="13"/>
  <c r="C4546" i="13"/>
  <c r="C1239" i="13"/>
  <c r="C1782" i="13"/>
  <c r="C4940" i="13"/>
  <c r="C6811" i="13"/>
  <c r="C3355" i="13"/>
  <c r="C2735" i="13"/>
  <c r="C7881" i="13"/>
  <c r="C219" i="13"/>
  <c r="C4307" i="13"/>
  <c r="C1829" i="13"/>
  <c r="C8397" i="13"/>
  <c r="C4910" i="13"/>
  <c r="C1629" i="13"/>
  <c r="C4207" i="13"/>
  <c r="C4214" i="13"/>
  <c r="C8720" i="13"/>
  <c r="C332" i="13"/>
  <c r="C1893" i="13"/>
  <c r="C3739" i="13"/>
  <c r="C2246" i="13"/>
  <c r="C1202" i="13"/>
  <c r="C4851" i="13"/>
  <c r="C1831" i="13"/>
  <c r="C3217" i="13"/>
  <c r="C4511" i="13"/>
  <c r="C3553" i="13"/>
  <c r="C794" i="13"/>
  <c r="C6769" i="13"/>
  <c r="C1412" i="13"/>
  <c r="C8450" i="13"/>
  <c r="C422" i="13"/>
  <c r="C7038" i="13"/>
  <c r="C2065" i="13"/>
  <c r="C4587" i="13"/>
  <c r="C1514" i="13"/>
  <c r="C1762" i="13"/>
  <c r="C3832" i="13"/>
  <c r="C2538" i="13"/>
  <c r="C4692" i="13"/>
  <c r="C3560" i="13"/>
  <c r="C4903" i="13"/>
  <c r="C9621" i="13"/>
  <c r="C1605" i="13"/>
  <c r="C6152" i="13"/>
  <c r="C6092" i="13"/>
  <c r="C7291" i="13"/>
  <c r="C2824" i="13"/>
  <c r="C7419" i="13"/>
  <c r="C2543" i="13"/>
  <c r="C9227" i="13"/>
  <c r="C2887" i="13"/>
  <c r="C6878" i="13"/>
  <c r="C1929" i="13"/>
  <c r="C3837" i="13"/>
  <c r="C9756" i="13"/>
  <c r="C7355" i="13"/>
  <c r="C6165" i="13"/>
  <c r="C5404" i="13"/>
  <c r="C7536" i="13"/>
  <c r="C181" i="13"/>
  <c r="C6155" i="13"/>
  <c r="C269" i="13"/>
  <c r="C7964" i="13"/>
  <c r="C1801" i="13"/>
  <c r="C432" i="13"/>
  <c r="C579" i="13"/>
  <c r="C3305" i="13"/>
  <c r="C5884" i="13"/>
  <c r="C6599" i="13"/>
  <c r="C6377" i="13"/>
  <c r="C6865" i="13"/>
  <c r="C2464" i="13"/>
  <c r="C7494" i="13"/>
  <c r="C9111" i="13"/>
  <c r="C4243" i="13"/>
  <c r="C3982" i="13"/>
  <c r="C3822" i="13"/>
  <c r="C9671" i="13"/>
  <c r="C2111" i="13"/>
  <c r="C6697" i="13"/>
  <c r="C5740" i="13"/>
  <c r="C4623" i="13"/>
  <c r="C1024" i="13"/>
  <c r="C96" i="13"/>
  <c r="C583" i="13"/>
  <c r="C7221" i="13"/>
  <c r="C2222" i="13"/>
  <c r="C4501" i="13"/>
  <c r="C886" i="13"/>
  <c r="C9552" i="13"/>
  <c r="C5977" i="13"/>
  <c r="C8041" i="13"/>
  <c r="C7955" i="13"/>
  <c r="C7310" i="13"/>
  <c r="C6771" i="13"/>
  <c r="C9" i="13"/>
  <c r="C8838" i="13"/>
  <c r="C9138" i="13"/>
  <c r="C5504" i="13"/>
  <c r="C5352" i="13"/>
  <c r="C7624" i="13"/>
  <c r="C6394" i="13"/>
  <c r="C5075" i="13"/>
  <c r="C6812" i="13"/>
  <c r="C8204" i="13"/>
  <c r="C6549" i="13"/>
  <c r="C7490" i="13"/>
  <c r="C486" i="13"/>
  <c r="C7971" i="13"/>
  <c r="C7224" i="13"/>
  <c r="C4973" i="13"/>
  <c r="C6750" i="13"/>
  <c r="C2736" i="13"/>
  <c r="C239" i="13"/>
  <c r="C5339" i="13"/>
  <c r="C4324" i="13"/>
  <c r="C5254" i="13"/>
  <c r="C9441" i="13"/>
  <c r="C9326" i="13"/>
  <c r="C5748" i="13"/>
  <c r="C9447" i="13"/>
  <c r="C5005" i="13"/>
  <c r="C5205" i="13"/>
  <c r="C5998" i="13"/>
  <c r="C5799" i="13"/>
  <c r="C994" i="13"/>
  <c r="C1472" i="13"/>
  <c r="C7263" i="13"/>
  <c r="C5111" i="13"/>
  <c r="C250" i="13"/>
  <c r="C845" i="13"/>
  <c r="C8452" i="13"/>
  <c r="C1189" i="13"/>
  <c r="C7819" i="13"/>
  <c r="C7663" i="13"/>
  <c r="C2552" i="13"/>
  <c r="C3066" i="13"/>
  <c r="C2533" i="13"/>
  <c r="C5375" i="13"/>
  <c r="C2545" i="13"/>
  <c r="C9250" i="13"/>
  <c r="C9124" i="13"/>
  <c r="C6008" i="13"/>
  <c r="C2522" i="13"/>
  <c r="C8074" i="13"/>
  <c r="C4393" i="13"/>
  <c r="C2597" i="13"/>
  <c r="C9545" i="13"/>
  <c r="C6892" i="13"/>
  <c r="C7024" i="13"/>
  <c r="C4426" i="13"/>
  <c r="C4571" i="13"/>
  <c r="C4355" i="13"/>
  <c r="C5715" i="13"/>
  <c r="C7001" i="13"/>
  <c r="C244" i="13"/>
  <c r="C5545" i="13"/>
  <c r="C9449" i="13"/>
  <c r="C2162" i="13"/>
  <c r="C7012" i="13"/>
  <c r="C7288" i="13"/>
  <c r="C4195" i="13"/>
  <c r="C74" i="13"/>
  <c r="C4504" i="13"/>
  <c r="C8433" i="13"/>
  <c r="C7675" i="13"/>
  <c r="C4566" i="13"/>
  <c r="C25" i="13"/>
  <c r="C6845" i="13"/>
  <c r="C1027" i="13"/>
  <c r="C2778" i="13"/>
  <c r="C708" i="13"/>
  <c r="C9510" i="13"/>
  <c r="C4244" i="13"/>
  <c r="C2393" i="13"/>
  <c r="C4332" i="13"/>
  <c r="C5611" i="13"/>
  <c r="C8589" i="13"/>
  <c r="C1985" i="13"/>
  <c r="C1570" i="13"/>
  <c r="C9858" i="13"/>
  <c r="C7383" i="13"/>
  <c r="C1846" i="13"/>
  <c r="C7428" i="13"/>
  <c r="C8798" i="13"/>
  <c r="C6974" i="13"/>
  <c r="C3464" i="13"/>
  <c r="C1111" i="13"/>
  <c r="C2551" i="13"/>
  <c r="C5905" i="13"/>
  <c r="C3063" i="13"/>
  <c r="C966" i="13"/>
  <c r="C8212" i="13"/>
  <c r="C5030" i="13"/>
  <c r="C3536" i="13"/>
  <c r="C7295" i="13"/>
  <c r="C8175" i="13"/>
  <c r="C2174" i="13"/>
  <c r="C3333" i="13"/>
  <c r="C9489" i="13"/>
  <c r="C5096" i="13"/>
  <c r="C6053" i="13"/>
  <c r="C6924" i="13"/>
  <c r="C6336" i="13"/>
  <c r="C8504" i="13"/>
  <c r="C9243" i="13"/>
  <c r="C5365" i="13"/>
  <c r="C4832" i="13"/>
  <c r="C2441" i="13"/>
  <c r="C2770" i="13"/>
  <c r="C6971" i="13"/>
  <c r="C6033" i="13"/>
  <c r="C9696" i="13"/>
  <c r="C5440" i="13"/>
  <c r="C4978" i="13"/>
  <c r="C6857" i="13"/>
  <c r="C9129" i="13"/>
  <c r="C9953" i="13"/>
  <c r="C6441" i="13"/>
  <c r="C3521" i="13"/>
  <c r="C6362" i="13"/>
  <c r="C2272" i="13"/>
  <c r="C2468" i="13"/>
  <c r="C1643" i="13"/>
  <c r="C6869" i="13"/>
  <c r="C3265" i="13"/>
  <c r="C6106" i="13"/>
  <c r="C3031" i="13"/>
  <c r="C8876" i="13"/>
  <c r="C2030" i="13"/>
  <c r="C8909" i="13"/>
  <c r="C2314" i="13"/>
  <c r="C4162" i="13"/>
  <c r="C8853" i="13"/>
  <c r="C9403" i="13"/>
  <c r="C7803" i="13"/>
  <c r="C2615" i="13"/>
  <c r="C2867" i="13"/>
  <c r="C6208" i="13"/>
  <c r="C8734" i="13"/>
  <c r="C2742" i="13"/>
  <c r="C8990" i="13"/>
  <c r="C7265" i="13"/>
  <c r="C2234" i="13"/>
  <c r="C3545" i="13"/>
  <c r="C4372" i="13"/>
  <c r="C6061" i="13"/>
  <c r="C2107" i="13"/>
  <c r="C5785" i="13"/>
  <c r="C4622" i="13"/>
  <c r="C6631" i="13"/>
  <c r="C4575" i="13"/>
  <c r="C2064" i="13"/>
  <c r="C5362" i="13"/>
  <c r="C7470" i="13"/>
  <c r="C5095" i="13"/>
  <c r="C8812" i="13"/>
  <c r="C9499" i="13"/>
  <c r="C7608" i="13"/>
  <c r="C4901" i="13"/>
  <c r="C6158" i="13"/>
  <c r="C296" i="13"/>
  <c r="C2614" i="13"/>
  <c r="C1076" i="13"/>
  <c r="C2974" i="13"/>
  <c r="C3620" i="13"/>
  <c r="C5453" i="13"/>
  <c r="C9970" i="13"/>
  <c r="C609" i="13"/>
  <c r="C9206" i="13"/>
  <c r="C9045" i="13"/>
  <c r="C5553" i="13"/>
  <c r="C3819" i="13"/>
  <c r="C1953" i="13"/>
  <c r="C3388" i="13"/>
  <c r="C3001" i="13"/>
  <c r="C4038" i="13"/>
  <c r="C5190" i="13"/>
  <c r="C8613" i="13"/>
  <c r="C6051" i="13"/>
  <c r="C6999" i="13"/>
  <c r="C3751" i="13"/>
  <c r="C4711" i="13"/>
  <c r="C997" i="13"/>
  <c r="C1500" i="13"/>
  <c r="C2313" i="13"/>
  <c r="C2985" i="13"/>
  <c r="C9358" i="13"/>
  <c r="C6969" i="13"/>
  <c r="C1571" i="13"/>
  <c r="C6880" i="13"/>
  <c r="C4103" i="13"/>
  <c r="C4159" i="13"/>
  <c r="C2715" i="13"/>
  <c r="C1293" i="13"/>
  <c r="C1380" i="13"/>
  <c r="C3686" i="13"/>
  <c r="C9712" i="13"/>
  <c r="C4821" i="13"/>
  <c r="C7954" i="13"/>
  <c r="C5454" i="13"/>
  <c r="C5097" i="13"/>
  <c r="C8869" i="13"/>
  <c r="C9906" i="13"/>
  <c r="C8256" i="13"/>
  <c r="C5430" i="13"/>
  <c r="C4561" i="13"/>
  <c r="C1370" i="13"/>
  <c r="C8136" i="13"/>
  <c r="C3977" i="13"/>
  <c r="C9900" i="13"/>
  <c r="C807" i="13"/>
  <c r="C6979" i="13"/>
  <c r="C8330" i="13"/>
  <c r="C9959" i="13"/>
  <c r="C6168" i="13"/>
  <c r="C6528" i="13"/>
  <c r="C4892" i="13"/>
  <c r="C4629" i="13"/>
  <c r="C7453" i="13"/>
  <c r="C1214" i="13"/>
  <c r="C4843" i="13"/>
  <c r="C3988" i="13"/>
  <c r="C7922" i="13"/>
  <c r="C5951" i="13"/>
  <c r="C9950" i="13"/>
  <c r="C2482" i="13"/>
  <c r="C9237" i="13"/>
  <c r="C3181" i="13"/>
  <c r="C4412" i="13"/>
  <c r="C7645" i="13"/>
  <c r="C6064" i="13"/>
  <c r="C6644" i="13"/>
  <c r="C7338" i="13"/>
  <c r="C3587" i="13"/>
  <c r="C7420" i="13"/>
  <c r="C8370" i="13"/>
  <c r="C4333" i="13"/>
  <c r="C5923" i="13"/>
  <c r="C7804" i="13"/>
  <c r="C7905" i="13"/>
  <c r="C5146" i="13"/>
  <c r="C3839" i="13"/>
  <c r="C7185" i="13"/>
  <c r="C6874" i="13"/>
  <c r="C8666" i="13"/>
  <c r="C9931" i="13"/>
  <c r="C2765" i="13"/>
  <c r="C4732" i="13"/>
  <c r="C4651" i="13"/>
  <c r="C7917" i="13"/>
  <c r="C4703" i="13"/>
  <c r="C1038" i="13"/>
  <c r="C9437" i="13"/>
  <c r="C8303" i="13"/>
  <c r="C9529" i="13"/>
  <c r="C6066" i="13"/>
  <c r="C9580" i="13"/>
  <c r="C6903" i="13"/>
  <c r="C8053" i="13"/>
  <c r="C3551" i="13"/>
  <c r="C5295" i="13"/>
  <c r="C3485" i="13"/>
  <c r="C5399" i="13"/>
  <c r="C2581" i="13"/>
  <c r="C7587" i="13"/>
  <c r="C3295" i="13"/>
  <c r="C4481" i="13"/>
  <c r="C3068" i="13"/>
  <c r="C5622" i="13"/>
  <c r="C1542" i="13"/>
  <c r="C4697" i="13"/>
  <c r="C759" i="13"/>
  <c r="C8660" i="13"/>
  <c r="C6517" i="13"/>
  <c r="C3296" i="13"/>
  <c r="C6474" i="13"/>
  <c r="C9379" i="13"/>
  <c r="C1686" i="13"/>
  <c r="C4036" i="13"/>
  <c r="C6622" i="13"/>
  <c r="C3298" i="13"/>
  <c r="C4178" i="13"/>
  <c r="C6161" i="13"/>
  <c r="C6361" i="13"/>
  <c r="C5306" i="13"/>
  <c r="C7750" i="13"/>
  <c r="C1730" i="13"/>
  <c r="C5197" i="13"/>
  <c r="C7914" i="13"/>
  <c r="C4963" i="13"/>
  <c r="C5268" i="13"/>
  <c r="C1533" i="13"/>
  <c r="C5589" i="13"/>
  <c r="C4352" i="13"/>
  <c r="C6140" i="13"/>
  <c r="C3480" i="13"/>
  <c r="C6870" i="13"/>
  <c r="C3432" i="13"/>
  <c r="C2795" i="13"/>
  <c r="C1899" i="13"/>
  <c r="C5320" i="13"/>
  <c r="C2204" i="13"/>
  <c r="C7195" i="13"/>
  <c r="C4663" i="13"/>
  <c r="C1821" i="13"/>
  <c r="C4237" i="13"/>
  <c r="C5350" i="13"/>
  <c r="C8693" i="13"/>
  <c r="C1301" i="13"/>
  <c r="C9880" i="13"/>
  <c r="C8326" i="13"/>
  <c r="C4668" i="13"/>
  <c r="C1601" i="13"/>
  <c r="C7036" i="13"/>
  <c r="C3749" i="13"/>
  <c r="C9792" i="13"/>
  <c r="C2137" i="13"/>
  <c r="C3171" i="13"/>
  <c r="C7320" i="13"/>
  <c r="C4305" i="13"/>
  <c r="C4471" i="13"/>
  <c r="C9693" i="13"/>
  <c r="C3329" i="13"/>
  <c r="C6457" i="13"/>
  <c r="C1518" i="13"/>
  <c r="C2377" i="13"/>
  <c r="C6254" i="13"/>
  <c r="C4012" i="13"/>
  <c r="C4448" i="13"/>
  <c r="C6153" i="13"/>
  <c r="C7915" i="13"/>
  <c r="C6986" i="13"/>
  <c r="C221" i="13"/>
  <c r="C974" i="13"/>
  <c r="C1185" i="13"/>
  <c r="C4936" i="13"/>
  <c r="C7385" i="13"/>
  <c r="C8094" i="13"/>
  <c r="C8139" i="13"/>
  <c r="C5629" i="13"/>
  <c r="C2661" i="13"/>
  <c r="C5859" i="13"/>
  <c r="C1222" i="13"/>
  <c r="C4161" i="13"/>
  <c r="C438" i="13"/>
  <c r="C5450" i="13"/>
  <c r="C4674" i="13"/>
  <c r="C7202" i="13"/>
  <c r="C1128" i="13"/>
  <c r="C4544" i="13"/>
  <c r="C6797" i="13"/>
  <c r="C270" i="13"/>
  <c r="C5582" i="13"/>
  <c r="C6467" i="13"/>
  <c r="C4992" i="13"/>
  <c r="C9556" i="13"/>
  <c r="C3219" i="13"/>
  <c r="C8810" i="13"/>
  <c r="C1667" i="13"/>
  <c r="C8771" i="13"/>
  <c r="C6690" i="13"/>
  <c r="C9958" i="13"/>
  <c r="C3973" i="13"/>
  <c r="C8646" i="13"/>
  <c r="C6016" i="13"/>
  <c r="C8000" i="13"/>
  <c r="C8263" i="13"/>
  <c r="C8495" i="13"/>
  <c r="C5870" i="13"/>
  <c r="C8598" i="13"/>
  <c r="C7273" i="13"/>
  <c r="C3925" i="13"/>
  <c r="C2893" i="13"/>
  <c r="C4510" i="13"/>
  <c r="C8190" i="13"/>
  <c r="C7607" i="13"/>
  <c r="C9966" i="13"/>
  <c r="C3669" i="13"/>
  <c r="C2637" i="13"/>
  <c r="C5187" i="13"/>
  <c r="C8115" i="13"/>
  <c r="C7880" i="13"/>
  <c r="C456" i="13"/>
  <c r="C7980" i="13"/>
  <c r="C416" i="13"/>
  <c r="C6554" i="13"/>
  <c r="C1352" i="13"/>
  <c r="C1827" i="13"/>
  <c r="C1117" i="13"/>
  <c r="C6916" i="13"/>
  <c r="C5774" i="13"/>
  <c r="C4009" i="13"/>
  <c r="C7674" i="13"/>
  <c r="C1807" i="13"/>
  <c r="C4993" i="13"/>
  <c r="C8407" i="13"/>
  <c r="C8122" i="13"/>
  <c r="C3937" i="13"/>
  <c r="C3770" i="13"/>
  <c r="C4423" i="13"/>
  <c r="C5297" i="13"/>
  <c r="C4695" i="13"/>
  <c r="C2355" i="13"/>
  <c r="C5022" i="13"/>
  <c r="C8907" i="13"/>
  <c r="C324" i="13"/>
  <c r="C6737" i="13"/>
  <c r="C7272" i="13"/>
  <c r="C712" i="13"/>
  <c r="C8778" i="13"/>
  <c r="C7525" i="13"/>
  <c r="C6176" i="13"/>
  <c r="C4509" i="13"/>
  <c r="C7760" i="13"/>
  <c r="C4416" i="13"/>
  <c r="C5155" i="13"/>
  <c r="C671" i="13"/>
  <c r="C489" i="13"/>
  <c r="C4469" i="13"/>
  <c r="C6568" i="13"/>
  <c r="C4705" i="13"/>
  <c r="C8389" i="13"/>
  <c r="C7639" i="13"/>
  <c r="C4221" i="13"/>
  <c r="C8476" i="13"/>
  <c r="C718" i="13"/>
  <c r="C690" i="13"/>
  <c r="C555" i="13"/>
  <c r="C7076" i="13"/>
  <c r="C6375" i="13"/>
  <c r="C863" i="13"/>
  <c r="C3400" i="13"/>
  <c r="C7187" i="13"/>
  <c r="C9475" i="13"/>
  <c r="C2004" i="13"/>
  <c r="C162" i="13"/>
  <c r="C3469" i="13"/>
  <c r="C2046" i="13"/>
  <c r="C492" i="13"/>
  <c r="C4980" i="13"/>
  <c r="C7426" i="13"/>
  <c r="C8549" i="13"/>
  <c r="C3419" i="13"/>
  <c r="C5390" i="13"/>
  <c r="C6436" i="13"/>
  <c r="C152" i="13"/>
  <c r="C1814" i="13"/>
  <c r="C8163" i="13"/>
  <c r="C4428" i="13"/>
  <c r="C9356" i="13"/>
  <c r="C6749" i="13"/>
  <c r="C5682" i="13"/>
  <c r="C7192" i="13"/>
  <c r="C9952" i="13"/>
  <c r="C3346" i="13"/>
  <c r="C5077" i="13"/>
  <c r="C8569" i="13"/>
  <c r="C3802" i="13"/>
  <c r="C5185" i="13"/>
  <c r="C3337" i="13"/>
  <c r="C4685" i="13"/>
  <c r="C7286" i="13"/>
  <c r="C1631" i="13"/>
  <c r="C9092" i="13"/>
  <c r="C1962" i="13"/>
  <c r="C8736" i="13"/>
  <c r="C8764" i="13"/>
  <c r="C2122" i="13"/>
  <c r="C6304" i="13"/>
  <c r="C5928" i="13"/>
  <c r="C9816" i="13"/>
  <c r="C2848" i="13"/>
  <c r="C962" i="13"/>
  <c r="C8697" i="13"/>
  <c r="C5032" i="13"/>
  <c r="C8492" i="13"/>
  <c r="C1338" i="13"/>
  <c r="C5386" i="13"/>
  <c r="C6841" i="13"/>
  <c r="C4637" i="13"/>
  <c r="C6881" i="13"/>
  <c r="C2062" i="13"/>
  <c r="C8321" i="13"/>
  <c r="C5326" i="13"/>
  <c r="C9646" i="13"/>
  <c r="C8963" i="13"/>
  <c r="C6563" i="13"/>
  <c r="C6227" i="13"/>
  <c r="C520" i="13"/>
  <c r="C7158" i="13"/>
  <c r="C4280" i="13"/>
  <c r="C7077" i="13"/>
  <c r="C606" i="13"/>
  <c r="C9232" i="13"/>
  <c r="C9402" i="13"/>
  <c r="C5056" i="13"/>
  <c r="C243" i="13"/>
  <c r="C8279" i="13"/>
  <c r="C9056" i="13"/>
  <c r="C7966" i="13"/>
  <c r="C9729" i="13"/>
  <c r="C5051" i="13"/>
  <c r="C4788" i="13"/>
  <c r="C5694" i="13"/>
  <c r="C8159" i="13"/>
  <c r="C8447" i="13"/>
  <c r="C6325" i="13"/>
  <c r="C9674" i="13"/>
  <c r="C202" i="13"/>
  <c r="C5684" i="13"/>
  <c r="C8134" i="13"/>
  <c r="C8422" i="13"/>
  <c r="C5813" i="13"/>
  <c r="C9508" i="13"/>
  <c r="C2697" i="13"/>
  <c r="C6102" i="13"/>
  <c r="C6006" i="13"/>
  <c r="C4429" i="13"/>
  <c r="C5479" i="13"/>
  <c r="C4931" i="13"/>
  <c r="C4367" i="13"/>
  <c r="C6754" i="13"/>
  <c r="C4459" i="13"/>
  <c r="C7267" i="13"/>
  <c r="C8813" i="13"/>
  <c r="C2662" i="13"/>
  <c r="C5490" i="13"/>
  <c r="C7415" i="13"/>
  <c r="C1265" i="13"/>
  <c r="C9458" i="13"/>
  <c r="C8026" i="13"/>
  <c r="C4351" i="13"/>
  <c r="C5233" i="13"/>
  <c r="C9317" i="13"/>
  <c r="C8288" i="13"/>
  <c r="C8432" i="13"/>
  <c r="C6947" i="13"/>
  <c r="C4220" i="13"/>
  <c r="C1764" i="13"/>
  <c r="C9535" i="13"/>
  <c r="C4376" i="13"/>
  <c r="C4576" i="13"/>
  <c r="C9586" i="13"/>
  <c r="C8336" i="13"/>
  <c r="C6285" i="13"/>
  <c r="C1043" i="13"/>
  <c r="C6566" i="13"/>
  <c r="C9135" i="13"/>
  <c r="C575" i="13"/>
  <c r="C2117" i="13"/>
  <c r="C2766" i="13"/>
  <c r="C5591" i="13"/>
  <c r="C3059" i="13"/>
  <c r="C2512" i="13"/>
  <c r="C6085" i="13"/>
  <c r="C8604" i="13"/>
  <c r="C8150" i="13"/>
  <c r="C4551" i="13"/>
  <c r="C6671" i="13"/>
  <c r="C4626" i="13"/>
  <c r="C7182" i="13"/>
  <c r="C3448" i="13"/>
  <c r="C9395" i="13"/>
  <c r="C8966" i="13"/>
  <c r="C2011" i="13"/>
  <c r="C8614" i="13"/>
  <c r="C7395" i="13"/>
  <c r="C8961" i="13"/>
  <c r="C1566" i="13"/>
  <c r="C5039" i="13"/>
  <c r="C3586" i="13"/>
  <c r="C9312" i="13"/>
  <c r="C3877" i="13"/>
  <c r="C3156" i="13"/>
  <c r="C7462" i="13"/>
  <c r="C3535" i="13"/>
  <c r="C8817" i="13"/>
  <c r="C2962" i="13"/>
  <c r="C6585" i="13"/>
  <c r="C5277" i="13"/>
  <c r="C1149" i="13"/>
  <c r="C6119" i="13"/>
  <c r="C1120" i="13"/>
  <c r="C5448" i="13"/>
  <c r="C8574" i="13"/>
  <c r="C1361" i="13"/>
  <c r="C5531" i="13"/>
  <c r="C7526" i="13"/>
  <c r="C8789" i="13"/>
  <c r="C2567" i="13"/>
  <c r="C7574" i="13"/>
  <c r="C3665" i="13"/>
  <c r="C4540" i="13"/>
  <c r="C5543" i="13"/>
  <c r="C4971" i="13"/>
  <c r="C995" i="13"/>
  <c r="C4136" i="13"/>
  <c r="C2514" i="13"/>
  <c r="C6926" i="13"/>
  <c r="C5072" i="13"/>
  <c r="C5902" i="13"/>
  <c r="C6987" i="13"/>
  <c r="C570" i="13"/>
  <c r="C7450" i="13"/>
  <c r="C7545" i="13"/>
  <c r="C7726" i="13"/>
  <c r="C3000" i="13"/>
  <c r="C6890" i="13"/>
  <c r="C2673" i="13"/>
  <c r="C7528" i="13"/>
  <c r="C7678" i="13"/>
  <c r="C8689" i="13"/>
  <c r="C2794" i="13"/>
  <c r="C6663" i="13"/>
  <c r="C6807" i="13"/>
  <c r="C9118" i="13"/>
  <c r="C5120" i="13"/>
  <c r="C247" i="13"/>
  <c r="C5042" i="13"/>
  <c r="C6407" i="13"/>
  <c r="C6551" i="13"/>
  <c r="C8428" i="13"/>
  <c r="C6108" i="13"/>
  <c r="C3894" i="13"/>
  <c r="C3232" i="13"/>
  <c r="C3869" i="13"/>
  <c r="C8663" i="13"/>
  <c r="C9420" i="13"/>
  <c r="C6018" i="13"/>
  <c r="C3005" i="13"/>
  <c r="C7614" i="13"/>
  <c r="C3540" i="13"/>
  <c r="C6630" i="13"/>
  <c r="C904" i="13"/>
  <c r="C6590" i="13"/>
  <c r="C4128" i="13"/>
  <c r="C5529" i="13"/>
  <c r="C2611" i="13"/>
  <c r="C5226" i="13"/>
  <c r="C8899" i="13"/>
  <c r="C1748" i="13"/>
  <c r="C5569" i="13"/>
  <c r="C9965" i="13"/>
  <c r="C6764" i="13"/>
  <c r="C7297" i="13"/>
  <c r="C8846" i="13"/>
  <c r="C6232" i="13"/>
  <c r="C1258" i="13"/>
  <c r="C6922" i="13"/>
  <c r="C8032" i="13"/>
  <c r="C8176" i="13"/>
  <c r="C6469" i="13"/>
  <c r="C9938" i="13"/>
  <c r="C586" i="13"/>
  <c r="C6452" i="13"/>
  <c r="C5403" i="13"/>
  <c r="C6891" i="13"/>
  <c r="C3747" i="13"/>
  <c r="C5634" i="13"/>
  <c r="C281" i="13"/>
  <c r="C8818" i="13"/>
  <c r="C2152" i="13"/>
  <c r="C2257" i="13"/>
  <c r="C4939" i="13"/>
  <c r="C7588" i="13"/>
  <c r="C5724" i="13"/>
  <c r="C4905" i="13"/>
  <c r="C7285" i="13"/>
  <c r="C142" i="13"/>
  <c r="C2606" i="13"/>
  <c r="C3572" i="13"/>
  <c r="C8443" i="13"/>
  <c r="C6933" i="13"/>
  <c r="C9460" i="13"/>
  <c r="C2480" i="13"/>
  <c r="C6355" i="13"/>
  <c r="C7073" i="13"/>
  <c r="C6795" i="13"/>
  <c r="C134" i="13"/>
  <c r="C9879" i="13"/>
  <c r="C9587" i="13"/>
  <c r="C7707" i="13"/>
  <c r="C8749" i="13"/>
  <c r="C9268" i="13"/>
  <c r="C2724" i="13"/>
  <c r="C1320" i="13"/>
  <c r="C615" i="13"/>
  <c r="C1137" i="13"/>
  <c r="C9265" i="13"/>
  <c r="C7326" i="13"/>
  <c r="C4917" i="13"/>
  <c r="C6147" i="13"/>
  <c r="C2316" i="13"/>
  <c r="C6846" i="13"/>
  <c r="C3659" i="13"/>
  <c r="C7851" i="13"/>
  <c r="C742" i="13"/>
  <c r="C3370" i="13"/>
  <c r="C8323" i="13"/>
  <c r="C5738" i="13"/>
  <c r="C8497" i="13"/>
  <c r="C4320" i="13"/>
  <c r="C6524" i="13"/>
  <c r="C6618" i="13"/>
  <c r="C7336" i="13"/>
  <c r="C9520" i="13"/>
  <c r="C6115" i="13"/>
  <c r="C6400" i="13"/>
  <c r="C8208" i="13"/>
  <c r="C3905" i="13"/>
  <c r="C7102" i="13"/>
  <c r="C9116" i="13"/>
  <c r="C4022" i="13"/>
  <c r="C1105" i="13"/>
  <c r="C4437" i="13"/>
  <c r="C4652" i="13"/>
  <c r="C5105" i="13"/>
  <c r="C5546" i="13"/>
  <c r="C675" i="13"/>
  <c r="C8417" i="13"/>
  <c r="C8143" i="13"/>
  <c r="C1878" i="13"/>
  <c r="C8211" i="13"/>
  <c r="C8409" i="13"/>
  <c r="C661" i="13"/>
  <c r="C1522" i="13"/>
  <c r="C7298" i="13"/>
  <c r="C2530" i="13"/>
  <c r="C8938" i="13"/>
  <c r="C6709" i="13"/>
  <c r="C2571" i="13"/>
  <c r="C5291" i="13"/>
  <c r="C7812" i="13"/>
  <c r="C8581" i="13"/>
  <c r="C6046" i="13"/>
  <c r="C8921" i="13"/>
  <c r="C3660" i="13"/>
  <c r="C6887" i="13"/>
  <c r="C8991" i="13"/>
  <c r="C9583" i="13"/>
  <c r="C6219" i="13"/>
  <c r="C3852" i="13"/>
  <c r="C6230" i="13"/>
  <c r="C1593" i="13"/>
  <c r="C8978" i="13"/>
  <c r="C7976" i="13"/>
  <c r="C6466" i="13"/>
  <c r="C5290" i="13"/>
  <c r="C6920" i="13"/>
  <c r="C2373" i="13"/>
  <c r="C8684" i="13"/>
  <c r="C8446" i="13"/>
  <c r="C8906" i="13"/>
  <c r="C1789" i="13"/>
  <c r="C2833" i="13"/>
  <c r="C3395" i="13"/>
  <c r="C9865" i="13"/>
  <c r="C6923" i="13"/>
  <c r="C6314" i="13"/>
  <c r="C8862" i="13"/>
  <c r="C2323" i="13"/>
  <c r="C4228" i="13"/>
  <c r="C4440" i="13"/>
  <c r="C9610" i="13"/>
  <c r="C9107" i="13"/>
  <c r="C8803" i="13"/>
  <c r="C6775" i="13"/>
  <c r="C4779" i="13"/>
  <c r="C2094" i="13"/>
  <c r="C9673" i="13"/>
  <c r="C6710" i="13"/>
  <c r="C8922" i="13"/>
  <c r="C6499" i="13"/>
  <c r="C935" i="13"/>
  <c r="C9596" i="13"/>
  <c r="C6693" i="13"/>
  <c r="C9876" i="13"/>
  <c r="C9414" i="13"/>
  <c r="C8539" i="13"/>
  <c r="C8258" i="13"/>
  <c r="C4017" i="13"/>
  <c r="C4313" i="13"/>
  <c r="C7580" i="13"/>
  <c r="C6804" i="13"/>
  <c r="C6511" i="13"/>
  <c r="C7923" i="13"/>
  <c r="C630" i="13"/>
  <c r="C7493" i="13"/>
  <c r="C7251" i="13"/>
  <c r="C5421" i="13"/>
  <c r="C8084" i="13"/>
  <c r="C2208" i="13"/>
  <c r="C5551" i="13"/>
  <c r="C6271" i="13"/>
  <c r="C1623" i="13"/>
  <c r="C2310" i="13"/>
  <c r="C81" i="13"/>
  <c r="C3953" i="13"/>
  <c r="C7827" i="13"/>
  <c r="C8328" i="13"/>
  <c r="C5126" i="13"/>
  <c r="C6978" i="13"/>
  <c r="C4130" i="13"/>
  <c r="C3347" i="13"/>
  <c r="C4375" i="13"/>
  <c r="C1001" i="13"/>
  <c r="C4272" i="13"/>
  <c r="C3942" i="13"/>
  <c r="C5169" i="13"/>
  <c r="C1411" i="13"/>
  <c r="C8993" i="13"/>
  <c r="C2655" i="13"/>
  <c r="C2072" i="13"/>
  <c r="C2704" i="13"/>
  <c r="C4063" i="13"/>
  <c r="C1296" i="13"/>
  <c r="C3375" i="13"/>
  <c r="C3147" i="13"/>
  <c r="C4907" i="13"/>
  <c r="C132" i="13"/>
  <c r="C8222" i="13"/>
  <c r="C821" i="13"/>
  <c r="C3085" i="13"/>
  <c r="C5810" i="13"/>
  <c r="C9034" i="13"/>
  <c r="C7729" i="13"/>
  <c r="C4350" i="13"/>
  <c r="C8588" i="13"/>
  <c r="C7512" i="13"/>
  <c r="C8414" i="13"/>
  <c r="C8630" i="13"/>
  <c r="C8962" i="13"/>
  <c r="C9318" i="13"/>
  <c r="C8022" i="13"/>
  <c r="C5837" i="13"/>
  <c r="C2357" i="13"/>
  <c r="C1655" i="13"/>
  <c r="C3783" i="13"/>
  <c r="C9247" i="13"/>
  <c r="C1392" i="13"/>
  <c r="C8976" i="13"/>
  <c r="C5613" i="13"/>
  <c r="C2252" i="13"/>
  <c r="C1639" i="13"/>
  <c r="C3191" i="13"/>
  <c r="C9282" i="13"/>
  <c r="C2081" i="13"/>
  <c r="C1298" i="13"/>
  <c r="C6433" i="13"/>
  <c r="C3073" i="13"/>
  <c r="C7026" i="13"/>
  <c r="C685" i="13"/>
  <c r="C7783" i="13"/>
  <c r="C9175" i="13"/>
  <c r="C6610" i="13"/>
  <c r="C1754" i="13"/>
  <c r="C1130" i="13"/>
  <c r="C6901" i="13"/>
  <c r="C320" i="13"/>
  <c r="C5972" i="13"/>
  <c r="C9915" i="13"/>
  <c r="C4866" i="13"/>
  <c r="C7508" i="13"/>
  <c r="C5425" i="13"/>
  <c r="C3224" i="13"/>
  <c r="C1365" i="13"/>
  <c r="C8900" i="13"/>
  <c r="C5422" i="13"/>
  <c r="C7255" i="13"/>
  <c r="C5767" i="13"/>
  <c r="C1388" i="13"/>
  <c r="C9911" i="13"/>
  <c r="C6214" i="13"/>
  <c r="C6368" i="13"/>
  <c r="C4041" i="13"/>
  <c r="C5854" i="13"/>
  <c r="C9507" i="13"/>
  <c r="C9425" i="13"/>
  <c r="C9016" i="13"/>
  <c r="C7245" i="13"/>
  <c r="C7632" i="13"/>
  <c r="C7019" i="13"/>
  <c r="C3281" i="13"/>
  <c r="C4605" i="13"/>
  <c r="C9643" i="13"/>
  <c r="C4353" i="13"/>
  <c r="C9011" i="13"/>
  <c r="C7374" i="13"/>
  <c r="C3612" i="13"/>
  <c r="C4349" i="13"/>
  <c r="C9509" i="13"/>
  <c r="C4524" i="13"/>
  <c r="C5963" i="13"/>
  <c r="C8154" i="13"/>
  <c r="C7422" i="13"/>
  <c r="C424" i="13"/>
  <c r="C8849" i="13"/>
  <c r="C4497" i="13"/>
  <c r="C9935" i="13"/>
  <c r="C5476" i="13"/>
  <c r="C3450" i="13"/>
  <c r="C1220" i="13"/>
  <c r="C616" i="13"/>
  <c r="C8881" i="13"/>
  <c r="C7152" i="13"/>
  <c r="C7646" i="13"/>
  <c r="C7960" i="13"/>
  <c r="C5294" i="13"/>
  <c r="C7234" i="13"/>
  <c r="C6478" i="13"/>
  <c r="C8831" i="13"/>
  <c r="C6468" i="13"/>
  <c r="C3579" i="13"/>
  <c r="C4880" i="13"/>
  <c r="C5230" i="13"/>
  <c r="C4897" i="13"/>
  <c r="C6716" i="13"/>
  <c r="C5260" i="13"/>
  <c r="C9429" i="13"/>
  <c r="C7305" i="13"/>
  <c r="C2782" i="13"/>
  <c r="C6257" i="13"/>
  <c r="C7015" i="13"/>
  <c r="C6423" i="13"/>
  <c r="C8217" i="13"/>
  <c r="C8387" i="13"/>
  <c r="C6327" i="13"/>
  <c r="C5669" i="13"/>
  <c r="C8606" i="13"/>
  <c r="C6381" i="13"/>
  <c r="C5286" i="13"/>
  <c r="C7210" i="13"/>
  <c r="C2878" i="13"/>
  <c r="C9423" i="13"/>
  <c r="C4710" i="13"/>
  <c r="C3561" i="13"/>
  <c r="C3554" i="13"/>
  <c r="C3132" i="13"/>
  <c r="C6417" i="13"/>
  <c r="C1608" i="13"/>
  <c r="C9079" i="13"/>
  <c r="C3139" i="13"/>
  <c r="C6814" i="13"/>
  <c r="C8605" i="13"/>
  <c r="C3552" i="13"/>
  <c r="C2135" i="13"/>
  <c r="C1998" i="13"/>
  <c r="C2493" i="13"/>
  <c r="C1792" i="13"/>
  <c r="C9066" i="13"/>
  <c r="C7625" i="13"/>
  <c r="C7105" i="13"/>
  <c r="C925" i="13"/>
  <c r="C8919" i="13"/>
  <c r="C6882" i="13"/>
  <c r="C5328" i="13"/>
  <c r="C4896" i="13"/>
  <c r="C8145" i="13"/>
  <c r="C9021" i="13"/>
  <c r="C5366" i="13"/>
  <c r="C3137" i="13"/>
  <c r="C8220" i="13"/>
  <c r="C7466" i="13"/>
  <c r="C1981" i="13"/>
  <c r="C7474" i="13"/>
  <c r="C1418" i="13"/>
  <c r="C2259" i="13"/>
  <c r="C933" i="13"/>
  <c r="C4473" i="13"/>
  <c r="C2850" i="13"/>
  <c r="C3509" i="13"/>
  <c r="C440" i="13"/>
  <c r="C8511" i="13"/>
  <c r="C8769" i="13"/>
  <c r="C10006" i="13"/>
  <c r="C8892" i="13"/>
  <c r="C8984" i="13"/>
  <c r="C3991" i="13"/>
  <c r="C8365" i="13"/>
  <c r="C6620" i="13"/>
  <c r="C8622" i="13"/>
  <c r="C8039" i="13"/>
  <c r="C9365" i="13"/>
  <c r="C5578" i="13"/>
  <c r="C6598" i="13"/>
  <c r="C9670" i="13"/>
  <c r="C7957" i="13"/>
  <c r="C5163" i="13"/>
  <c r="C4762" i="13"/>
  <c r="C7032" i="13"/>
  <c r="C8955" i="13"/>
  <c r="C5872" i="13"/>
  <c r="C9753" i="13"/>
  <c r="C689" i="13"/>
  <c r="C5877" i="13"/>
  <c r="C8298" i="13"/>
  <c r="C2658" i="13"/>
  <c r="C3286" i="13"/>
  <c r="C8096" i="13"/>
  <c r="C4704" i="13"/>
  <c r="C7140" i="13"/>
  <c r="C7399" i="13"/>
  <c r="C1987" i="13"/>
  <c r="C2743" i="13"/>
  <c r="C7941" i="13"/>
  <c r="C4120" i="13"/>
  <c r="C9897" i="13"/>
  <c r="C9644" i="13"/>
  <c r="C9010" i="13"/>
  <c r="C7658" i="13"/>
  <c r="C7936" i="13"/>
  <c r="C2906" i="13"/>
  <c r="C7299" i="13"/>
  <c r="C7443" i="13"/>
  <c r="C3857" i="13"/>
  <c r="C7824" i="13"/>
  <c r="C1170" i="13"/>
  <c r="C5632" i="13"/>
  <c r="C5235" i="13"/>
  <c r="C8441" i="13"/>
  <c r="C5162" i="13"/>
  <c r="C1134" i="13"/>
  <c r="C5410" i="13"/>
  <c r="C7773" i="13"/>
  <c r="C5802" i="13"/>
  <c r="C8102" i="13"/>
  <c r="C2861" i="13"/>
  <c r="C3696" i="13"/>
  <c r="C9013" i="13"/>
  <c r="C9198" i="13"/>
  <c r="C7468" i="13"/>
  <c r="C7924" i="13"/>
  <c r="C1592" i="13"/>
  <c r="C9211" i="13"/>
  <c r="C5941" i="13"/>
  <c r="C8820" i="13"/>
  <c r="C8681" i="13"/>
  <c r="C4772" i="13"/>
  <c r="C5523" i="13"/>
  <c r="C982" i="13"/>
  <c r="C1437" i="13"/>
  <c r="C4735" i="13"/>
  <c r="C3966" i="13"/>
  <c r="C6536" i="13"/>
  <c r="C9279" i="13"/>
  <c r="C1616" i="13"/>
  <c r="C8788" i="13"/>
  <c r="C9703" i="13"/>
  <c r="C1770" i="13"/>
  <c r="C6928" i="13"/>
  <c r="C2722" i="13"/>
  <c r="C7126" i="13"/>
  <c r="C7014" i="13"/>
  <c r="C7197" i="13"/>
  <c r="C363" i="13"/>
  <c r="C8028" i="13"/>
  <c r="C5572" i="13"/>
  <c r="C2233" i="13"/>
  <c r="C3015" i="13"/>
  <c r="C3080" i="13"/>
  <c r="C3872" i="13"/>
  <c r="C3970" i="13"/>
  <c r="C5379" i="13"/>
  <c r="C9025" i="13"/>
  <c r="C9923" i="13"/>
  <c r="C5688" i="13"/>
  <c r="C2797" i="13"/>
  <c r="C9744" i="13"/>
  <c r="C8380" i="13"/>
  <c r="C9433" i="13"/>
  <c r="C9662" i="13"/>
  <c r="C2381" i="13"/>
  <c r="C8535" i="13"/>
  <c r="C2544" i="13"/>
  <c r="C4003" i="13"/>
  <c r="C7817" i="13"/>
  <c r="C5775" i="13"/>
  <c r="C5044" i="13"/>
  <c r="C6150" i="13"/>
  <c r="C8520" i="13"/>
  <c r="C965" i="13"/>
  <c r="C4182" i="13"/>
  <c r="C3440" i="13"/>
  <c r="C680" i="13"/>
  <c r="C4479" i="13"/>
  <c r="C4681" i="13"/>
  <c r="C9834" i="13"/>
  <c r="C8459" i="13"/>
  <c r="C6658" i="13"/>
  <c r="C8763" i="13"/>
  <c r="C3544" i="13"/>
  <c r="C7205" i="13"/>
  <c r="C8959" i="13"/>
  <c r="C868" i="13"/>
  <c r="C193" i="13"/>
  <c r="C5897" i="13"/>
  <c r="C4139" i="13"/>
  <c r="C9975" i="13"/>
  <c r="C7445" i="13"/>
  <c r="C5716" i="13"/>
  <c r="C6829" i="13"/>
  <c r="C6278" i="13"/>
  <c r="C3811" i="13"/>
  <c r="C1626" i="13"/>
  <c r="C1907" i="13"/>
  <c r="C9153" i="13"/>
  <c r="C8226" i="13"/>
  <c r="C2839" i="13"/>
  <c r="C8719" i="13"/>
  <c r="C7217" i="13"/>
  <c r="C1669" i="13"/>
  <c r="C353" i="13"/>
  <c r="C4552" i="13"/>
  <c r="C7113" i="13"/>
  <c r="C5409" i="13"/>
  <c r="C7127" i="13"/>
  <c r="C4554" i="13"/>
  <c r="C7844" i="13"/>
  <c r="C2647" i="13"/>
  <c r="C3324" i="13"/>
  <c r="C1594" i="13"/>
  <c r="C1558" i="13"/>
  <c r="C9685" i="13"/>
  <c r="C9590" i="13"/>
  <c r="C7850" i="13"/>
  <c r="C4693" i="13"/>
  <c r="C3401" i="13"/>
  <c r="C9613" i="13"/>
  <c r="C9121" i="13"/>
  <c r="C8920" i="13"/>
  <c r="C9417" i="13"/>
  <c r="C2407" i="13"/>
  <c r="C1463" i="13"/>
  <c r="C9327" i="13"/>
  <c r="C8865" i="13"/>
  <c r="C7791" i="13"/>
  <c r="C8702" i="13"/>
  <c r="C1303" i="13"/>
  <c r="C7986" i="13"/>
  <c r="C5055" i="13"/>
  <c r="C4225" i="13"/>
  <c r="C3526" i="13"/>
  <c r="C4726" i="13"/>
  <c r="C829" i="13"/>
  <c r="C5707" i="13"/>
  <c r="C9239" i="13"/>
  <c r="C7856" i="13"/>
  <c r="C491" i="13"/>
  <c r="C6552" i="13"/>
  <c r="C8568" i="13"/>
  <c r="C9820" i="13"/>
  <c r="C7604" i="13"/>
  <c r="C2104" i="13"/>
  <c r="C9799" i="13"/>
  <c r="C6647" i="13"/>
  <c r="C1507" i="13"/>
  <c r="C482" i="13"/>
  <c r="C9730" i="13"/>
  <c r="C9375" i="13"/>
  <c r="C8780" i="13"/>
  <c r="C9787" i="13"/>
  <c r="C6576" i="13"/>
  <c r="C5690" i="13"/>
  <c r="C5860" i="13"/>
  <c r="C6420" i="13"/>
  <c r="C7357" i="13"/>
  <c r="C8415" i="13"/>
  <c r="C5275" i="13"/>
  <c r="C1839" i="13"/>
  <c r="C9184" i="13"/>
  <c r="C3756" i="13"/>
  <c r="C5483" i="13"/>
  <c r="C8425" i="13"/>
  <c r="C3558" i="13"/>
  <c r="C6250" i="13"/>
  <c r="C9068" i="13"/>
  <c r="C2771" i="13"/>
  <c r="C7637" i="13"/>
  <c r="C4444" i="13"/>
  <c r="C475" i="13"/>
  <c r="C120" i="13"/>
  <c r="C2329" i="13"/>
  <c r="C3314" i="13"/>
  <c r="C6669" i="13"/>
  <c r="C9340" i="13"/>
  <c r="C5492" i="13"/>
  <c r="C9363" i="13"/>
  <c r="C6715" i="13"/>
  <c r="C1230" i="13"/>
  <c r="C9063" i="13"/>
  <c r="C9442" i="13"/>
  <c r="C1775" i="13"/>
  <c r="C4938" i="13"/>
  <c r="C2131" i="13"/>
  <c r="C7784" i="13"/>
  <c r="C9070" i="13"/>
  <c r="C3004" i="13"/>
  <c r="C7684" i="13"/>
  <c r="C4780" i="13"/>
  <c r="C8546" i="13"/>
  <c r="C6898" i="13"/>
  <c r="C8378" i="13"/>
  <c r="C4583" i="13"/>
  <c r="C5524" i="13"/>
  <c r="C3705" i="13"/>
  <c r="C8227" i="13"/>
  <c r="C8722" i="13"/>
  <c r="C4956" i="13"/>
  <c r="C6036" i="13"/>
  <c r="C9903" i="13"/>
  <c r="C3238" i="13"/>
  <c r="C8427" i="13"/>
  <c r="C5248" i="13"/>
  <c r="C7106" i="13"/>
  <c r="C4311" i="13"/>
  <c r="C4209" i="13"/>
  <c r="C8548" i="13"/>
  <c r="C1759" i="13"/>
  <c r="C3841" i="13"/>
  <c r="C7516" i="13"/>
  <c r="C6534" i="13"/>
  <c r="C3637" i="13"/>
  <c r="C6017" i="13"/>
  <c r="C6489" i="13"/>
  <c r="C7641" i="13"/>
  <c r="C8314" i="13"/>
  <c r="C9733" i="13"/>
  <c r="C4264" i="13"/>
  <c r="C1954" i="13"/>
  <c r="C1575" i="13"/>
  <c r="C2585" i="13"/>
  <c r="C7294" i="13"/>
  <c r="C2999" i="13"/>
  <c r="C4045" i="13"/>
  <c r="C1487" i="13"/>
  <c r="C7978" i="13"/>
  <c r="C5373" i="13"/>
  <c r="C6408" i="13"/>
  <c r="C7837" i="13"/>
  <c r="C115" i="13"/>
  <c r="C7673" i="13"/>
  <c r="C7064" i="13"/>
  <c r="C4612" i="13"/>
  <c r="C4706" i="13"/>
  <c r="C5919" i="13"/>
  <c r="C8424" i="13"/>
  <c r="C7723" i="13"/>
  <c r="C7233" i="13"/>
  <c r="C9263" i="13"/>
  <c r="C2720" i="13"/>
  <c r="C6484" i="13"/>
  <c r="C8842" i="13"/>
  <c r="C8307" i="13"/>
  <c r="C7578" i="13"/>
  <c r="C9405" i="13"/>
  <c r="C4650" i="13"/>
  <c r="C6984" i="13"/>
  <c r="C4644" i="13"/>
  <c r="C8871" i="13"/>
  <c r="C8343" i="13"/>
  <c r="C4713" i="13"/>
  <c r="C9444" i="13"/>
  <c r="C3297" i="13"/>
  <c r="C6623" i="13"/>
  <c r="C3251" i="13"/>
  <c r="C5648" i="13"/>
  <c r="C4337" i="13"/>
  <c r="C5797" i="13"/>
  <c r="C4035" i="13"/>
  <c r="C7620" i="13"/>
  <c r="C8228" i="13"/>
  <c r="C3230" i="13"/>
  <c r="C5530" i="13"/>
  <c r="C9973" i="13"/>
  <c r="C4661" i="13"/>
  <c r="C4095" i="13"/>
  <c r="C8382" i="13"/>
  <c r="C8025" i="13"/>
  <c r="C4620" i="13"/>
  <c r="C4455" i="13"/>
  <c r="C700" i="13"/>
  <c r="C3285" i="13"/>
  <c r="C9624" i="13"/>
  <c r="C9949" i="13"/>
  <c r="C8958" i="13"/>
  <c r="C9969" i="13"/>
  <c r="C6681" i="13"/>
  <c r="C3671" i="13"/>
  <c r="C9606" i="13"/>
  <c r="C9706" i="13"/>
  <c r="C2856" i="13"/>
  <c r="C1674" i="13"/>
  <c r="C2276" i="13"/>
  <c r="C4113" i="13"/>
  <c r="C1034" i="13"/>
  <c r="C1156" i="13"/>
  <c r="C5999" i="13"/>
  <c r="C8332" i="13"/>
  <c r="C3045" i="13"/>
  <c r="C387" i="13"/>
  <c r="C3159" i="13"/>
  <c r="C3018" i="13"/>
  <c r="C9450" i="13"/>
  <c r="C4026" i="13"/>
  <c r="C9476" i="13"/>
  <c r="C8379" i="13"/>
  <c r="C6012" i="13"/>
  <c r="C2739" i="13"/>
  <c r="C7122" i="13"/>
  <c r="C6828" i="13"/>
  <c r="C2603" i="13"/>
  <c r="C5901" i="13"/>
  <c r="C2096" i="13"/>
  <c r="C9597" i="13"/>
  <c r="C4948" i="13"/>
  <c r="C7332" i="13"/>
  <c r="C8157" i="13"/>
  <c r="C3428" i="13"/>
  <c r="C9991" i="13"/>
  <c r="C9850" i="13"/>
  <c r="C2176" i="13"/>
  <c r="C6760" i="13"/>
  <c r="C66" i="13"/>
  <c r="C5283" i="13"/>
  <c r="C1175" i="13"/>
  <c r="C6809" i="13"/>
  <c r="C8972" i="13"/>
  <c r="C1326" i="13"/>
  <c r="C7895" i="13"/>
  <c r="C1013" i="13"/>
  <c r="C6136" i="13"/>
  <c r="C2347" i="13"/>
  <c r="C6273" i="13"/>
  <c r="C5023" i="13"/>
  <c r="C1657" i="13"/>
  <c r="C3835" i="13"/>
  <c r="C1562" i="13"/>
  <c r="C992" i="13"/>
  <c r="C6459" i="13"/>
  <c r="C9001" i="13"/>
  <c r="C8659" i="13"/>
  <c r="C9459" i="13"/>
  <c r="C6099" i="13"/>
  <c r="C7572" i="13"/>
  <c r="C9827" i="13"/>
  <c r="C6195" i="13"/>
  <c r="C852" i="13"/>
  <c r="C7503" i="13"/>
  <c r="C3939" i="13"/>
  <c r="C1096" i="13"/>
  <c r="C7944" i="13"/>
  <c r="C8597" i="13"/>
  <c r="C1313" i="13"/>
  <c r="C7438" i="13"/>
  <c r="C2243" i="13"/>
  <c r="C5615" i="13"/>
  <c r="C5482" i="13"/>
  <c r="C4386" i="13"/>
  <c r="C259" i="13"/>
  <c r="C3208" i="13"/>
  <c r="C498" i="13"/>
  <c r="C9663" i="13"/>
  <c r="C3622" i="13"/>
  <c r="C7424" i="13"/>
  <c r="C1476" i="13"/>
  <c r="C4397" i="13"/>
  <c r="C612" i="13"/>
  <c r="C1698" i="13"/>
  <c r="C9311" i="13"/>
  <c r="C8634" i="13"/>
  <c r="C8516" i="13"/>
  <c r="C9681" i="13"/>
  <c r="C7839" i="13"/>
  <c r="C9715" i="13"/>
  <c r="C200" i="13"/>
  <c r="C8657" i="13"/>
  <c r="C6668" i="13"/>
  <c r="C2448" i="13"/>
  <c r="C8727" i="13"/>
  <c r="C4409" i="13"/>
  <c r="C1449" i="13"/>
  <c r="C9012" i="13"/>
  <c r="C7104" i="13"/>
  <c r="C4191" i="13"/>
  <c r="C9292" i="13"/>
  <c r="C9995" i="13"/>
  <c r="C1506" i="13"/>
  <c r="C7762" i="13"/>
  <c r="C2068" i="13"/>
  <c r="C4550" i="13"/>
  <c r="C8710" i="13"/>
  <c r="C7496" i="13"/>
  <c r="C1242" i="13"/>
  <c r="C4142" i="13"/>
  <c r="C508" i="13"/>
  <c r="C1637" i="13"/>
  <c r="C7414" i="13"/>
  <c r="C9986" i="13"/>
  <c r="C9925" i="13"/>
  <c r="C8642" i="13"/>
  <c r="C4556" i="13"/>
  <c r="C7367" i="13"/>
  <c r="C8252" i="13"/>
  <c r="C10007" i="13"/>
  <c r="C968" i="13"/>
  <c r="C9629" i="13"/>
  <c r="C7518" i="13"/>
  <c r="C3663" i="13"/>
  <c r="C6207" i="13"/>
  <c r="C8248" i="13"/>
  <c r="C2327" i="13"/>
  <c r="C2560" i="13"/>
  <c r="C5677" i="13"/>
  <c r="C5510" i="13"/>
  <c r="C6609" i="13"/>
  <c r="C9274" i="13"/>
  <c r="C500" i="13"/>
  <c r="C4858" i="13"/>
  <c r="C3096" i="13"/>
  <c r="C1310" i="13"/>
  <c r="C9692" i="13"/>
  <c r="C8092" i="13"/>
  <c r="C7219" i="13"/>
  <c r="C9972" i="13"/>
  <c r="C2070" i="13"/>
  <c r="C6358" i="13"/>
  <c r="C4865" i="13"/>
  <c r="C593" i="13"/>
  <c r="C4158" i="13"/>
  <c r="C4614" i="13"/>
  <c r="C7471" i="13"/>
  <c r="C4699" i="13"/>
  <c r="C3386" i="13"/>
  <c r="C9731" i="13"/>
  <c r="C9022" i="13"/>
  <c r="C5333" i="13"/>
  <c r="C3389" i="13"/>
  <c r="C9406" i="13"/>
  <c r="C3625" i="13"/>
  <c r="C1651" i="13"/>
  <c r="C2086" i="13"/>
  <c r="C7968" i="13"/>
  <c r="C2126" i="13"/>
  <c r="C6234" i="13"/>
  <c r="C1205" i="13"/>
  <c r="C5408" i="13"/>
  <c r="C2451" i="13"/>
  <c r="C6735" i="13"/>
  <c r="C3081" i="13"/>
  <c r="C157" i="13"/>
  <c r="C3010" i="13"/>
  <c r="C7094" i="13"/>
  <c r="C8640" i="13"/>
  <c r="C5396" i="13"/>
  <c r="C2764" i="13"/>
  <c r="C8745" i="13"/>
  <c r="C5768" i="13"/>
  <c r="C9076" i="13"/>
  <c r="C8503" i="13"/>
  <c r="C7232" i="13"/>
  <c r="C9639" i="13"/>
  <c r="C1360" i="13"/>
  <c r="C7874" i="13"/>
  <c r="C6003" i="13"/>
  <c r="C2935" i="13"/>
  <c r="C9073" i="13"/>
  <c r="C3510" i="13"/>
  <c r="C5188" i="13"/>
  <c r="C1752" i="13"/>
  <c r="C406" i="13"/>
  <c r="C7098" i="13"/>
  <c r="C3755" i="13"/>
  <c r="C880" i="13"/>
  <c r="C4260" i="13"/>
  <c r="C9335" i="13"/>
  <c r="C5474" i="13"/>
  <c r="C7137" i="13"/>
  <c r="C5242" i="13"/>
  <c r="C8453" i="13"/>
  <c r="C7485" i="13"/>
  <c r="C4770" i="13"/>
  <c r="C503" i="13"/>
  <c r="C9040" i="13"/>
  <c r="C1733" i="13"/>
  <c r="C4461" i="13"/>
  <c r="C9812" i="13"/>
  <c r="C6164" i="13"/>
  <c r="C5405" i="13"/>
  <c r="C93" i="13"/>
  <c r="C9750" i="13"/>
  <c r="C2701" i="13"/>
  <c r="C5192" i="13"/>
  <c r="C6886" i="13"/>
  <c r="C3456" i="13"/>
  <c r="C2995" i="13"/>
  <c r="C7599" i="13"/>
  <c r="C7918" i="13"/>
  <c r="C7280" i="13"/>
  <c r="C793" i="13"/>
  <c r="C2705" i="13"/>
  <c r="C8712" i="13"/>
  <c r="C2386" i="13"/>
  <c r="C8603" i="13"/>
  <c r="C4649" i="13"/>
  <c r="C9857" i="13"/>
  <c r="C9096" i="13"/>
  <c r="C3707" i="13"/>
  <c r="C5270" i="13"/>
  <c r="C9640" i="13"/>
  <c r="C8018" i="13"/>
  <c r="C9308" i="13"/>
  <c r="C4768" i="13"/>
  <c r="C7200" i="13"/>
  <c r="C6032" i="13"/>
  <c r="C7557" i="13"/>
  <c r="C2364" i="13"/>
  <c r="C9145" i="13"/>
  <c r="C9231" i="13"/>
  <c r="C2195" i="13"/>
  <c r="C6393" i="13"/>
  <c r="C3486" i="13"/>
  <c r="C4043" i="13"/>
  <c r="C8845" i="13"/>
  <c r="C9322" i="13"/>
  <c r="C2115" i="13"/>
  <c r="C8985" i="13"/>
  <c r="C9031" i="13"/>
  <c r="C1297" i="13"/>
  <c r="C8132" i="13"/>
  <c r="C8816" i="13"/>
  <c r="C2929" i="13"/>
  <c r="C7325" i="13"/>
  <c r="C6912" i="13"/>
  <c r="C1670" i="13"/>
  <c r="C926" i="13"/>
  <c r="C8758" i="13"/>
  <c r="C3350" i="13"/>
  <c r="C9178" i="13"/>
  <c r="C8709" i="13"/>
  <c r="C8486" i="13"/>
  <c r="C5893" i="13"/>
  <c r="C6442" i="13"/>
  <c r="C2032" i="13"/>
  <c r="C404" i="13"/>
  <c r="C9687" i="13"/>
  <c r="C3740" i="13"/>
  <c r="C9284" i="13"/>
  <c r="C4588" i="13"/>
  <c r="C810" i="13"/>
  <c r="C9659" i="13"/>
  <c r="C9163" i="13"/>
  <c r="C2148" i="13"/>
  <c r="C9572" i="13"/>
  <c r="C8835" i="13"/>
  <c r="C8488" i="13"/>
  <c r="C5757" i="13"/>
  <c r="C7643" i="13"/>
  <c r="C1341" i="13"/>
  <c r="C3087" i="13"/>
  <c r="C87" i="13"/>
  <c r="C4325" i="13"/>
  <c r="C4408" i="13"/>
  <c r="C7218" i="13"/>
  <c r="C6925" i="13"/>
  <c r="C8636" i="13"/>
  <c r="C3603" i="13"/>
  <c r="C5520" i="13"/>
  <c r="C9152" i="13"/>
  <c r="C3255" i="13"/>
  <c r="C540" i="13"/>
  <c r="C2014" i="13"/>
  <c r="C6785" i="13"/>
  <c r="C6729" i="13"/>
  <c r="C1160" i="13"/>
  <c r="C8781" i="13"/>
  <c r="C7427" i="13"/>
  <c r="C5110" i="13"/>
  <c r="C1859" i="13"/>
  <c r="C7846" i="13"/>
  <c r="C5720" i="13"/>
  <c r="C4630" i="13"/>
  <c r="C4888" i="13"/>
  <c r="C5818" i="13"/>
  <c r="C7657" i="13"/>
  <c r="C9826" i="13"/>
  <c r="C2970" i="13"/>
  <c r="C6823" i="13"/>
  <c r="C5215" i="13"/>
  <c r="C7133" i="13"/>
  <c r="C7136" i="13"/>
  <c r="C4385" i="13"/>
  <c r="C8766" i="13"/>
  <c r="C6351" i="13"/>
  <c r="C6090" i="13"/>
  <c r="C9018" i="13"/>
  <c r="C2215" i="13"/>
  <c r="C3899" i="13"/>
  <c r="C9734" i="13"/>
  <c r="C2830" i="13"/>
  <c r="C7768" i="13"/>
  <c r="C7044" i="13"/>
  <c r="C4092" i="13"/>
  <c r="C8583" i="13"/>
  <c r="C7566" i="13"/>
  <c r="C4011" i="13"/>
  <c r="C8517" i="13"/>
  <c r="C3673" i="13"/>
  <c r="C9884" i="13"/>
  <c r="C7018" i="13"/>
  <c r="C3379" i="13"/>
  <c r="C1368" i="13"/>
  <c r="C5027" i="13"/>
  <c r="C7612" i="13"/>
  <c r="C964" i="13"/>
  <c r="C8792" i="13"/>
  <c r="C1690" i="13"/>
  <c r="C7301" i="13"/>
  <c r="C5193" i="13"/>
  <c r="C3884" i="13"/>
  <c r="C4946" i="13"/>
  <c r="C6507" i="13"/>
  <c r="C3909" i="13"/>
  <c r="C2967" i="13"/>
  <c r="C5124" i="13"/>
  <c r="C8218" i="13"/>
  <c r="C7238" i="13"/>
  <c r="C6937" i="13"/>
  <c r="C8281" i="13"/>
  <c r="C4414" i="13"/>
  <c r="C2910" i="13"/>
  <c r="C2388" i="13"/>
  <c r="C2574" i="13"/>
  <c r="C9701" i="13"/>
  <c r="C7857" i="13"/>
  <c r="C2872" i="13"/>
  <c r="C1504" i="13"/>
  <c r="C1425" i="13"/>
  <c r="C3513" i="13"/>
  <c r="C949" i="13"/>
  <c r="C4801" i="13"/>
  <c r="C4945" i="13"/>
  <c r="C5766" i="13"/>
  <c r="C7810" i="13"/>
  <c r="C828" i="13"/>
  <c r="C8577" i="13"/>
  <c r="C9573" i="13"/>
  <c r="C9003" i="13"/>
  <c r="C6074" i="13"/>
  <c r="C6134" i="13"/>
  <c r="C3234" i="13"/>
  <c r="C9762" i="13"/>
  <c r="C9601" i="13"/>
  <c r="C7830" i="13"/>
  <c r="C3812" i="13"/>
  <c r="C6707" i="13"/>
  <c r="C6343" i="13"/>
  <c r="C5909" i="13"/>
  <c r="C7962" i="13"/>
  <c r="C4233" i="13"/>
  <c r="C2216" i="13"/>
  <c r="C1122" i="13"/>
  <c r="C1599" i="13"/>
  <c r="C9746" i="13"/>
  <c r="C9133" i="13"/>
  <c r="C1740" i="13"/>
  <c r="C5883" i="13"/>
  <c r="C7661" i="13"/>
  <c r="C3656" i="13"/>
  <c r="C2993" i="13"/>
  <c r="C5262" i="13"/>
  <c r="C5312" i="13"/>
  <c r="C600" i="13"/>
  <c r="C714" i="13"/>
  <c r="C2339" i="13"/>
  <c r="C7517" i="13"/>
  <c r="C3443" i="13"/>
  <c r="C3902" i="13"/>
  <c r="C5376" i="13"/>
  <c r="C7853" i="13"/>
  <c r="C2961" i="13"/>
  <c r="C776" i="13"/>
  <c r="C279" i="13"/>
  <c r="C2498" i="13"/>
  <c r="C6414" i="13"/>
  <c r="C8680" i="13"/>
  <c r="C8728" i="13"/>
  <c r="C2013" i="13"/>
  <c r="C7801" i="13"/>
  <c r="C5451" i="13"/>
  <c r="C6931" i="13"/>
  <c r="C9229" i="13"/>
  <c r="C148" i="13"/>
  <c r="C5058" i="13"/>
  <c r="C9680" i="13"/>
  <c r="C2161" i="13"/>
  <c r="C2812" i="13"/>
  <c r="C6266" i="13"/>
  <c r="C2306" i="13"/>
  <c r="C2777" i="13"/>
  <c r="C6950" i="13"/>
  <c r="C7183" i="13"/>
  <c r="C751" i="13"/>
  <c r="C8830" i="13"/>
  <c r="C6595" i="13"/>
  <c r="C9765" i="13"/>
  <c r="C9638" i="13"/>
  <c r="C7732" i="13"/>
  <c r="C258" i="13"/>
  <c r="C4964" i="13"/>
  <c r="C8667" i="13"/>
  <c r="C2876" i="13"/>
  <c r="C6157" i="13"/>
  <c r="C766" i="13"/>
  <c r="C4812" i="13"/>
  <c r="C1680" i="13"/>
  <c r="C5321" i="13"/>
  <c r="C1349" i="13"/>
  <c r="C7652" i="13"/>
  <c r="C6621" i="13"/>
  <c r="C7062" i="13"/>
  <c r="C8570" i="13"/>
  <c r="C8668" i="13"/>
  <c r="C9944" i="13"/>
  <c r="C3490" i="13"/>
  <c r="C3089" i="13"/>
  <c r="C5732" i="13"/>
  <c r="C9794" i="13"/>
  <c r="C6049" i="13"/>
  <c r="C7901" i="13"/>
  <c r="C7270" i="13"/>
  <c r="C8547" i="13"/>
  <c r="C4739" i="13"/>
  <c r="C7903" i="13"/>
  <c r="C7235" i="13"/>
  <c r="C1045" i="13"/>
  <c r="C9749" i="13"/>
  <c r="C5429" i="13"/>
  <c r="C2165" i="13"/>
  <c r="C9551" i="13"/>
  <c r="C8049" i="13"/>
  <c r="C657" i="13"/>
  <c r="C4752" i="13"/>
  <c r="C5842" i="13"/>
  <c r="C9612" i="13"/>
  <c r="C598" i="13"/>
  <c r="C484" i="13"/>
  <c r="C8247" i="13"/>
  <c r="C3796" i="13"/>
  <c r="C2657" i="13"/>
  <c r="C6364" i="13"/>
  <c r="C8564" i="13"/>
  <c r="C6672" i="13"/>
  <c r="C4744" i="13"/>
  <c r="C1025" i="13"/>
  <c r="C912" i="13"/>
  <c r="C8037" i="13"/>
  <c r="C9788" i="13"/>
  <c r="C9354" i="13"/>
  <c r="C2134" i="13"/>
  <c r="C4465" i="13"/>
  <c r="C5680" i="13"/>
  <c r="C8917" i="13"/>
  <c r="C3476" i="13"/>
  <c r="C1302" i="13"/>
  <c r="C2761" i="13"/>
  <c r="C5252" i="13"/>
  <c r="C5424" i="13"/>
  <c r="C9488" i="13"/>
  <c r="C4563" i="13"/>
  <c r="C1413" i="13"/>
  <c r="C5432" i="13"/>
  <c r="C7021" i="13"/>
  <c r="C2864" i="13"/>
  <c r="C4093" i="13"/>
  <c r="C9057" i="13"/>
  <c r="C9755" i="13"/>
  <c r="C9808" i="13"/>
  <c r="C9225" i="13"/>
  <c r="C1914" i="13"/>
  <c r="C3549" i="13"/>
  <c r="C9106" i="13"/>
  <c r="C9948" i="13"/>
  <c r="C6583" i="13"/>
  <c r="C9810" i="13"/>
  <c r="C3221" i="13"/>
  <c r="C6274" i="13"/>
  <c r="C7198" i="13"/>
  <c r="C4895" i="13"/>
  <c r="C6449" i="13"/>
  <c r="C9095" i="13"/>
  <c r="C5181" i="13"/>
  <c r="C9171" i="13"/>
  <c r="C2784" i="13"/>
  <c r="C2253" i="13"/>
  <c r="C1243" i="13"/>
  <c r="C7900" i="13"/>
  <c r="C7377" i="13"/>
  <c r="C6175" i="13"/>
  <c r="C7121" i="13"/>
  <c r="C8950" i="13"/>
  <c r="C3978" i="13"/>
  <c r="C8308" i="13"/>
  <c r="C3563" i="13"/>
  <c r="C1799" i="13"/>
  <c r="C916" i="13"/>
  <c r="C2462" i="13"/>
  <c r="C9479" i="13"/>
  <c r="C7432" i="13"/>
  <c r="C1545" i="13"/>
  <c r="C8715" i="13"/>
  <c r="C3393" i="13"/>
  <c r="C5791" i="13"/>
  <c r="C8261" i="13"/>
  <c r="C2287" i="13"/>
  <c r="C1817" i="13"/>
  <c r="C566" i="13"/>
  <c r="C6990" i="13"/>
  <c r="C3731" i="13"/>
  <c r="C6723" i="13"/>
  <c r="C5460" i="13"/>
  <c r="C7647" i="13"/>
  <c r="C7893" i="13"/>
  <c r="C3709" i="13"/>
  <c r="C8995" i="13"/>
  <c r="C1204" i="13"/>
  <c r="C2751" i="13"/>
  <c r="C7594" i="13"/>
  <c r="C3609" i="13"/>
  <c r="C4829" i="13"/>
  <c r="C1883" i="13"/>
  <c r="C9049" i="13"/>
  <c r="C9300" i="13"/>
  <c r="C5284" i="13"/>
  <c r="C9024" i="13"/>
  <c r="C5704" i="13"/>
  <c r="C4840" i="13"/>
  <c r="C9818" i="13"/>
  <c r="C1396" i="13"/>
  <c r="C7386" i="13"/>
  <c r="C6591" i="13"/>
  <c r="C9837" i="13"/>
  <c r="C8293" i="13"/>
  <c r="C2801" i="13"/>
  <c r="C3825" i="13"/>
  <c r="C4530" i="13"/>
  <c r="C4934" i="13"/>
  <c r="C6954" i="13"/>
  <c r="C7953" i="13"/>
  <c r="C2745" i="13"/>
  <c r="C1826" i="13"/>
  <c r="C8097" i="13"/>
  <c r="C3568" i="13"/>
  <c r="C9315" i="13"/>
  <c r="C1975" i="13"/>
  <c r="C3361" i="13"/>
  <c r="C7667" i="13"/>
  <c r="C9700" i="13"/>
  <c r="C3136" i="13"/>
  <c r="C3838" i="13"/>
  <c r="C7669" i="13"/>
  <c r="C2123" i="13"/>
  <c r="C7796" i="13"/>
  <c r="C6454" i="13"/>
  <c r="C7269" i="13"/>
  <c r="C6877" i="13"/>
  <c r="C7868" i="13"/>
  <c r="C5640" i="13"/>
  <c r="C4574" i="13"/>
  <c r="C7029" i="13"/>
  <c r="C3187" i="13"/>
  <c r="C1058" i="13"/>
  <c r="C5426" i="13"/>
  <c r="C4885" i="13"/>
  <c r="C5443" i="13"/>
  <c r="C7027" i="13"/>
  <c r="C5091" i="13"/>
  <c r="C249" i="13"/>
  <c r="C5346" i="13"/>
  <c r="C8804" i="13"/>
  <c r="C2609" i="13"/>
  <c r="C5670" i="13"/>
  <c r="C5575" i="13"/>
  <c r="C3331" i="13"/>
  <c r="C6133" i="13"/>
  <c r="C8602" i="13"/>
  <c r="C1097" i="13"/>
  <c r="C9634" i="13"/>
  <c r="C4417" i="13"/>
  <c r="C947" i="13"/>
  <c r="C7533" i="13"/>
  <c r="C8109" i="13"/>
  <c r="C6112" i="13"/>
  <c r="C3145" i="13"/>
  <c r="C114" i="13"/>
  <c r="C2943" i="13"/>
  <c r="C1321" i="13"/>
  <c r="C5015" i="13"/>
  <c r="C3971" i="13"/>
  <c r="C8354" i="13"/>
  <c r="C4766" i="13"/>
  <c r="C945" i="13"/>
  <c r="C1939" i="13"/>
  <c r="C9470" i="13"/>
  <c r="C4925" i="13"/>
  <c r="C9346" i="13"/>
  <c r="C4088" i="13"/>
  <c r="C2177" i="13"/>
  <c r="C411" i="13"/>
  <c r="C6784" i="13"/>
  <c r="C1976" i="13"/>
  <c r="C2163" i="13"/>
  <c r="C5659" i="13"/>
  <c r="C23" i="13"/>
  <c r="C9578" i="13"/>
  <c r="C6353" i="13"/>
  <c r="C4081" i="13"/>
  <c r="C4599" i="13"/>
  <c r="C9849" i="13"/>
  <c r="C9702" i="13"/>
  <c r="C5866" i="13"/>
  <c r="C5643" i="13"/>
  <c r="C3494" i="13"/>
  <c r="C2147" i="13"/>
  <c r="C8481" i="13"/>
  <c r="C2844" i="13"/>
  <c r="C6044" i="13"/>
  <c r="C9404" i="13"/>
  <c r="C7188" i="13"/>
  <c r="C8878" i="13"/>
  <c r="C2944" i="13"/>
  <c r="C6674" i="13"/>
  <c r="C1828" i="13"/>
  <c r="C1996" i="13"/>
  <c r="C1935" i="13"/>
  <c r="C2921" i="13"/>
  <c r="C4947" i="13"/>
  <c r="C7575" i="13"/>
  <c r="C599" i="13"/>
  <c r="C8777" i="13"/>
  <c r="C3668" i="13"/>
  <c r="C6342" i="13"/>
  <c r="C5661" i="13"/>
  <c r="C3364" i="13"/>
  <c r="C8224" i="13"/>
  <c r="C374" i="13"/>
  <c r="C7766" i="13"/>
  <c r="C6688" i="13"/>
  <c r="C4529" i="13"/>
  <c r="C4756" i="13"/>
  <c r="C5391" i="13"/>
  <c r="C8524" i="13"/>
  <c r="C7116" i="13"/>
  <c r="C1865" i="13"/>
  <c r="C8004" i="13"/>
  <c r="C7990" i="13"/>
  <c r="C1694" i="13"/>
  <c r="C8196" i="13"/>
  <c r="C4090" i="13"/>
  <c r="C8087" i="13"/>
  <c r="C9785" i="13"/>
  <c r="C6302" i="13"/>
  <c r="C7708" i="13"/>
  <c r="C3284" i="13"/>
  <c r="C1223" i="13"/>
  <c r="C8135" i="13"/>
  <c r="C740" i="13"/>
  <c r="C9763" i="13"/>
  <c r="C7237" i="13"/>
  <c r="C3745" i="13"/>
  <c r="C2605" i="13"/>
  <c r="C8805" i="13"/>
  <c r="C7681" i="13"/>
  <c r="C8001" i="13"/>
  <c r="C8799" i="13"/>
  <c r="C9349" i="13"/>
  <c r="C8105" i="13"/>
  <c r="C3423" i="13"/>
  <c r="C7873" i="13"/>
  <c r="C3616" i="13"/>
  <c r="C5539" i="13"/>
  <c r="C7099" i="13"/>
  <c r="C7330" i="13"/>
  <c r="C6504" i="13"/>
  <c r="C4058" i="13"/>
  <c r="C5734" i="13"/>
  <c r="C5657" i="13"/>
  <c r="C8557" i="13"/>
  <c r="C8608" i="13"/>
  <c r="C7558" i="13"/>
  <c r="C3128" i="13"/>
  <c r="C8180" i="13"/>
  <c r="C4441" i="13"/>
  <c r="C8112" i="13"/>
  <c r="C3771" i="13"/>
  <c r="C7906" i="13"/>
  <c r="C7371" i="13"/>
  <c r="C1192" i="13"/>
  <c r="C9222" i="13"/>
  <c r="C4785" i="13"/>
  <c r="C3436" i="13"/>
  <c r="C7475" i="13"/>
  <c r="C8249" i="13"/>
  <c r="C936" i="13"/>
  <c r="C8714" i="13"/>
  <c r="C5327" i="13"/>
  <c r="C8403" i="13"/>
  <c r="C6458" i="13"/>
  <c r="C6450" i="13"/>
  <c r="C4271" i="13"/>
  <c r="C6190" i="13"/>
  <c r="C1294" i="13"/>
  <c r="C9272" i="13"/>
  <c r="C9204" i="13"/>
  <c r="C9344" i="13"/>
  <c r="C8274" i="13"/>
  <c r="C6005" i="13"/>
  <c r="C4166" i="13"/>
  <c r="C3411" i="13"/>
  <c r="C5437" i="13"/>
  <c r="C9427" i="13"/>
  <c r="C3201" i="13"/>
  <c r="C2483" i="13"/>
  <c r="C3034" i="13"/>
  <c r="C8260" i="13"/>
  <c r="C7622" i="13"/>
  <c r="C7460" i="13"/>
  <c r="C1848" i="13"/>
  <c r="C9917" i="13"/>
  <c r="C6396" i="13"/>
  <c r="C2969" i="13"/>
  <c r="C9212" i="13"/>
  <c r="C2298" i="13"/>
  <c r="C4723" i="13"/>
  <c r="C5597" i="13"/>
  <c r="C1945" i="13"/>
  <c r="C3858" i="13"/>
  <c r="C4301" i="13"/>
  <c r="C7043" i="13"/>
  <c r="C1473" i="13"/>
  <c r="C5323" i="13"/>
  <c r="C1109" i="13"/>
  <c r="C9614" i="13"/>
  <c r="C5130" i="13"/>
  <c r="C8060" i="13"/>
  <c r="C4849" i="13"/>
  <c r="C2279" i="13"/>
  <c r="C3391" i="13"/>
  <c r="C3900" i="13"/>
  <c r="C466" i="13"/>
  <c r="C5826" i="13"/>
  <c r="C2843" i="13"/>
  <c r="C9071" i="13"/>
  <c r="C9473" i="13"/>
  <c r="C932" i="13"/>
  <c r="C2182" i="13"/>
  <c r="C4300" i="13"/>
  <c r="C7196" i="13"/>
  <c r="C8671" i="13"/>
  <c r="C9306" i="13"/>
  <c r="C6993" i="13"/>
  <c r="C133" i="13"/>
  <c r="C713" i="13"/>
  <c r="C4861" i="13"/>
  <c r="C6556" i="13"/>
  <c r="C5627" i="13"/>
  <c r="C3071" i="13"/>
  <c r="C9869" i="13"/>
  <c r="C6366" i="13"/>
  <c r="C7916" i="13"/>
  <c r="C4958" i="13"/>
  <c r="C4450" i="13"/>
  <c r="C4242" i="13"/>
  <c r="C4488" i="13"/>
  <c r="C6120" i="13"/>
  <c r="C3124" i="13"/>
  <c r="C1870" i="13"/>
  <c r="C3788" i="13"/>
  <c r="C5991" i="13"/>
  <c r="C6505" i="13"/>
  <c r="C1002" i="13"/>
  <c r="C2780" i="13"/>
  <c r="C7793" i="13"/>
  <c r="C2880" i="13"/>
  <c r="C4053" i="13"/>
  <c r="C2592" i="13"/>
  <c r="C2796" i="13"/>
  <c r="C8554" i="13"/>
  <c r="C3241" i="13"/>
  <c r="C2588" i="13"/>
  <c r="C8965" i="13"/>
  <c r="C5475" i="13"/>
  <c r="C9868" i="13"/>
  <c r="C7467" i="13"/>
  <c r="C126" i="13"/>
  <c r="C7770" i="13"/>
  <c r="C854" i="13"/>
  <c r="C6041" i="13"/>
  <c r="C9462" i="13"/>
  <c r="C8664" i="13"/>
  <c r="C7714" i="13"/>
  <c r="C3808" i="13"/>
  <c r="C7061" i="13"/>
  <c r="C2699" i="13"/>
  <c r="C1364" i="13"/>
  <c r="C6502" i="13"/>
  <c r="C3325" i="13"/>
  <c r="C5885" i="13"/>
  <c r="C3803" i="13"/>
  <c r="C6480" i="13"/>
  <c r="C1308" i="13"/>
  <c r="C5281" i="13"/>
  <c r="C5372" i="13"/>
  <c r="C7005" i="13"/>
  <c r="C4239" i="13"/>
  <c r="C224" i="13"/>
  <c r="C6767" i="13"/>
  <c r="C6300" i="13"/>
  <c r="C5985" i="13"/>
  <c r="C3688" i="13"/>
  <c r="C5873" i="13"/>
  <c r="C2747" i="13"/>
  <c r="C9898" i="13"/>
  <c r="C5565" i="13"/>
  <c r="C7023" i="13"/>
  <c r="C342" i="13"/>
  <c r="C7933" i="13"/>
  <c r="C2737" i="13"/>
  <c r="C8259" i="13"/>
  <c r="C4282" i="13"/>
  <c r="C6900" i="13"/>
  <c r="C5040" i="13"/>
  <c r="C8772" i="13"/>
  <c r="C6320" i="13"/>
  <c r="C9415" i="13"/>
  <c r="C2942" i="13"/>
  <c r="C7168" i="13"/>
  <c r="C5609" i="13"/>
  <c r="C3776" i="13"/>
  <c r="C4302" i="13"/>
  <c r="C5325" i="13"/>
  <c r="C4932" i="13"/>
  <c r="C6789" i="13"/>
  <c r="C4937" i="13"/>
  <c r="C2835" i="13"/>
  <c r="C3898" i="13"/>
  <c r="C5749" i="13"/>
  <c r="C8699" i="13"/>
  <c r="C3693" i="13"/>
  <c r="C3893" i="13"/>
  <c r="C5302" i="13"/>
  <c r="C9553" i="13"/>
  <c r="C4952" i="13"/>
  <c r="C9386" i="13"/>
  <c r="C7855" i="13"/>
  <c r="C8059" i="13"/>
  <c r="C6376" i="13"/>
  <c r="C8526" i="13"/>
  <c r="C2964" i="13"/>
  <c r="C5109" i="13"/>
  <c r="C5318" i="13"/>
  <c r="C8051" i="13"/>
  <c r="C8595" i="13"/>
  <c r="C9126" i="13"/>
  <c r="C1471" i="13"/>
  <c r="C4033" i="13"/>
  <c r="C6428" i="13"/>
  <c r="C6670" i="13"/>
  <c r="C3118" i="13"/>
  <c r="C3806" i="13"/>
  <c r="C6951" i="13"/>
  <c r="C8912" i="13"/>
  <c r="C8499" i="13"/>
  <c r="C8470" i="13"/>
  <c r="C1703" i="13"/>
  <c r="C4056" i="13"/>
  <c r="C8272" i="13"/>
  <c r="C8925" i="13"/>
  <c r="C9548" i="13"/>
  <c r="C5753" i="13"/>
  <c r="C3504" i="13"/>
  <c r="C2228" i="13"/>
  <c r="C5074" i="13"/>
  <c r="C4771" i="13"/>
  <c r="C3040" i="13"/>
  <c r="C7186" i="13"/>
  <c r="C4476" i="13"/>
  <c r="C2018" i="13"/>
  <c r="C8893" i="13"/>
  <c r="C4394" i="13"/>
  <c r="C2951" i="13"/>
  <c r="C7559" i="13"/>
  <c r="C3067" i="13"/>
  <c r="C7749" i="13"/>
  <c r="C8177" i="13"/>
  <c r="C8113" i="13"/>
  <c r="C872" i="13"/>
  <c r="C9127" i="13"/>
  <c r="C6019" i="13"/>
  <c r="C2762" i="13"/>
  <c r="C6571" i="13"/>
  <c r="C2686" i="13"/>
  <c r="C1517" i="13"/>
  <c r="C90" i="13"/>
  <c r="C4954" i="13"/>
  <c r="C3793" i="13"/>
  <c r="C9147" i="13"/>
  <c r="C1435" i="13"/>
  <c r="C1784" i="13"/>
  <c r="C7672" i="13"/>
  <c r="C3146" i="13"/>
  <c r="C2920" i="13"/>
  <c r="C5176" i="13"/>
  <c r="C1979" i="13"/>
  <c r="C2289" i="13"/>
  <c r="C8031" i="13"/>
  <c r="C9199" i="13"/>
  <c r="C9401" i="13"/>
  <c r="C9946" i="13"/>
  <c r="C874" i="13"/>
  <c r="C9115" i="13"/>
  <c r="C7154" i="13"/>
  <c r="C1238" i="13"/>
  <c r="C3090" i="13"/>
  <c r="C4348" i="13"/>
  <c r="C9985" i="13"/>
  <c r="C9041" i="13"/>
  <c r="C9801" i="13"/>
  <c r="C7153" i="13"/>
  <c r="C6972" i="13"/>
  <c r="C8236" i="13"/>
  <c r="C1464" i="13"/>
  <c r="C7997" i="13"/>
  <c r="C4356" i="13"/>
  <c r="C7315" i="13"/>
  <c r="C3517" i="13"/>
  <c r="C3496" i="13"/>
  <c r="C8796" i="13"/>
  <c r="C6889" i="13"/>
  <c r="C5232" i="13"/>
  <c r="C8283" i="13"/>
  <c r="C4253" i="13"/>
  <c r="C178" i="13"/>
  <c r="C4941" i="13"/>
  <c r="C4609" i="13"/>
  <c r="C5228" i="13"/>
  <c r="C9194" i="13"/>
  <c r="C8841" i="13"/>
  <c r="C2650" i="13"/>
  <c r="C8585" i="13"/>
  <c r="C8729" i="13"/>
  <c r="C7342" i="13"/>
  <c r="C5348" i="13"/>
  <c r="C1937" i="13"/>
  <c r="C8311" i="13"/>
  <c r="C8844" i="13"/>
  <c r="C9224" i="13"/>
  <c r="C7341" i="13"/>
  <c r="C5455" i="13"/>
  <c r="C2633" i="13"/>
  <c r="C4188" i="13"/>
  <c r="C6632" i="13"/>
  <c r="C5229" i="13"/>
  <c r="C6198" i="13"/>
  <c r="C4174" i="13"/>
  <c r="C5434" i="13"/>
  <c r="C8738" i="13"/>
  <c r="C3613" i="13"/>
  <c r="C8093" i="13"/>
  <c r="C8628" i="13"/>
  <c r="C8784" i="13"/>
  <c r="C377" i="13"/>
  <c r="C6087" i="13"/>
  <c r="C1658" i="13"/>
  <c r="C9934" i="13"/>
  <c r="C8610" i="13"/>
  <c r="C8992" i="13"/>
  <c r="C9465" i="13"/>
  <c r="C8647" i="13"/>
  <c r="C8706" i="13"/>
  <c r="C8850" i="13"/>
  <c r="C7778" i="13"/>
  <c r="C5795" i="13"/>
  <c r="C2031" i="13"/>
  <c r="C4592" i="13"/>
  <c r="C4743" i="13"/>
  <c r="C5143" i="13"/>
  <c r="C6268" i="13"/>
  <c r="C9929" i="13"/>
  <c r="C5470" i="13"/>
  <c r="C1524" i="13"/>
  <c r="C6223" i="13"/>
  <c r="C3809" i="13"/>
  <c r="C2520" i="13"/>
  <c r="C795" i="13"/>
  <c r="C3600" i="13"/>
  <c r="C5173" i="13"/>
  <c r="C453" i="13"/>
  <c r="C3155" i="13"/>
  <c r="C6535" i="13"/>
  <c r="C9316" i="13"/>
  <c r="C580" i="13"/>
  <c r="C3975" i="13"/>
  <c r="C1788" i="13"/>
  <c r="C33" i="13"/>
  <c r="C5068" i="13"/>
  <c r="C4520" i="13"/>
  <c r="C4568" i="13"/>
  <c r="C8696" i="13"/>
  <c r="C1325" i="13"/>
  <c r="C9905" i="13"/>
  <c r="C7951" i="13"/>
  <c r="C4156" i="13"/>
  <c r="C4246" i="13"/>
  <c r="C760" i="13"/>
  <c r="C9945" i="13"/>
  <c r="C6490" i="13"/>
  <c r="C1676" i="13"/>
  <c r="C3107" i="13"/>
  <c r="C8016" i="13"/>
  <c r="C812" i="13"/>
  <c r="C5351" i="13"/>
  <c r="C2127" i="13"/>
  <c r="C9377" i="13"/>
  <c r="C2865" i="13"/>
  <c r="C3387" i="13"/>
  <c r="C1475" i="13"/>
  <c r="C8411" i="13"/>
  <c r="C3821" i="13"/>
  <c r="C5925" i="13"/>
  <c r="C5607" i="13"/>
  <c r="C3965" i="13"/>
  <c r="C5216" i="13"/>
  <c r="C5940" i="13"/>
  <c r="C2286" i="13"/>
  <c r="C7337" i="13"/>
  <c r="C8325" i="13"/>
  <c r="C7785" i="13"/>
  <c r="C4193" i="13"/>
  <c r="C9835" i="13"/>
  <c r="C1312" i="13"/>
  <c r="C2489" i="13"/>
  <c r="C6287" i="13"/>
  <c r="C6187" i="13"/>
  <c r="C6151" i="13"/>
  <c r="C5035" i="13"/>
  <c r="C5236" i="13"/>
  <c r="C3831" i="13"/>
  <c r="C1488" i="13"/>
  <c r="C9653" i="13"/>
  <c r="C8038" i="13"/>
  <c r="C8002" i="13"/>
  <c r="C4050" i="13"/>
  <c r="C2351" i="13"/>
  <c r="C7081" i="13"/>
  <c r="C5057" i="13"/>
  <c r="C2186" i="13"/>
  <c r="C9400" i="13"/>
  <c r="C3056" i="13"/>
  <c r="C8783" i="13"/>
  <c r="C5203" i="13"/>
  <c r="C349" i="13"/>
  <c r="C8809" i="13"/>
  <c r="C8964" i="13"/>
  <c r="C7078" i="13"/>
  <c r="C2418" i="13"/>
  <c r="C6761" i="13"/>
  <c r="C5849" i="13"/>
  <c r="C4189" i="13"/>
  <c r="C2665" i="13"/>
  <c r="C2813" i="13"/>
  <c r="C3863" i="13"/>
  <c r="C889" i="13"/>
  <c r="C344" i="13"/>
  <c r="C4072" i="13"/>
  <c r="C8215" i="13"/>
  <c r="C6526" i="13"/>
  <c r="C6860" i="13"/>
  <c r="C6248" i="13"/>
  <c r="C7483" i="13"/>
  <c r="C8192" i="13"/>
  <c r="C9216" i="13"/>
  <c r="C9053" i="13"/>
  <c r="C9205" i="13"/>
  <c r="C8367" i="13"/>
  <c r="C6154" i="13"/>
  <c r="C9815" i="13"/>
  <c r="C9392" i="13"/>
  <c r="C9522" i="13"/>
  <c r="C8970" i="13"/>
  <c r="C7703" i="13"/>
  <c r="C6275" i="13"/>
  <c r="C7492" i="13"/>
  <c r="C2069" i="13"/>
  <c r="C3626" i="13"/>
  <c r="C4076" i="13"/>
  <c r="C8977" i="13"/>
  <c r="C1603" i="13"/>
  <c r="C4296" i="13"/>
  <c r="C8464" i="13"/>
  <c r="C8200" i="13"/>
  <c r="C2321" i="13"/>
  <c r="C4238" i="13"/>
  <c r="C8933" i="13"/>
  <c r="C2146" i="13"/>
  <c r="C5654" i="13"/>
  <c r="C6542" i="13"/>
  <c r="C5672" i="13"/>
  <c r="C5780" i="13"/>
  <c r="C2033" i="13"/>
  <c r="C3895" i="13"/>
  <c r="C9080" i="13"/>
  <c r="C9885" i="13"/>
  <c r="C9477" i="13"/>
  <c r="C676" i="13"/>
  <c r="C7075" i="13"/>
  <c r="C6856" i="13"/>
  <c r="C7175" i="13"/>
  <c r="C3896" i="13"/>
  <c r="C5971" i="13"/>
  <c r="C4874" i="13"/>
  <c r="C7589" i="13"/>
  <c r="C775" i="13"/>
  <c r="C9861" i="13"/>
  <c r="C1526" i="13"/>
  <c r="C2088" i="13"/>
  <c r="C4040" i="13"/>
  <c r="C4422" i="13"/>
  <c r="C9536" i="13"/>
  <c r="C9832" i="13"/>
  <c r="C7400" i="13"/>
  <c r="C5052" i="13"/>
  <c r="C5702" i="13"/>
  <c r="C7157" i="13"/>
  <c r="C8866" i="13"/>
  <c r="C5129" i="13"/>
  <c r="C8231" i="13"/>
  <c r="C4943" i="13"/>
  <c r="C9482" i="13"/>
  <c r="C8406" i="13"/>
  <c r="C3220" i="13"/>
  <c r="C6691" i="13"/>
  <c r="C9445" i="13"/>
  <c r="C3511" i="13"/>
  <c r="C9014" i="13"/>
  <c r="C9721" i="13"/>
  <c r="C2694" i="13"/>
  <c r="C5623" i="13"/>
  <c r="C3099" i="13"/>
  <c r="C9718" i="13"/>
  <c r="C3727" i="13"/>
  <c r="C7845" i="13"/>
  <c r="C5170" i="13"/>
  <c r="C3160" i="13"/>
  <c r="C1840" i="13"/>
  <c r="B18" i="7" l="1"/>
  <c r="E6" i="13"/>
  <c r="E5" i="13"/>
  <c r="E4" i="13"/>
</calcChain>
</file>

<file path=xl/sharedStrings.xml><?xml version="1.0" encoding="utf-8"?>
<sst xmlns="http://schemas.openxmlformats.org/spreadsheetml/2006/main" count="423" uniqueCount="341">
  <si>
    <t>A. COMPANY &amp; MARKET DATA</t>
  </si>
  <si>
    <t>Company Name</t>
  </si>
  <si>
    <t>Diageo plc</t>
  </si>
  <si>
    <t>Currency</t>
  </si>
  <si>
    <t>GBP</t>
  </si>
  <si>
    <t>All values in GBP millions</t>
  </si>
  <si>
    <t>Analysis Date</t>
  </si>
  <si>
    <t>2024-12-05</t>
  </si>
  <si>
    <t>B. COST OF CAPITAL (GIVEN)</t>
  </si>
  <si>
    <t>WACC (%)</t>
  </si>
  <si>
    <t>Cost of Equity, r_e (%) (£m)</t>
  </si>
  <si>
    <t>Cost of Debt, r_d (%) (£m)</t>
  </si>
  <si>
    <t>Risk-Free Rate (%)</t>
  </si>
  <si>
    <t>Beta (Levered)</t>
  </si>
  <si>
    <t>Corporate Tax Rate (%)</t>
  </si>
  <si>
    <t>C. VALUATION ASSUMPTIONS</t>
  </si>
  <si>
    <t>Terminal Growth Rate - Perpetuity (%)</t>
  </si>
  <si>
    <t>Projection Period (years)</t>
  </si>
  <si>
    <t>Discounting Convention</t>
  </si>
  <si>
    <t>End of period</t>
  </si>
  <si>
    <t>Inflation Assumption (%)</t>
  </si>
  <si>
    <t>FX Rate (GBP/USD)</t>
  </si>
  <si>
    <t>D. CAPITAL STRUCTURE (CURRENT)</t>
  </si>
  <si>
    <t>Market Value of Equity (£m)</t>
  </si>
  <si>
    <t>See Bloomberg 72% weight</t>
  </si>
  <si>
    <t>Market Value of Debt (£m)</t>
  </si>
  <si>
    <t>See Bloomberg 28% weight</t>
  </si>
  <si>
    <t>Total Capital (£m)</t>
  </si>
  <si>
    <t>N/A</t>
  </si>
  <si>
    <t>Weight of Equity (%) (£m)</t>
  </si>
  <si>
    <t>Weight of Debt (%) (£m)</t>
  </si>
  <si>
    <t>Check: Sum of Weights</t>
  </si>
  <si>
    <t>A. PROJECT IDENTIFICATION</t>
  </si>
  <si>
    <t>Project Name</t>
  </si>
  <si>
    <t>Premium Ready-To-Drink (RTD) Expansion Project</t>
  </si>
  <si>
    <t>Project Location</t>
  </si>
  <si>
    <t>United Kingdom</t>
  </si>
  <si>
    <t>Project Description</t>
  </si>
  <si>
    <t>Capacity expansion + product innovation in RTD spirits</t>
  </si>
  <si>
    <t>B. PROJECT TIMELINE</t>
  </si>
  <si>
    <t>Project Life (years)</t>
  </si>
  <si>
    <t>C. INITIAL INVESTMENT (YEAR 0) (£m)</t>
  </si>
  <si>
    <t>Initial CAPEX (£m)</t>
  </si>
  <si>
    <t>Pre-Operating Costs</t>
  </si>
  <si>
    <t>Initial Working Capital Investment (£m)</t>
  </si>
  <si>
    <t>D. REVENUE ASSUMPTIONS (£m)</t>
  </si>
  <si>
    <t>Year 1 Revenue (£m)</t>
  </si>
  <si>
    <t>Revenue Growth Rate (Years 2–5) (%) (£m)</t>
  </si>
  <si>
    <t>Revenue Growth Rate (Years 6+) (%) (£m)</t>
  </si>
  <si>
    <t>Terminal Growth Rate (%)</t>
  </si>
  <si>
    <t>E. OPERATING COST ASSUMPTIONS</t>
  </si>
  <si>
    <t>COGS (% of Revenue) (£m)</t>
  </si>
  <si>
    <t>Distribution &amp; OpEx (% of Revenue) (£m)</t>
  </si>
  <si>
    <t>F. DEPRECIATION &amp; TAX</t>
  </si>
  <si>
    <t>Depreciation Method</t>
  </si>
  <si>
    <t>Straight-line</t>
  </si>
  <si>
    <t>Depreciation Period</t>
  </si>
  <si>
    <t>Depreciable CAPEX (£m)</t>
  </si>
  <si>
    <t>Annual Depreciation</t>
  </si>
  <si>
    <t>G. MAINTENANCE CAPEX (£m)</t>
  </si>
  <si>
    <t>Maintenance CAPEX (% Revenue) (£m)</t>
  </si>
  <si>
    <t>H. WORKING CAPITAL</t>
  </si>
  <si>
    <t>Net Working Capital (% of Revenue) (£m)</t>
  </si>
  <si>
    <t>NWC Recovery at Project End</t>
  </si>
  <si>
    <t>Yes</t>
  </si>
  <si>
    <t>I. TERMINAL VALUE (£m)</t>
  </si>
  <si>
    <t>Terminal Value Method (£m)</t>
  </si>
  <si>
    <t>Salvage Value (£m)</t>
  </si>
  <si>
    <t>J. FINANCING (APV) (£m)</t>
  </si>
  <si>
    <t>Project-Specific Debt (£m)</t>
  </si>
  <si>
    <t>Project Debt Interest Rate (%) (£m)</t>
  </si>
  <si>
    <t>K. ECONOMIC ADJUSTMENTS (MANDATORY FOR CAPITAL BUDGETING)</t>
  </si>
  <si>
    <t>Opportunity Cost of Assets Used in Project (£m)</t>
  </si>
  <si>
    <t>User input</t>
  </si>
  <si>
    <t>Sunk Costs (£m)</t>
  </si>
  <si>
    <t>Sunk costs should NOT be included in NPV or FCF calculations.</t>
  </si>
  <si>
    <t>Cannibalisation of Existing Product Revenues (%) (£m)</t>
  </si>
  <si>
    <t>0 = none; 0.05 = 5% loss</t>
  </si>
  <si>
    <t>All figures in GBP millions</t>
  </si>
  <si>
    <t>Line Item</t>
  </si>
  <si>
    <t>FY 2020</t>
  </si>
  <si>
    <t>FY 2021</t>
  </si>
  <si>
    <t>FY 2022</t>
  </si>
  <si>
    <t>FY 2023</t>
  </si>
  <si>
    <t>FY 2024</t>
  </si>
  <si>
    <t>5-Year Average</t>
  </si>
  <si>
    <t>INCOME STATEMENT</t>
  </si>
  <si>
    <t>Revenue (£m)</t>
  </si>
  <si>
    <t>COGS (£m)</t>
  </si>
  <si>
    <t>Gross Profit</t>
  </si>
  <si>
    <t>Operating Expenses (£m)</t>
  </si>
  <si>
    <t>EBITDA (£m)</t>
  </si>
  <si>
    <t>Depreciation &amp; Amortisation</t>
  </si>
  <si>
    <t>EBIT (£m)</t>
  </si>
  <si>
    <t>Interest Expense</t>
  </si>
  <si>
    <t>Pre-Tax Income</t>
  </si>
  <si>
    <t>Taxes</t>
  </si>
  <si>
    <t>Net Income (£m)</t>
  </si>
  <si>
    <t>BALANCE SHEET</t>
  </si>
  <si>
    <t>Total Assets (£m)</t>
  </si>
  <si>
    <t>Total Liabilities (£m)</t>
  </si>
  <si>
    <t>Total Equity (£m)</t>
  </si>
  <si>
    <t>Short-Term Debt (£m)</t>
  </si>
  <si>
    <t>Long-Term Debt (£m)</t>
  </si>
  <si>
    <t>Cash &amp; Cash Equivalents</t>
  </si>
  <si>
    <t>FINANCIAL RATIOS &amp; METRICS</t>
  </si>
  <si>
    <t>Net Debt (£m)</t>
  </si>
  <si>
    <t>Debt/Assets (£m)</t>
  </si>
  <si>
    <t>Debt/Equity (£m)</t>
  </si>
  <si>
    <t>Intangible Assets (£m)</t>
  </si>
  <si>
    <t>Debt/Tangible Net Worth (£m)</t>
  </si>
  <si>
    <t>Interest Coverage</t>
  </si>
  <si>
    <t>Check: Assets = Liabs + Equity (£m)</t>
  </si>
  <si>
    <t>HISTORICAL RATIOS – DIAGEO PLC</t>
  </si>
  <si>
    <t>Ratio / Metric</t>
  </si>
  <si>
    <t>5-Year Avg</t>
  </si>
  <si>
    <t>Revenue Growth (%) (£m)</t>
  </si>
  <si>
    <t>n/a</t>
  </si>
  <si>
    <t>Gross Margin (%)</t>
  </si>
  <si>
    <t>EBITDA Margin (%) (£m)</t>
  </si>
  <si>
    <t>EBIT Margin (%) (£m)</t>
  </si>
  <si>
    <t>Net Margin (%)</t>
  </si>
  <si>
    <t>Effective Tax Rate (%)</t>
  </si>
  <si>
    <t>Total Debt (GBP) (£m)</t>
  </si>
  <si>
    <t>Net Debt (GBP) (£m)</t>
  </si>
  <si>
    <t>Debt / Assets (%) (£m)</t>
  </si>
  <si>
    <t>Debt / Equity (x) (£m)</t>
  </si>
  <si>
    <t>Debt / Tangible Net Worth (x) (£m)</t>
  </si>
  <si>
    <t>Net Debt / EBITDA (x) (£m)</t>
  </si>
  <si>
    <t>Interest Coverage (x)</t>
  </si>
  <si>
    <t>Return on Assets (ROA) (%) (£m)</t>
  </si>
  <si>
    <t>Return on Equity (ROE) (%) (£m)</t>
  </si>
  <si>
    <t>Asset Turnover (x) (£m)</t>
  </si>
  <si>
    <t>Equity Multiplier (x) (£m)</t>
  </si>
  <si>
    <t>Official Bloomberg Capital Structure</t>
  </si>
  <si>
    <t>Weight of Equity (Target) (£m)</t>
  </si>
  <si>
    <t>Weight of Debt (Target) (£m)</t>
  </si>
  <si>
    <t>Cost of Capital Inputs (Reference Only)</t>
  </si>
  <si>
    <t>Cost of Equity (r_e) (£m)</t>
  </si>
  <si>
    <t>Cost of Debt (r_d) (£m)</t>
  </si>
  <si>
    <t>Risk-Free Rate (r_f)</t>
  </si>
  <si>
    <t>Corporate Tax Rate (t)</t>
  </si>
  <si>
    <t>WACC Verification</t>
  </si>
  <si>
    <t>Recomputed WACC</t>
  </si>
  <si>
    <t>Difference</t>
  </si>
  <si>
    <t>Premium RTD Expansion</t>
  </si>
  <si>
    <t>Capacity expansion + RTD product innovation</t>
  </si>
  <si>
    <t>Start Year</t>
  </si>
  <si>
    <t>First Operating Year</t>
  </si>
  <si>
    <t>Final Operating Year</t>
  </si>
  <si>
    <t>Total Initial Investment (£m)</t>
  </si>
  <si>
    <t>Revenue Growth Rate (Years 2-4) (£m)</t>
  </si>
  <si>
    <t>Revenue Growth Rate (Years 5-6) (£m)</t>
  </si>
  <si>
    <t>Terminal Growth Rate</t>
  </si>
  <si>
    <t>Operating Expenses (% of Revenue) (£m)</t>
  </si>
  <si>
    <t>F. DEPRECIATION</t>
  </si>
  <si>
    <t>Depreciation Period (years)</t>
  </si>
  <si>
    <t>Corporate Tax Rate</t>
  </si>
  <si>
    <t>Maintenance CAPEX (% of Revenue) (£m)</t>
  </si>
  <si>
    <t>Maintenance CAPEX (Fixed) (£m)</t>
  </si>
  <si>
    <t>I. TERMINAL VALUE ASSUMPTIONS (£m)</t>
  </si>
  <si>
    <t>Perpetuity Growth</t>
  </si>
  <si>
    <t>Terminal Growth Rate (Checks)</t>
  </si>
  <si>
    <t>J. FINANCING (OPTIONAL FOR APV) (£m)</t>
  </si>
  <si>
    <t>Project Debt Financing (£m)</t>
  </si>
  <si>
    <t>Project Debt Interest Rate (£m)</t>
  </si>
  <si>
    <t>Period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</si>
  <si>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</si>
  <si>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</si>
  <si>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</si>
  <si>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</si>
  <si>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</si>
  <si>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</si>
  <si>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</si>
  <si>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</si>
  <si>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</si>
  <si>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Total Operating Costs</t>
  </si>
  <si>
    <t>Depreciation</t>
  </si>
  <si>
    <t>Tax Expense</t>
  </si>
  <si>
    <t>NOPAT</t>
  </si>
  <si>
    <t>Add: Depreciation</t>
  </si>
  <si>
    <t>Less: CAPEX (£m)</t>
  </si>
  <si>
    <t>NWC Balance (Ref Only)</t>
  </si>
  <si>
    <t>Less: Change in NWC</t>
  </si>
  <si>
    <t>Terminal Value (£m)</t>
  </si>
  <si>
    <t>Free Cash Flow (FCFF) (£m)</t>
  </si>
  <si>
    <t>VALUATION: WACC METHOD</t>
  </si>
  <si>
    <t>Method: Discounts total project cash flows (FCFF + Terminal Value) at WACC to get Enterprise Value (£m)</t>
  </si>
  <si>
    <t>Year</t>
  </si>
  <si>
    <t>A. PROJECT CASH FLOWS (£m)</t>
  </si>
  <si>
    <t>Total Project Cash Flow (£m)</t>
  </si>
  <si>
    <t>B. DISCOUNTING AT WACC</t>
  </si>
  <si>
    <t>Discount Factor</t>
  </si>
  <si>
    <t>PV of Cash Flow (£m)</t>
  </si>
  <si>
    <t>C. VALUATION RESULTS</t>
  </si>
  <si>
    <t>Enterprise Value / Project NPV (£m)</t>
  </si>
  <si>
    <t>Project IRR (%)</t>
  </si>
  <si>
    <t>D. ASSUMPTIONS USED</t>
  </si>
  <si>
    <t>WACC</t>
  </si>
  <si>
    <t>Tax Rate</t>
  </si>
  <si>
    <t>VALUATION: ADJUSTED PRESENT VALUE (APV) METHOD (£m)</t>
  </si>
  <si>
    <t>Method: APV = Base-Case NPV (at WACC) + PV of Tax Shields (at r_d) (£m)</t>
  </si>
  <si>
    <t>A. BASE-CASE VALUATION (UNLEVERED)</t>
  </si>
  <si>
    <t>Discount Factor (WACC)</t>
  </si>
  <si>
    <t>Base-Case Project PV (£m)</t>
  </si>
  <si>
    <t>B. TAX SHIELDS FROM PROJECT DEBT (£m)</t>
  </si>
  <si>
    <t>Project Debt (£m)</t>
  </si>
  <si>
    <t>Interest Expense (£m)</t>
  </si>
  <si>
    <t>Tax Shield (£m)</t>
  </si>
  <si>
    <t>Discount Factor (r_d)</t>
  </si>
  <si>
    <t>PV of Tax Shield (£m)</t>
  </si>
  <si>
    <t>PV of Tax Shields (£m)</t>
  </si>
  <si>
    <t>C. ADJUSTED PRESENT VALUE (£m)</t>
  </si>
  <si>
    <t>Add: PV of Tax Shields (£m)</t>
  </si>
  <si>
    <t>ADJUSTED PRESENT VALUE (APV) (£m)</t>
  </si>
  <si>
    <t>WACC (for base case)</t>
  </si>
  <si>
    <t>Cost of Debt r_d (£m)</t>
  </si>
  <si>
    <t>VALUATION: FLOW TO EQUITY (FCFE) METHOD (£m)</t>
  </si>
  <si>
    <t>Method: Discounts equity cash flows (FCFF - After-Tax Interest + Net Debt Issuance) at Cost of Equity to get Equity Value (£m)</t>
  </si>
  <si>
    <t>A. FREE CASH FLOW TO FIRM (£m)</t>
  </si>
  <si>
    <t>FCFF (£m)</t>
  </si>
  <si>
    <t>B. FINANCING ADJUSTMENTS</t>
  </si>
  <si>
    <t>Interest on Project Debt (£m)</t>
  </si>
  <si>
    <t>After-Tax Interest (£m)</t>
  </si>
  <si>
    <t>Net Debt Issuance/(Repayment) (£m)</t>
  </si>
  <si>
    <t>C. FREE CASH FLOW TO EQUITY (£m)</t>
  </si>
  <si>
    <t>FCFE (£m)</t>
  </si>
  <si>
    <t>Total FCFE (£m)</t>
  </si>
  <si>
    <t>D. DISCOUNTING AT COST OF EQUITY (£m)</t>
  </si>
  <si>
    <t>Discount Factor (r_e)</t>
  </si>
  <si>
    <t>PV of FCFE (£m)</t>
  </si>
  <si>
    <t>E. EQUITY VALUE (£m)</t>
  </si>
  <si>
    <t>EQUITY VALUE (£m)</t>
  </si>
  <si>
    <t>F. ASSUMPTIONS USED</t>
  </si>
  <si>
    <t>Cost of Equity, r_e (£m)</t>
  </si>
  <si>
    <t>SENSITIVITY ANALYSIS</t>
  </si>
  <si>
    <t>A. One-way Sensitivity: NPV vs WACC (£m)</t>
  </si>
  <si>
    <t>NPV (£m)</t>
  </si>
  <si>
    <t>B. One-way Sensitivity: NPV vs Terminal Growth Rate g (£m)</t>
  </si>
  <si>
    <t>g</t>
  </si>
  <si>
    <t>SCENARIO ANALYSIS (High-level, revenue-proportional FCFF) (£m)</t>
  </si>
  <si>
    <t>Scenario</t>
  </si>
  <si>
    <t>Year 1 Revenue</t>
  </si>
  <si>
    <t>Scale vs Base</t>
  </si>
  <si>
    <t>FCFF1</t>
  </si>
  <si>
    <t>FCFF2</t>
  </si>
  <si>
    <t>FCFF3</t>
  </si>
  <si>
    <t>FCFF4</t>
  </si>
  <si>
    <t>FCFF5</t>
  </si>
  <si>
    <t>FCFF6</t>
  </si>
  <si>
    <t>FCFF7</t>
  </si>
  <si>
    <t>FCFF8</t>
  </si>
  <si>
    <t>Pessimistic</t>
  </si>
  <si>
    <t>Base</t>
  </si>
  <si>
    <t>Optimistic</t>
  </si>
  <si>
    <t>BREAK-EVEN ANALYSIS – Goal Seek on Year 1 Revenue (£m)</t>
  </si>
  <si>
    <t>Base Year 1 Revenue (from Project_Assumptions) (£m)</t>
  </si>
  <si>
    <t>Year 1 Revenue (input for Goal Seek) (£m)</t>
  </si>
  <si>
    <t>Scaled FCFF used for NPV (do not edit formulas below) (£m)</t>
  </si>
  <si>
    <t>FCFF1 (£m)</t>
  </si>
  <si>
    <t>NPV at this Year 1 Revenue (£m)</t>
  </si>
  <si>
    <t>Instruction:</t>
  </si>
  <si>
    <t>Use Data → What-If Analysis → Goal Seek:</t>
  </si>
  <si>
    <t>Set cell B11 to value 0, by changing cell B4. (£m)</t>
  </si>
  <si>
    <t>MONTE CARLO SIMULATION – WACC UNCERTAINTY</t>
  </si>
  <si>
    <t>Base WACC (from Inputs)</t>
  </si>
  <si>
    <t>SUMMARY (NPV distribution)</t>
  </si>
  <si>
    <t>WACC min</t>
  </si>
  <si>
    <t>Mean NPV</t>
  </si>
  <si>
    <t>WACC max</t>
  </si>
  <si>
    <t>Std Dev NPV</t>
  </si>
  <si>
    <t># Simulations</t>
  </si>
  <si>
    <t>Prob(NPV&lt;0)</t>
  </si>
  <si>
    <t>Sim #</t>
  </si>
  <si>
    <t>Random WACC</t>
  </si>
  <si>
    <t>Capital Structure Ratio Trends (Part 2)</t>
  </si>
  <si>
    <t>Ratio</t>
  </si>
  <si>
    <t>Metric</t>
  </si>
  <si>
    <t>Value</t>
  </si>
  <si>
    <t>Overall ESG Score (BESG ESG Score)</t>
  </si>
  <si>
    <t>Environmental Pillar Score</t>
  </si>
  <si>
    <t>Social Pillar Score</t>
  </si>
  <si>
    <t>Governance Pillar Score</t>
  </si>
  <si>
    <t>Governance Disclosure Score</t>
  </si>
  <si>
    <t>Controversy / ESG Risk Score</t>
  </si>
  <si>
    <t>Not available</t>
  </si>
  <si>
    <t>ESG &amp; Governance Scores</t>
  </si>
  <si>
    <t>Board Structure</t>
  </si>
  <si>
    <t>Board size</t>
  </si>
  <si>
    <t>10 directors</t>
  </si>
  <si>
    <t>Independent directors (% / count)</t>
  </si>
  <si>
    <t>80% (8 of 10)</t>
  </si>
  <si>
    <t>Female directors (% Women on Board)</t>
  </si>
  <si>
    <t>CEO–Chair structure</t>
  </si>
  <si>
    <t>Separate roles (No CEO duality)</t>
  </si>
  <si>
    <t>Board meeting attendance</t>
  </si>
  <si>
    <t>98.36% (FY2024)</t>
  </si>
  <si>
    <t>Committee Structure &amp; Independence</t>
  </si>
  <si>
    <t>Committee</t>
  </si>
  <si>
    <t>Independence</t>
  </si>
  <si>
    <t>Audit Committee</t>
  </si>
  <si>
    <t>100% independent</t>
  </si>
  <si>
    <t>Remuneration Committee</t>
  </si>
  <si>
    <t>Nomination Committee</t>
  </si>
  <si>
    <t>Sustainability / ESG Committee</t>
  </si>
  <si>
    <t>No dedicated committee</t>
  </si>
  <si>
    <t>Shareholder</t>
  </si>
  <si>
    <t>% Ownership</t>
  </si>
  <si>
    <t>BlackRock Investment Management (UK)</t>
  </si>
  <si>
    <t>Capital Research and Management Company</t>
  </si>
  <si>
    <t>Massachusetts Financial Services Company</t>
  </si>
  <si>
    <t>Ownership Structure</t>
  </si>
  <si>
    <t>Total CEO remuneration (Debra Crew)</t>
  </si>
  <si>
    <t>£3,067</t>
  </si>
  <si>
    <t>Fixed pay</t>
  </si>
  <si>
    <t>£1,696 (£000)</t>
  </si>
  <si>
    <t>Variable pay</t>
  </si>
  <si>
    <t>£1,371 (£000)</t>
  </si>
  <si>
    <t>Annual bonus payout</t>
  </si>
  <si>
    <t>24.8% of maximum</t>
  </si>
  <si>
    <t>Financial element of bonus</t>
  </si>
  <si>
    <t>16% of maximum</t>
  </si>
  <si>
    <t>Executive Compensation</t>
  </si>
  <si>
    <t>KPI</t>
  </si>
  <si>
    <t>Actual Value</t>
  </si>
  <si>
    <t>LTIP vesting (Performance Shares)</t>
  </si>
  <si>
    <t>LTIP vesting (Share Options)</t>
  </si>
  <si>
    <t>Relative TSR ranking</t>
  </si>
  <si>
    <t>14th</t>
  </si>
  <si>
    <t>Organic Net Sales Value growth</t>
  </si>
  <si>
    <t>PBET (Profit Before Exceptional Items &amp; Tax) growth</t>
  </si>
  <si>
    <t>Carbon reduction (ESG KPI)</t>
  </si>
  <si>
    <t>19.6% actual</t>
  </si>
  <si>
    <t>Water efficiency (ESG KPI)</t>
  </si>
  <si>
    <t>4.2% actual</t>
  </si>
  <si>
    <t>Inclusion &amp; diversity – female leaders</t>
  </si>
  <si>
    <t>LTIP (Long-Term Incentive Plan) KPIs</t>
  </si>
  <si>
    <t xml:space="preserve">CAPITAL STRUCTURE &amp; WACC </t>
  </si>
  <si>
    <t>All values in Bloomberg units (millions of GBP)</t>
  </si>
  <si>
    <t>Debt / Equity (£m)</t>
  </si>
  <si>
    <t>Debt / Assets (£m)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</si>
</sst>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0.000000"/>
    <numFmt numFmtId="166" formatCode="#,##0.0"/>
    <numFmt numFmtId="167" formatCode="0.0\x"/>
  </numFmts>
  <fonts count="11" x14ac:knownFonts="1">
    <font>
      <sz val="11"/>
      <color theme="1"/>
      <name val="Calibri"/>
      <family val="2"/>
      <charset val="1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</font>
    <font>
      <i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charset val="1"/>
    </font>
    <font>
      <b/>
      <sz val="13"/>
      <name val="Calibri"/>
      <family val="2"/>
    </font>
    <font>
      <b/>
      <sz val="12"/>
      <color theme="3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3D3D3"/>
        <bgColor rgb="FFD3D3D3"/>
      </patternFill>
    </fill>
    <fill>
      <patternFill patternType="solid">
        <fgColor rgb="FFC6E0B4"/>
        <bgColor rgb="FFC6E0B4"/>
      </patternFill>
    </fill>
    <fill>
      <patternFill patternType="solid">
        <fgColor rgb="FFC6E0B4"/>
        <bgColor rgb="FFC6E0B4"/>
      </patternFill>
    </fill>
    <fill>
      <patternFill patternType="solid">
        <fgColor rgb="FFE2F0D9"/>
        <bgColor rgb="FFE2F0D9"/>
      </patternFill>
    </fill>
    <fill>
      <patternFill patternType="solid">
        <fgColor theme="3" tint="0.79998168889431442"/>
        <bgColor rgb="FFE2F0D9"/>
      </patternFill>
    </fill>
    <fill>
      <patternFill patternType="solid">
        <fgColor theme="3" tint="0.79998168889431442"/>
        <bgColor rgb="FFFFFFE0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4" fontId="4" fillId="5" borderId="0" xfId="0" applyNumberFormat="1" applyFont="1" applyFill="1" applyAlignment="1">
      <alignment horizontal="center" vertical="center"/>
    </xf>
    <xf numFmtId="0" fontId="1" fillId="4" borderId="0" xfId="0" applyFont="1" applyFill="1"/>
    <xf numFmtId="0" fontId="1" fillId="0" borderId="0" xfId="0" applyFont="1" applyAlignment="1">
      <alignment horizontal="center" vertical="center"/>
    </xf>
    <xf numFmtId="0" fontId="2" fillId="0" borderId="0" xfId="0" applyFont="1"/>
    <xf numFmtId="10" fontId="3" fillId="0" borderId="0" xfId="0" applyNumberFormat="1" applyFont="1"/>
    <xf numFmtId="166" fontId="3" fillId="0" borderId="0" xfId="0" applyNumberFormat="1" applyFont="1"/>
    <xf numFmtId="4" fontId="1" fillId="0" borderId="0" xfId="0" applyNumberFormat="1" applyFont="1" applyAlignment="1">
      <alignment horizontal="left" vertical="center"/>
    </xf>
    <xf numFmtId="4" fontId="1" fillId="0" borderId="0" xfId="0" applyNumberFormat="1" applyFont="1" applyAlignment="1">
      <alignment horizontal="right" vertical="center"/>
    </xf>
    <xf numFmtId="4" fontId="2" fillId="0" borderId="0" xfId="0" applyNumberFormat="1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4" fontId="3" fillId="0" borderId="0" xfId="0" applyNumberFormat="1" applyFont="1" applyAlignment="1">
      <alignment horizontal="right" vertical="center"/>
    </xf>
    <xf numFmtId="10" fontId="3" fillId="0" borderId="0" xfId="0" applyNumberFormat="1" applyFont="1" applyAlignment="1">
      <alignment horizontal="right" vertical="center"/>
    </xf>
    <xf numFmtId="10" fontId="2" fillId="0" borderId="0" xfId="0" applyNumberFormat="1" applyFont="1" applyAlignment="1">
      <alignment horizontal="right" vertical="center"/>
    </xf>
    <xf numFmtId="10" fontId="1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horizontal="right" vertical="center"/>
    </xf>
    <xf numFmtId="4" fontId="5" fillId="0" borderId="0" xfId="0" applyNumberFormat="1" applyFont="1" applyAlignment="1">
      <alignment horizontal="left" vertical="center"/>
    </xf>
    <xf numFmtId="4" fontId="1" fillId="2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4" fontId="1" fillId="3" borderId="0" xfId="0" applyNumberFormat="1" applyFont="1" applyFill="1" applyAlignment="1">
      <alignment horizontal="left" vertical="center"/>
    </xf>
    <xf numFmtId="4" fontId="1" fillId="3" borderId="0" xfId="0" applyNumberFormat="1" applyFont="1" applyFill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4" fontId="1" fillId="6" borderId="0" xfId="0" applyNumberFormat="1" applyFont="1" applyFill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8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9" fontId="7" fillId="0" borderId="0" xfId="0" applyNumberFormat="1" applyFont="1" applyAlignment="1">
      <alignment vertical="center"/>
    </xf>
    <xf numFmtId="10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0" fontId="10" fillId="0" borderId="0" xfId="0" applyNumberFormat="1" applyFont="1" applyAlignment="1">
      <alignment horizontal="right" vertical="center"/>
    </xf>
    <xf numFmtId="4" fontId="10" fillId="0" borderId="0" xfId="0" applyNumberFormat="1" applyFont="1" applyAlignment="1">
      <alignment horizontal="right" vertical="center"/>
    </xf>
    <xf numFmtId="0" fontId="10" fillId="0" borderId="0" xfId="0" applyFont="1"/>
    <xf numFmtId="2" fontId="0" fillId="0" borderId="0" xfId="0" applyNumberFormat="1"/>
    <xf numFmtId="4" fontId="1" fillId="7" borderId="0" xfId="0" applyNumberFormat="1" applyFont="1" applyFill="1" applyAlignment="1">
      <alignment horizontal="right" vertical="center"/>
    </xf>
    <xf numFmtId="10" fontId="6" fillId="8" borderId="0" xfId="0" applyNumberFormat="1" applyFont="1" applyFill="1" applyAlignment="1">
      <alignment horizontal="right" vertical="center"/>
    </xf>
    <xf numFmtId="4" fontId="6" fillId="8" borderId="0" xfId="0" applyNumberFormat="1" applyFont="1" applyFill="1" applyAlignment="1">
      <alignment horizontal="right" vertical="center"/>
    </xf>
    <xf numFmtId="4" fontId="2" fillId="9" borderId="0" xfId="0" applyNumberFormat="1" applyFont="1" applyFill="1"/>
    <xf numFmtId="0" fontId="9" fillId="0" borderId="1" xfId="0" applyFont="1" applyBorder="1" applyAlignment="1">
      <alignment horizontal="center"/>
    </xf>
    <xf numFmtId="4" fontId="5" fillId="0" borderId="0" xfId="0" applyNumberFormat="1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E0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Debt / Assets (£m)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4666666666666668E-2"/>
          <c:y val="0.1505185185185185"/>
          <c:w val="0.75431093840542662"/>
          <c:h val="0.746"/>
        </c:manualLayout>
      </c:layout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dPt>
            <c:idx val="0"/>
            <c:marker>
              <c:symbol val="diamond"/>
              <c:size val="6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  <a:prstDash val="solid"/>
                  <a:round/>
                </a:ln>
              </c:spPr>
            </c:marker>
            <c:bubble3D val="0"/>
            <c:spPr>
              <a:ln w="22225" cap="rnd">
                <a:solidFill>
                  <a:schemeClr val="accent1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7E62-49F4-89A6-2C99C0CC9A18}"/>
              </c:ext>
            </c:extLst>
          </c:dPt>
          <c:dPt>
            <c:idx val="1"/>
            <c:marker>
              <c:symbol val="diamond"/>
              <c:size val="6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  <a:prstDash val="solid"/>
                  <a:round/>
                </a:ln>
              </c:spPr>
            </c:marker>
            <c:bubble3D val="0"/>
            <c:spPr>
              <a:ln w="22225" cap="rnd">
                <a:solidFill>
                  <a:schemeClr val="accent2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7E62-49F4-89A6-2C99C0CC9A18}"/>
              </c:ext>
            </c:extLst>
          </c:dPt>
          <c:dPt>
            <c:idx val="2"/>
            <c:marker>
              <c:symbol val="diamond"/>
              <c:size val="6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  <a:prstDash val="solid"/>
                  <a:round/>
                </a:ln>
              </c:spPr>
            </c:marker>
            <c:bubble3D val="0"/>
            <c:spPr>
              <a:ln w="22225" cap="rnd">
                <a:solidFill>
                  <a:schemeClr val="accent3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7E62-49F4-89A6-2C99C0CC9A18}"/>
              </c:ext>
            </c:extLst>
          </c:dPt>
          <c:dPt>
            <c:idx val="3"/>
            <c:marker>
              <c:symbol val="diamond"/>
              <c:size val="6"/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  <a:prstDash val="solid"/>
                  <a:round/>
                </a:ln>
              </c:spPr>
            </c:marker>
            <c:bubble3D val="0"/>
            <c:spPr>
              <a:ln w="22225" cap="rnd">
                <a:solidFill>
                  <a:schemeClr val="accent4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7E62-49F4-89A6-2C99C0CC9A18}"/>
              </c:ext>
            </c:extLst>
          </c:dPt>
          <c:dPt>
            <c:idx val="4"/>
            <c:marker>
              <c:symbol val="diamond"/>
              <c:size val="6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  <a:prstDash val="solid"/>
                  <a:round/>
                </a:ln>
              </c:spPr>
            </c:marker>
            <c:bubble3D val="0"/>
            <c:spPr>
              <a:ln w="22225" cap="rnd">
                <a:solidFill>
                  <a:schemeClr val="accent5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7E62-49F4-89A6-2C99C0CC9A18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Appendix!$B$2:$F$2</c:f>
              <c:strCache>
                <c:ptCount val="5"/>
                <c:pt idx="0">
                  <c:v>FY 2020</c:v>
                </c:pt>
                <c:pt idx="1">
                  <c:v>FY 2021</c:v>
                </c:pt>
                <c:pt idx="2">
                  <c:v>FY 2022</c:v>
                </c:pt>
                <c:pt idx="3">
                  <c:v>FY 2023</c:v>
                </c:pt>
                <c:pt idx="4">
                  <c:v>FY 2024</c:v>
                </c:pt>
              </c:strCache>
            </c:strRef>
          </c:cat>
          <c:val>
            <c:numRef>
              <c:f>Appendix!$B$3:$F$3</c:f>
              <c:numCache>
                <c:formatCode>0.00</c:formatCode>
                <c:ptCount val="5"/>
                <c:pt idx="0">
                  <c:v>0.50393298907169448</c:v>
                </c:pt>
                <c:pt idx="1">
                  <c:v>0.46089569054548868</c:v>
                </c:pt>
                <c:pt idx="2">
                  <c:v>0.43874340349340973</c:v>
                </c:pt>
                <c:pt idx="3">
                  <c:v>0.46322659907389618</c:v>
                </c:pt>
                <c:pt idx="4">
                  <c:v>0.47281964419027622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7E62-49F4-89A6-2C99C0CC9A1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Debt / Equity (£m)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2195347891413126E-2"/>
          <c:y val="0.10598122350090854"/>
          <c:w val="0.75183425780529223"/>
          <c:h val="0.7315437037037037"/>
        </c:manualLayout>
      </c:layout>
      <c:lineChart>
        <c:grouping val="standard"/>
        <c:varyColors val="1"/>
        <c:ser>
          <c:idx val="0"/>
          <c:order val="0"/>
          <c:marker>
            <c:symbol val="circle"/>
            <c:size val="5"/>
          </c:marker>
          <c:dPt>
            <c:idx val="0"/>
            <c:marker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FD-4B09-8102-C40F50F9DDBC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0FD-4B09-8102-C40F50F9DDBC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0FD-4B09-8102-C40F50F9DDBC}"/>
              </c:ext>
            </c:extLst>
          </c:dPt>
          <c:dPt>
            <c:idx val="3"/>
            <c:marker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0FD-4B09-8102-C40F50F9DDBC}"/>
              </c:ext>
            </c:extLst>
          </c:dPt>
          <c:dPt>
            <c:idx val="4"/>
            <c:marker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0FD-4B09-8102-C40F50F9DDB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Appendix!$B$2:$F$2</c:f>
              <c:strCache>
                <c:ptCount val="5"/>
                <c:pt idx="0">
                  <c:v>FY 2020</c:v>
                </c:pt>
                <c:pt idx="1">
                  <c:v>FY 2021</c:v>
                </c:pt>
                <c:pt idx="2">
                  <c:v>FY 2022</c:v>
                </c:pt>
                <c:pt idx="3">
                  <c:v>FY 2023</c:v>
                </c:pt>
                <c:pt idx="4">
                  <c:v>FY 2024</c:v>
                </c:pt>
              </c:strCache>
            </c:strRef>
          </c:cat>
          <c:val>
            <c:numRef>
              <c:f>Appendix!$B$4:$F$4</c:f>
              <c:numCache>
                <c:formatCode>0.00</c:formatCode>
                <c:ptCount val="5"/>
                <c:pt idx="0">
                  <c:v>1.988744075829384</c:v>
                </c:pt>
                <c:pt idx="1">
                  <c:v>1.7467678804412288</c:v>
                </c:pt>
                <c:pt idx="2">
                  <c:v>1.6840413804324037</c:v>
                </c:pt>
                <c:pt idx="3">
                  <c:v>1.7756426852752429</c:v>
                </c:pt>
                <c:pt idx="4">
                  <c:v>1.7813587583817403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E0FD-4B09-8102-C40F50F9DDB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Interest Coverage 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5186666666666666E-2"/>
          <c:y val="0.10818518518518519"/>
          <c:w val="0.81662814814814799"/>
          <c:h val="0.80209925925925929"/>
        </c:manualLayout>
      </c:layout>
      <c:lineChart>
        <c:grouping val="standard"/>
        <c:varyColors val="1"/>
        <c:ser>
          <c:idx val="0"/>
          <c:order val="0"/>
          <c:marker>
            <c:symbol val="circle"/>
            <c:size val="5"/>
          </c:marker>
          <c:dPt>
            <c:idx val="0"/>
            <c:marker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75-4956-9B90-EDBC1F415D88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775-4956-9B90-EDBC1F415D88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775-4956-9B90-EDBC1F415D88}"/>
              </c:ext>
            </c:extLst>
          </c:dPt>
          <c:dPt>
            <c:idx val="3"/>
            <c:marker>
              <c:spPr>
                <a:solidFill>
                  <a:schemeClr val="accent4"/>
                </a:solidFill>
                <a:ln w="9525">
                  <a:solidFill>
                    <a:schemeClr val="accent4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775-4956-9B90-EDBC1F415D88}"/>
              </c:ext>
            </c:extLst>
          </c:dPt>
          <c:dPt>
            <c:idx val="4"/>
            <c:marker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5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775-4956-9B90-EDBC1F415D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Appendix!$B$2:$F$2</c:f>
              <c:strCache>
                <c:ptCount val="5"/>
                <c:pt idx="0">
                  <c:v>FY 2020</c:v>
                </c:pt>
                <c:pt idx="1">
                  <c:v>FY 2021</c:v>
                </c:pt>
                <c:pt idx="2">
                  <c:v>FY 2022</c:v>
                </c:pt>
                <c:pt idx="3">
                  <c:v>FY 2023</c:v>
                </c:pt>
                <c:pt idx="4">
                  <c:v>FY 2024</c:v>
                </c:pt>
              </c:strCache>
            </c:strRef>
          </c:cat>
          <c:val>
            <c:numRef>
              <c:f>Appendix!$B$6:$F$6</c:f>
              <c:numCache>
                <c:formatCode>0.00</c:formatCode>
                <c:ptCount val="5"/>
                <c:pt idx="0">
                  <c:v>4.0299625468164795</c:v>
                </c:pt>
                <c:pt idx="1">
                  <c:v>7.8844537815126055</c:v>
                </c:pt>
                <c:pt idx="2">
                  <c:v>9.0520638719630089</c:v>
                </c:pt>
                <c:pt idx="3">
                  <c:v>5.9390990750153909</c:v>
                </c:pt>
                <c:pt idx="4">
                  <c:v>8.4041975799989785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8E8-44A9-8261-C53F3D61CF1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</a:t>
            </a:r>
            <a:r>
              <a:rPr lang="en-US" sz="1400" b="0" i="0" u="none" strike="noStrike" kern="120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Debt/ Tangible Net Worth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Appendix!$B$2</c:f>
              <c:strCache>
                <c:ptCount val="1"/>
                <c:pt idx="0">
                  <c:v>FY 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Appendix!$A$5</c:f>
              <c:strCache>
                <c:ptCount val="1"/>
                <c:pt idx="0">
                  <c:v>Debt/Tangible Net Worth (£m)</c:v>
                </c:pt>
              </c:strCache>
            </c:strRef>
          </c:cat>
          <c:val>
            <c:numRef>
              <c:f>Appendix!$B$5</c:f>
              <c:numCache>
                <c:formatCode>#,##0.00</c:formatCode>
                <c:ptCount val="1"/>
                <c:pt idx="0">
                  <c:v>-5.8688811188811192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D-49A8-BC2B-8F232A1A76EF}"/>
            </c:ext>
          </c:extLst>
        </c:ser>
        <c:ser>
          <c:idx val="1"/>
          <c:order val="1"/>
          <c:tx>
            <c:strRef>
              <c:f>Appendix!$C$2</c:f>
              <c:strCache>
                <c:ptCount val="1"/>
                <c:pt idx="0">
                  <c:v>FY 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Appendix!$A$5</c:f>
              <c:strCache>
                <c:ptCount val="1"/>
                <c:pt idx="0">
                  <c:v>Debt/Tangible Net Worth (£m)</c:v>
                </c:pt>
              </c:strCache>
            </c:strRef>
          </c:cat>
          <c:val>
            <c:numRef>
              <c:f>Appendix!$C$5</c:f>
              <c:numCache>
                <c:formatCode>#,##0.00</c:formatCode>
                <c:ptCount val="1"/>
                <c:pt idx="0">
                  <c:v>-6.312473210458637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5D-49A8-BC2B-8F232A1A76EF}"/>
            </c:ext>
          </c:extLst>
        </c:ser>
        <c:ser>
          <c:idx val="2"/>
          <c:order val="2"/>
          <c:tx>
            <c:strRef>
              <c:f>Appendix!$D$2</c:f>
              <c:strCache>
                <c:ptCount val="1"/>
                <c:pt idx="0">
                  <c:v>FY 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Appendix!$A$5</c:f>
              <c:strCache>
                <c:ptCount val="1"/>
                <c:pt idx="0">
                  <c:v>Debt/Tangible Net Worth (£m)</c:v>
                </c:pt>
              </c:strCache>
            </c:strRef>
          </c:cat>
          <c:val>
            <c:numRef>
              <c:f>Appendix!$D$5</c:f>
              <c:numCache>
                <c:formatCode>#,##0.00</c:formatCode>
                <c:ptCount val="1"/>
                <c:pt idx="0">
                  <c:v>-6.7076117197503775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5D-49A8-BC2B-8F232A1A76EF}"/>
            </c:ext>
          </c:extLst>
        </c:ser>
        <c:ser>
          <c:idx val="3"/>
          <c:order val="3"/>
          <c:tx>
            <c:strRef>
              <c:f>Appendix!$E$2</c:f>
              <c:strCache>
                <c:ptCount val="1"/>
                <c:pt idx="0">
                  <c:v>FY 2023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Appendix!$A$5</c:f>
              <c:strCache>
                <c:ptCount val="1"/>
                <c:pt idx="0">
                  <c:v>Debt/Tangible Net Worth (£m)</c:v>
                </c:pt>
              </c:strCache>
            </c:strRef>
          </c:cat>
          <c:val>
            <c:numRef>
              <c:f>Appendix!$E$5</c:f>
              <c:numCache>
                <c:formatCode>#,##0.00</c:formatCode>
                <c:ptCount val="1"/>
                <c:pt idx="0">
                  <c:v>-7.4333214674910026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5D-49A8-BC2B-8F232A1A76EF}"/>
            </c:ext>
          </c:extLst>
        </c:ser>
        <c:ser>
          <c:idx val="4"/>
          <c:order val="4"/>
          <c:tx>
            <c:strRef>
              <c:f>Appendix!$F$2</c:f>
              <c:strCache>
                <c:ptCount val="1"/>
                <c:pt idx="0">
                  <c:v>FY 2024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Appendix!$A$5</c:f>
              <c:strCache>
                <c:ptCount val="1"/>
                <c:pt idx="0">
                  <c:v>Debt/Tangible Net Worth (£m)</c:v>
                </c:pt>
              </c:strCache>
            </c:strRef>
          </c:cat>
          <c:val>
            <c:numRef>
              <c:f>Appendix!$F$5</c:f>
              <c:numCache>
                <c:formatCode>#,##0.00</c:formatCode>
                <c:ptCount val="1"/>
                <c:pt idx="0">
                  <c:v>-7.8356402061603934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5D-49A8-BC2B-8F232A1A7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2346143"/>
        <c:axId val="1152333663"/>
      </c:barChart>
      <c:catAx>
        <c:axId val="11523461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52333663"/>
        <c:crosses val="autoZero"/>
        <c:auto val="1"/>
        <c:lblAlgn val="ctr"/>
        <c:lblOffset val="100"/>
        <c:noMultiLvlLbl val="0"/>
      </c:catAx>
      <c:valAx>
        <c:axId val="115233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346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571500</xdr:colOff>
      <xdr:row>17</xdr:row>
      <xdr:rowOff>45720</xdr:rowOff>
    </xdr:from>
    <xdr:ext cx="528828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594360</xdr:colOff>
      <xdr:row>2</xdr:row>
      <xdr:rowOff>76200</xdr:rowOff>
    </xdr:from>
    <xdr:ext cx="5311140" cy="257556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525780</xdr:colOff>
      <xdr:row>33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0</xdr:col>
      <xdr:colOff>1897380</xdr:colOff>
      <xdr:row>7</xdr:row>
      <xdr:rowOff>114300</xdr:rowOff>
    </xdr:from>
    <xdr:to>
      <xdr:col>7</xdr:col>
      <xdr:colOff>274320</xdr:colOff>
      <xdr:row>22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6B64AD-E9B7-F717-EEEE-EC8DCB5C1E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0F6C-8CED-4726-817A-3E207EFC24D5}">
  <dimension ref="B2:I29"/>
  <sheetViews>
    <sheetView workbookViewId="0">
      <selection activeCell="K8" sqref="K8"/>
    </sheetView>
  </sheetViews>
  <sheetFormatPr defaultRowHeight="14.4" x14ac:dyDescent="0.3"/>
  <cols>
    <col min="2" max="2" width="33.88671875" bestFit="1" customWidth="1"/>
    <col min="3" max="3" width="9.21875" customWidth="1"/>
    <col min="7" max="7" width="39.5546875" bestFit="1" customWidth="1"/>
    <col min="8" max="8" width="17.33203125" bestFit="1" customWidth="1"/>
    <col min="11" max="11" width="45.44140625" bestFit="1" customWidth="1"/>
    <col min="12" max="12" width="11.5546875" bestFit="1" customWidth="1"/>
  </cols>
  <sheetData>
    <row r="2" spans="2:9" ht="15.6" x14ac:dyDescent="0.3">
      <c r="B2" s="40" t="s">
        <v>286</v>
      </c>
      <c r="C2" s="40"/>
      <c r="G2" s="40" t="s">
        <v>311</v>
      </c>
      <c r="H2" s="40"/>
      <c r="I2" s="40"/>
    </row>
    <row r="3" spans="2:9" x14ac:dyDescent="0.3">
      <c r="B3" s="27" t="s">
        <v>277</v>
      </c>
      <c r="C3" s="27" t="s">
        <v>278</v>
      </c>
      <c r="G3" s="27" t="s">
        <v>306</v>
      </c>
      <c r="H3" s="27" t="s">
        <v>307</v>
      </c>
    </row>
    <row r="4" spans="2:9" x14ac:dyDescent="0.3">
      <c r="B4" s="28" t="s">
        <v>279</v>
      </c>
      <c r="C4" s="28">
        <v>7.68</v>
      </c>
      <c r="G4" s="28" t="s">
        <v>308</v>
      </c>
      <c r="H4" s="30">
        <v>5.8900000000000001E-2</v>
      </c>
    </row>
    <row r="5" spans="2:9" x14ac:dyDescent="0.3">
      <c r="B5" s="28" t="s">
        <v>280</v>
      </c>
      <c r="C5" s="28">
        <v>7.15</v>
      </c>
      <c r="G5" s="28" t="s">
        <v>309</v>
      </c>
      <c r="H5" s="30">
        <v>4.99E-2</v>
      </c>
    </row>
    <row r="6" spans="2:9" x14ac:dyDescent="0.3">
      <c r="B6" s="28" t="s">
        <v>281</v>
      </c>
      <c r="C6" s="28">
        <v>8.0299999999999994</v>
      </c>
      <c r="G6" s="28" t="s">
        <v>310</v>
      </c>
      <c r="H6" s="30">
        <v>4.99E-2</v>
      </c>
    </row>
    <row r="7" spans="2:9" x14ac:dyDescent="0.3">
      <c r="B7" s="28" t="s">
        <v>282</v>
      </c>
      <c r="C7" s="28">
        <v>7.78</v>
      </c>
    </row>
    <row r="8" spans="2:9" x14ac:dyDescent="0.3">
      <c r="B8" s="28" t="s">
        <v>283</v>
      </c>
      <c r="C8" s="28">
        <v>85.55</v>
      </c>
    </row>
    <row r="9" spans="2:9" x14ac:dyDescent="0.3">
      <c r="B9" s="28" t="s">
        <v>284</v>
      </c>
      <c r="C9" s="28" t="s">
        <v>285</v>
      </c>
    </row>
    <row r="10" spans="2:9" ht="15.6" x14ac:dyDescent="0.3">
      <c r="B10" s="28"/>
      <c r="C10" s="28"/>
      <c r="G10" s="40" t="s">
        <v>322</v>
      </c>
      <c r="H10" s="40"/>
      <c r="I10" s="40"/>
    </row>
    <row r="11" spans="2:9" ht="15.6" x14ac:dyDescent="0.3">
      <c r="B11" s="40" t="s">
        <v>287</v>
      </c>
      <c r="C11" s="40"/>
      <c r="G11" s="27" t="s">
        <v>277</v>
      </c>
      <c r="H11" s="27" t="s">
        <v>278</v>
      </c>
    </row>
    <row r="12" spans="2:9" x14ac:dyDescent="0.3">
      <c r="B12" s="27" t="s">
        <v>277</v>
      </c>
      <c r="C12" s="27" t="s">
        <v>278</v>
      </c>
      <c r="G12" s="27"/>
      <c r="H12" s="27"/>
    </row>
    <row r="13" spans="2:9" x14ac:dyDescent="0.3">
      <c r="B13" s="27" t="s">
        <v>277</v>
      </c>
      <c r="C13" s="27" t="s">
        <v>278</v>
      </c>
      <c r="G13" s="28" t="s">
        <v>312</v>
      </c>
      <c r="H13" s="28" t="s">
        <v>313</v>
      </c>
    </row>
    <row r="14" spans="2:9" x14ac:dyDescent="0.3">
      <c r="B14" s="28" t="s">
        <v>288</v>
      </c>
      <c r="C14" s="28" t="s">
        <v>289</v>
      </c>
      <c r="G14" s="28" t="s">
        <v>312</v>
      </c>
      <c r="H14" s="31">
        <v>3856</v>
      </c>
    </row>
    <row r="15" spans="2:9" x14ac:dyDescent="0.3">
      <c r="B15" s="28" t="s">
        <v>290</v>
      </c>
      <c r="C15" s="28" t="s">
        <v>291</v>
      </c>
      <c r="G15" s="28" t="s">
        <v>314</v>
      </c>
      <c r="H15" s="28" t="s">
        <v>315</v>
      </c>
    </row>
    <row r="16" spans="2:9" x14ac:dyDescent="0.3">
      <c r="B16" s="28" t="s">
        <v>292</v>
      </c>
      <c r="C16" s="29">
        <v>0.7</v>
      </c>
      <c r="G16" s="28" t="s">
        <v>316</v>
      </c>
      <c r="H16" s="28" t="s">
        <v>317</v>
      </c>
    </row>
    <row r="17" spans="2:8" x14ac:dyDescent="0.3">
      <c r="B17" s="28" t="s">
        <v>293</v>
      </c>
      <c r="C17" s="28" t="s">
        <v>294</v>
      </c>
      <c r="G17" s="28" t="s">
        <v>318</v>
      </c>
      <c r="H17" s="28" t="s">
        <v>319</v>
      </c>
    </row>
    <row r="18" spans="2:8" x14ac:dyDescent="0.3">
      <c r="B18" s="28" t="s">
        <v>295</v>
      </c>
      <c r="C18" s="28" t="s">
        <v>296</v>
      </c>
      <c r="G18" s="28" t="s">
        <v>320</v>
      </c>
      <c r="H18" s="28" t="s">
        <v>321</v>
      </c>
    </row>
    <row r="19" spans="2:8" x14ac:dyDescent="0.3">
      <c r="B19" s="28"/>
      <c r="C19" s="28"/>
      <c r="G19" s="28"/>
      <c r="H19" s="28"/>
    </row>
    <row r="20" spans="2:8" ht="15.6" x14ac:dyDescent="0.3">
      <c r="B20" s="40" t="s">
        <v>297</v>
      </c>
      <c r="C20" s="40"/>
      <c r="G20" s="40" t="s">
        <v>336</v>
      </c>
      <c r="H20" s="40"/>
    </row>
    <row r="21" spans="2:8" x14ac:dyDescent="0.3">
      <c r="B21" s="27" t="s">
        <v>298</v>
      </c>
      <c r="C21" s="27" t="s">
        <v>299</v>
      </c>
      <c r="G21" s="27" t="s">
        <v>323</v>
      </c>
      <c r="H21" s="27" t="s">
        <v>324</v>
      </c>
    </row>
    <row r="22" spans="2:8" x14ac:dyDescent="0.3">
      <c r="B22" s="28" t="s">
        <v>300</v>
      </c>
      <c r="C22" s="28" t="s">
        <v>301</v>
      </c>
      <c r="G22" s="28" t="s">
        <v>325</v>
      </c>
      <c r="H22" s="30">
        <v>0.58899999999999997</v>
      </c>
    </row>
    <row r="23" spans="2:8" x14ac:dyDescent="0.3">
      <c r="B23" s="28" t="s">
        <v>302</v>
      </c>
      <c r="C23" s="28" t="s">
        <v>301</v>
      </c>
      <c r="G23" s="28" t="s">
        <v>326</v>
      </c>
      <c r="H23" s="30">
        <v>0</v>
      </c>
    </row>
    <row r="24" spans="2:8" x14ac:dyDescent="0.3">
      <c r="B24" s="28" t="s">
        <v>303</v>
      </c>
      <c r="C24" s="28" t="s">
        <v>301</v>
      </c>
      <c r="G24" s="28" t="s">
        <v>327</v>
      </c>
      <c r="H24" s="28" t="s">
        <v>328</v>
      </c>
    </row>
    <row r="25" spans="2:8" x14ac:dyDescent="0.3">
      <c r="B25" s="28" t="s">
        <v>304</v>
      </c>
      <c r="C25" s="28" t="s">
        <v>305</v>
      </c>
      <c r="G25" s="28" t="s">
        <v>329</v>
      </c>
      <c r="H25" s="30">
        <v>8.6999999999999994E-2</v>
      </c>
    </row>
    <row r="26" spans="2:8" x14ac:dyDescent="0.3">
      <c r="G26" s="28" t="s">
        <v>330</v>
      </c>
      <c r="H26" s="30">
        <v>6.9000000000000006E-2</v>
      </c>
    </row>
    <row r="27" spans="2:8" x14ac:dyDescent="0.3">
      <c r="G27" s="28" t="s">
        <v>331</v>
      </c>
      <c r="H27" s="28" t="s">
        <v>332</v>
      </c>
    </row>
    <row r="28" spans="2:8" x14ac:dyDescent="0.3">
      <c r="G28" s="28" t="s">
        <v>333</v>
      </c>
      <c r="H28" s="28" t="s">
        <v>334</v>
      </c>
    </row>
    <row r="29" spans="2:8" x14ac:dyDescent="0.3">
      <c r="G29" s="28" t="s">
        <v>335</v>
      </c>
      <c r="H29" s="29">
        <v>0.44</v>
      </c>
    </row>
  </sheetData>
  <mergeCells count="6">
    <mergeCell ref="B20:C20"/>
    <mergeCell ref="B11:C11"/>
    <mergeCell ref="B2:C2"/>
    <mergeCell ref="G2:I2"/>
    <mergeCell ref="G10:I10"/>
    <mergeCell ref="G20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topLeftCell="A44" zoomScaleNormal="100" workbookViewId="0">
      <selection activeCell="D12" sqref="D12"/>
    </sheetView>
  </sheetViews>
  <sheetFormatPr defaultColWidth="8.6640625" defaultRowHeight="14.4" x14ac:dyDescent="0.3"/>
  <cols>
    <col min="1" max="1" width="40" customWidth="1"/>
    <col min="2" max="2" width="24.6640625" customWidth="1"/>
    <col min="3" max="3" width="30" customWidth="1"/>
  </cols>
  <sheetData>
    <row r="1" spans="1:4" ht="15" customHeight="1" x14ac:dyDescent="0.3">
      <c r="A1" s="1" t="s">
        <v>0</v>
      </c>
      <c r="B1" s="2"/>
      <c r="C1" s="2"/>
      <c r="D1" s="2"/>
    </row>
    <row r="2" spans="1:4" ht="15" customHeight="1" x14ac:dyDescent="0.3">
      <c r="A2" s="7" t="s">
        <v>1</v>
      </c>
      <c r="B2" s="8" t="s">
        <v>2</v>
      </c>
      <c r="C2" s="3"/>
      <c r="D2" s="8" t="s">
        <v>338</v>
      </c>
    </row>
    <row r="3" spans="1:4" ht="15" customHeight="1" x14ac:dyDescent="0.3">
      <c r="A3" s="7" t="s">
        <v>3</v>
      </c>
      <c r="B3" s="8" t="s">
        <v>4</v>
      </c>
      <c r="C3" s="8" t="s">
        <v>5</v>
      </c>
      <c r="D3" s="3"/>
    </row>
    <row r="4" spans="1:4" ht="15" customHeight="1" x14ac:dyDescent="0.3">
      <c r="A4" s="9" t="s">
        <v>6</v>
      </c>
      <c r="B4" s="10" t="s">
        <v>7</v>
      </c>
      <c r="C4" s="4"/>
      <c r="D4" s="4"/>
    </row>
    <row r="5" spans="1:4" x14ac:dyDescent="0.3">
      <c r="A5" s="11"/>
      <c r="B5" s="4"/>
      <c r="C5" s="4"/>
      <c r="D5" s="4"/>
    </row>
    <row r="6" spans="1:4" ht="15" customHeight="1" x14ac:dyDescent="0.3">
      <c r="A6" s="7" t="s">
        <v>8</v>
      </c>
      <c r="B6" s="4"/>
      <c r="C6" s="4"/>
      <c r="D6" s="4"/>
    </row>
    <row r="7" spans="1:4" ht="15" customHeight="1" x14ac:dyDescent="0.3">
      <c r="A7" s="9" t="s">
        <v>9</v>
      </c>
      <c r="B7" s="15">
        <v>8.4000000000000005E-2</v>
      </c>
      <c r="C7" s="4"/>
      <c r="D7" s="4"/>
    </row>
    <row r="8" spans="1:4" ht="15" customHeight="1" x14ac:dyDescent="0.3">
      <c r="A8" s="9" t="s">
        <v>10</v>
      </c>
      <c r="B8" s="32">
        <v>0.10100000000000001</v>
      </c>
      <c r="C8" s="4"/>
      <c r="D8" s="4"/>
    </row>
    <row r="9" spans="1:4" ht="15" customHeight="1" x14ac:dyDescent="0.3">
      <c r="A9" s="9" t="s">
        <v>11</v>
      </c>
      <c r="B9" s="32">
        <v>4.2000000000000003E-2</v>
      </c>
      <c r="C9" s="4"/>
      <c r="D9" s="4"/>
    </row>
    <row r="10" spans="1:4" ht="15" customHeight="1" x14ac:dyDescent="0.3">
      <c r="A10" s="9" t="s">
        <v>12</v>
      </c>
      <c r="B10" s="32">
        <v>4.4299999999999999E-2</v>
      </c>
      <c r="C10" s="4"/>
      <c r="D10" s="4"/>
    </row>
    <row r="11" spans="1:4" ht="15" customHeight="1" x14ac:dyDescent="0.3">
      <c r="A11" s="9" t="s">
        <v>13</v>
      </c>
      <c r="B11" s="33">
        <v>0.78</v>
      </c>
      <c r="C11" s="4"/>
      <c r="D11" s="4"/>
    </row>
    <row r="12" spans="1:4" ht="15" customHeight="1" x14ac:dyDescent="0.3">
      <c r="A12" s="9" t="s">
        <v>14</v>
      </c>
      <c r="B12" s="32">
        <v>0.25</v>
      </c>
      <c r="C12" s="4"/>
      <c r="D12" s="4"/>
    </row>
    <row r="13" spans="1:4" x14ac:dyDescent="0.3">
      <c r="A13" s="11"/>
      <c r="B13" s="34"/>
      <c r="C13" s="4"/>
      <c r="D13" s="4"/>
    </row>
    <row r="14" spans="1:4" ht="15" customHeight="1" x14ac:dyDescent="0.3">
      <c r="A14" s="7" t="s">
        <v>15</v>
      </c>
      <c r="B14" s="34"/>
      <c r="C14" s="4"/>
      <c r="D14" s="4"/>
    </row>
    <row r="15" spans="1:4" ht="15" customHeight="1" x14ac:dyDescent="0.3">
      <c r="A15" s="9" t="s">
        <v>16</v>
      </c>
      <c r="B15" s="32">
        <v>0.02</v>
      </c>
      <c r="C15" s="4"/>
      <c r="D15" s="4"/>
    </row>
    <row r="16" spans="1:4" ht="15" customHeight="1" x14ac:dyDescent="0.3">
      <c r="A16" s="9" t="s">
        <v>17</v>
      </c>
      <c r="B16" s="33">
        <v>10</v>
      </c>
      <c r="C16" s="4"/>
      <c r="D16" s="4"/>
    </row>
    <row r="17" spans="1:4" ht="15" customHeight="1" x14ac:dyDescent="0.3">
      <c r="A17" s="9" t="s">
        <v>18</v>
      </c>
      <c r="B17" s="33" t="s">
        <v>19</v>
      </c>
      <c r="C17" s="4"/>
      <c r="D17" s="4"/>
    </row>
    <row r="18" spans="1:4" ht="15" customHeight="1" x14ac:dyDescent="0.3">
      <c r="A18" s="9" t="s">
        <v>20</v>
      </c>
      <c r="B18" s="32">
        <v>0.02</v>
      </c>
      <c r="C18" s="4"/>
      <c r="D18" s="4"/>
    </row>
    <row r="19" spans="1:4" ht="15" customHeight="1" x14ac:dyDescent="0.3">
      <c r="A19" s="9" t="s">
        <v>21</v>
      </c>
      <c r="B19" s="33">
        <v>1.27</v>
      </c>
      <c r="C19" s="4"/>
      <c r="D19" s="4"/>
    </row>
    <row r="20" spans="1:4" x14ac:dyDescent="0.3">
      <c r="A20" s="11"/>
      <c r="B20" s="34"/>
      <c r="C20" s="4"/>
      <c r="D20" s="4"/>
    </row>
    <row r="21" spans="1:4" ht="15" customHeight="1" x14ac:dyDescent="0.3">
      <c r="A21" s="7" t="s">
        <v>22</v>
      </c>
      <c r="B21" s="34"/>
      <c r="C21" s="4"/>
      <c r="D21" s="4"/>
    </row>
    <row r="22" spans="1:4" ht="15" customHeight="1" x14ac:dyDescent="0.3">
      <c r="A22" s="9" t="s">
        <v>23</v>
      </c>
      <c r="B22" s="33" t="s">
        <v>24</v>
      </c>
      <c r="C22" s="4"/>
      <c r="D22" s="4"/>
    </row>
    <row r="23" spans="1:4" ht="15" customHeight="1" x14ac:dyDescent="0.3">
      <c r="A23" s="9" t="s">
        <v>25</v>
      </c>
      <c r="B23" s="33" t="s">
        <v>26</v>
      </c>
      <c r="C23" s="4"/>
      <c r="D23" s="4"/>
    </row>
    <row r="24" spans="1:4" ht="15" customHeight="1" x14ac:dyDescent="0.3">
      <c r="A24" s="9" t="s">
        <v>27</v>
      </c>
      <c r="B24" s="12" t="s">
        <v>28</v>
      </c>
      <c r="C24" s="4"/>
      <c r="D24" s="4"/>
    </row>
    <row r="25" spans="1:4" ht="15" customHeight="1" x14ac:dyDescent="0.3">
      <c r="A25" s="9" t="s">
        <v>29</v>
      </c>
      <c r="B25" s="13">
        <v>0.72</v>
      </c>
      <c r="C25" s="4"/>
      <c r="D25" s="4"/>
    </row>
    <row r="26" spans="1:4" ht="15" customHeight="1" x14ac:dyDescent="0.3">
      <c r="A26" s="9" t="s">
        <v>30</v>
      </c>
      <c r="B26" s="13">
        <v>0.28000000000000003</v>
      </c>
      <c r="C26" s="4"/>
      <c r="D26" s="4"/>
    </row>
    <row r="27" spans="1:4" ht="15" customHeight="1" x14ac:dyDescent="0.3">
      <c r="A27" s="9" t="s">
        <v>31</v>
      </c>
      <c r="B27" s="13">
        <f>B25+B26</f>
        <v>1</v>
      </c>
      <c r="C27" s="4"/>
      <c r="D27" s="4"/>
    </row>
    <row r="28" spans="1:4" x14ac:dyDescent="0.3">
      <c r="A28" s="11"/>
      <c r="B28" s="4"/>
      <c r="C28" s="4"/>
      <c r="D28" s="4"/>
    </row>
    <row r="29" spans="1:4" ht="15" customHeight="1" x14ac:dyDescent="0.3">
      <c r="A29" s="7" t="s">
        <v>32</v>
      </c>
      <c r="B29" s="4"/>
      <c r="C29" s="4"/>
      <c r="D29" s="4"/>
    </row>
    <row r="30" spans="1:4" ht="15" customHeight="1" x14ac:dyDescent="0.3">
      <c r="A30" s="9" t="s">
        <v>33</v>
      </c>
      <c r="B30" s="10" t="s">
        <v>34</v>
      </c>
      <c r="C30" s="4"/>
      <c r="D30" s="4"/>
    </row>
    <row r="31" spans="1:4" ht="15" customHeight="1" x14ac:dyDescent="0.3">
      <c r="A31" s="9" t="s">
        <v>35</v>
      </c>
      <c r="B31" s="10" t="s">
        <v>36</v>
      </c>
      <c r="C31" s="4"/>
      <c r="D31" s="4"/>
    </row>
    <row r="32" spans="1:4" ht="15" customHeight="1" x14ac:dyDescent="0.3">
      <c r="A32" s="9" t="s">
        <v>37</v>
      </c>
      <c r="B32" s="10" t="s">
        <v>38</v>
      </c>
      <c r="C32" s="4"/>
      <c r="D32" s="4"/>
    </row>
    <row r="33" spans="1:4" ht="15" customHeight="1" x14ac:dyDescent="0.3">
      <c r="A33" s="11"/>
      <c r="B33" s="4"/>
      <c r="C33" s="4"/>
      <c r="D33" s="4"/>
    </row>
    <row r="34" spans="1:4" ht="15" customHeight="1" x14ac:dyDescent="0.3">
      <c r="A34" s="7" t="s">
        <v>39</v>
      </c>
      <c r="B34" s="4"/>
      <c r="C34" s="4"/>
      <c r="D34" s="4"/>
    </row>
    <row r="35" spans="1:4" ht="15" customHeight="1" x14ac:dyDescent="0.3">
      <c r="A35" s="9" t="s">
        <v>40</v>
      </c>
      <c r="B35" s="10">
        <v>8</v>
      </c>
      <c r="C35" s="4"/>
      <c r="D35" s="4"/>
    </row>
    <row r="36" spans="1:4" ht="15" customHeight="1" x14ac:dyDescent="0.3">
      <c r="A36" s="11"/>
      <c r="B36" s="4"/>
      <c r="C36" s="4"/>
      <c r="D36" s="4"/>
    </row>
    <row r="37" spans="1:4" ht="15" customHeight="1" x14ac:dyDescent="0.3">
      <c r="A37" s="7" t="s">
        <v>41</v>
      </c>
      <c r="B37" s="4"/>
      <c r="C37" s="4"/>
      <c r="D37" s="4"/>
    </row>
    <row r="38" spans="1:4" ht="15" customHeight="1" x14ac:dyDescent="0.3">
      <c r="A38" s="9" t="s">
        <v>42</v>
      </c>
      <c r="B38" s="10">
        <v>300</v>
      </c>
      <c r="C38" s="4"/>
      <c r="D38" s="4"/>
    </row>
    <row r="39" spans="1:4" ht="15" customHeight="1" x14ac:dyDescent="0.3">
      <c r="A39" s="9" t="s">
        <v>43</v>
      </c>
      <c r="B39" s="10">
        <v>20</v>
      </c>
      <c r="C39" s="4"/>
      <c r="D39" s="4"/>
    </row>
    <row r="40" spans="1:4" x14ac:dyDescent="0.3">
      <c r="A40" s="9" t="s">
        <v>44</v>
      </c>
      <c r="B40" s="10">
        <v>30</v>
      </c>
      <c r="C40" s="4"/>
      <c r="D40" s="4"/>
    </row>
    <row r="41" spans="1:4" ht="15" customHeight="1" x14ac:dyDescent="0.3">
      <c r="A41" s="11"/>
      <c r="B41" s="4"/>
      <c r="C41" s="4"/>
      <c r="D41" s="4"/>
    </row>
    <row r="42" spans="1:4" ht="15" customHeight="1" x14ac:dyDescent="0.3">
      <c r="A42" s="7" t="s">
        <v>45</v>
      </c>
      <c r="B42" s="4"/>
      <c r="C42" s="4"/>
      <c r="D42" s="4"/>
    </row>
    <row r="43" spans="1:4" ht="15" customHeight="1" x14ac:dyDescent="0.3">
      <c r="A43" s="9" t="s">
        <v>46</v>
      </c>
      <c r="B43" s="10">
        <v>150</v>
      </c>
      <c r="C43" s="4"/>
      <c r="D43" s="4"/>
    </row>
    <row r="44" spans="1:4" x14ac:dyDescent="0.3">
      <c r="A44" s="9" t="s">
        <v>47</v>
      </c>
      <c r="B44" s="14">
        <v>0.06</v>
      </c>
      <c r="C44" s="4"/>
      <c r="D44" s="4"/>
    </row>
    <row r="45" spans="1:4" x14ac:dyDescent="0.3">
      <c r="A45" s="9" t="s">
        <v>48</v>
      </c>
      <c r="B45" s="14">
        <v>0.03</v>
      </c>
      <c r="C45" s="4"/>
      <c r="D45" s="4"/>
    </row>
    <row r="46" spans="1:4" x14ac:dyDescent="0.3">
      <c r="A46" s="9" t="s">
        <v>49</v>
      </c>
      <c r="B46" s="14">
        <v>0.02</v>
      </c>
      <c r="C46" s="4"/>
      <c r="D46" s="4"/>
    </row>
    <row r="47" spans="1:4" x14ac:dyDescent="0.3">
      <c r="A47" s="11"/>
      <c r="B47" s="4"/>
      <c r="C47" s="4"/>
      <c r="D47" s="4"/>
    </row>
    <row r="48" spans="1:4" x14ac:dyDescent="0.3">
      <c r="A48" s="7" t="s">
        <v>50</v>
      </c>
      <c r="B48" s="4"/>
      <c r="C48" s="4"/>
      <c r="D48" s="4"/>
    </row>
    <row r="49" spans="1:4" x14ac:dyDescent="0.3">
      <c r="A49" s="9" t="s">
        <v>51</v>
      </c>
      <c r="B49" s="14">
        <v>0.42</v>
      </c>
      <c r="C49" s="4"/>
      <c r="D49" s="4"/>
    </row>
    <row r="50" spans="1:4" x14ac:dyDescent="0.3">
      <c r="A50" s="9" t="s">
        <v>52</v>
      </c>
      <c r="B50" s="14">
        <v>0.18</v>
      </c>
      <c r="C50" s="4"/>
      <c r="D50" s="4"/>
    </row>
    <row r="51" spans="1:4" x14ac:dyDescent="0.3">
      <c r="A51" s="11"/>
      <c r="B51" s="4"/>
      <c r="C51" s="4"/>
      <c r="D51" s="4"/>
    </row>
    <row r="52" spans="1:4" x14ac:dyDescent="0.3">
      <c r="A52" s="7" t="s">
        <v>53</v>
      </c>
      <c r="B52" s="4"/>
      <c r="C52" s="4"/>
      <c r="D52" s="4"/>
    </row>
    <row r="53" spans="1:4" x14ac:dyDescent="0.3">
      <c r="A53" s="9" t="s">
        <v>54</v>
      </c>
      <c r="B53" s="10" t="s">
        <v>55</v>
      </c>
      <c r="C53" s="4"/>
      <c r="D53" s="4"/>
    </row>
    <row r="54" spans="1:4" x14ac:dyDescent="0.3">
      <c r="A54" s="9" t="s">
        <v>56</v>
      </c>
      <c r="B54" s="10">
        <v>8</v>
      </c>
      <c r="C54" s="4"/>
      <c r="D54" s="4"/>
    </row>
    <row r="55" spans="1:4" x14ac:dyDescent="0.3">
      <c r="A55" s="9" t="s">
        <v>57</v>
      </c>
      <c r="B55" s="10">
        <f>B38</f>
        <v>300</v>
      </c>
      <c r="C55" s="4"/>
      <c r="D55" s="4"/>
    </row>
    <row r="56" spans="1:4" x14ac:dyDescent="0.3">
      <c r="A56" s="9" t="s">
        <v>58</v>
      </c>
      <c r="B56" s="10">
        <f>B55/B54</f>
        <v>37.5</v>
      </c>
      <c r="C56" s="4"/>
      <c r="D56" s="4"/>
    </row>
    <row r="57" spans="1:4" x14ac:dyDescent="0.3">
      <c r="A57" s="9" t="s">
        <v>14</v>
      </c>
      <c r="B57" s="14">
        <f>B12</f>
        <v>0.25</v>
      </c>
      <c r="C57" s="4"/>
      <c r="D57" s="4"/>
    </row>
    <row r="58" spans="1:4" x14ac:dyDescent="0.3">
      <c r="A58" s="11"/>
      <c r="B58" s="4"/>
      <c r="C58" s="4"/>
      <c r="D58" s="4"/>
    </row>
    <row r="59" spans="1:4" x14ac:dyDescent="0.3">
      <c r="A59" s="7" t="s">
        <v>59</v>
      </c>
      <c r="B59" s="4"/>
      <c r="C59" s="4"/>
      <c r="D59" s="4"/>
    </row>
    <row r="60" spans="1:4" x14ac:dyDescent="0.3">
      <c r="A60" s="9" t="s">
        <v>60</v>
      </c>
      <c r="B60" s="14">
        <v>0.02</v>
      </c>
      <c r="C60" s="4"/>
      <c r="D60" s="4"/>
    </row>
    <row r="61" spans="1:4" x14ac:dyDescent="0.3">
      <c r="A61" s="11"/>
      <c r="B61" s="4"/>
      <c r="C61" s="4"/>
      <c r="D61" s="4"/>
    </row>
    <row r="62" spans="1:4" x14ac:dyDescent="0.3">
      <c r="A62" s="7" t="s">
        <v>61</v>
      </c>
      <c r="B62" s="4"/>
      <c r="C62" s="4"/>
      <c r="D62" s="4"/>
    </row>
    <row r="63" spans="1:4" x14ac:dyDescent="0.3">
      <c r="A63" s="9" t="s">
        <v>62</v>
      </c>
      <c r="B63" s="14">
        <v>0.15</v>
      </c>
      <c r="C63" s="4"/>
      <c r="D63" s="4"/>
    </row>
    <row r="64" spans="1:4" x14ac:dyDescent="0.3">
      <c r="A64" s="9" t="s">
        <v>63</v>
      </c>
      <c r="B64" s="10" t="s">
        <v>64</v>
      </c>
      <c r="C64" s="4"/>
      <c r="D64" s="4"/>
    </row>
    <row r="65" spans="1:4" x14ac:dyDescent="0.3">
      <c r="A65" s="11"/>
      <c r="B65" s="4"/>
      <c r="C65" s="4"/>
      <c r="D65" s="4"/>
    </row>
    <row r="66" spans="1:4" x14ac:dyDescent="0.3">
      <c r="A66" s="7" t="s">
        <v>65</v>
      </c>
      <c r="B66" s="4"/>
      <c r="C66" s="4"/>
      <c r="D66" s="4"/>
    </row>
    <row r="67" spans="1:4" x14ac:dyDescent="0.3">
      <c r="A67" s="9" t="s">
        <v>66</v>
      </c>
      <c r="B67" s="10" t="s">
        <v>67</v>
      </c>
      <c r="C67" s="4"/>
      <c r="D67" s="4"/>
    </row>
    <row r="68" spans="1:4" x14ac:dyDescent="0.3">
      <c r="A68" s="9" t="s">
        <v>67</v>
      </c>
      <c r="B68" s="10">
        <v>20</v>
      </c>
      <c r="C68" s="4"/>
      <c r="D68" s="4"/>
    </row>
    <row r="69" spans="1:4" x14ac:dyDescent="0.3">
      <c r="A69" s="11"/>
      <c r="B69" s="4"/>
      <c r="C69" s="4"/>
      <c r="D69" s="4"/>
    </row>
    <row r="70" spans="1:4" x14ac:dyDescent="0.3">
      <c r="A70" s="7" t="s">
        <v>68</v>
      </c>
      <c r="B70" s="4"/>
      <c r="C70" s="4"/>
      <c r="D70" s="4"/>
    </row>
    <row r="71" spans="1:4" x14ac:dyDescent="0.3">
      <c r="A71" s="9" t="s">
        <v>69</v>
      </c>
      <c r="B71" s="10">
        <v>120</v>
      </c>
      <c r="C71" s="4"/>
      <c r="D71" s="4"/>
    </row>
    <row r="72" spans="1:4" x14ac:dyDescent="0.3">
      <c r="A72" s="9" t="s">
        <v>70</v>
      </c>
      <c r="B72" s="14">
        <v>0.04</v>
      </c>
      <c r="C72" s="4"/>
      <c r="D72" s="4"/>
    </row>
    <row r="73" spans="1:4" x14ac:dyDescent="0.3">
      <c r="A73" s="11"/>
      <c r="B73" s="4"/>
      <c r="C73" s="4"/>
      <c r="D73" s="4"/>
    </row>
    <row r="74" spans="1:4" x14ac:dyDescent="0.3">
      <c r="A74" s="7" t="s">
        <v>71</v>
      </c>
      <c r="B74" s="4"/>
      <c r="C74" s="4"/>
      <c r="D74" s="4"/>
    </row>
    <row r="75" spans="1:4" x14ac:dyDescent="0.3">
      <c r="A75" s="9" t="s">
        <v>72</v>
      </c>
      <c r="B75" s="10">
        <v>0</v>
      </c>
      <c r="C75" s="10" t="s">
        <v>73</v>
      </c>
      <c r="D75" s="4"/>
    </row>
    <row r="76" spans="1:4" x14ac:dyDescent="0.3">
      <c r="A76" s="9" t="s">
        <v>74</v>
      </c>
      <c r="B76" s="10">
        <v>0</v>
      </c>
      <c r="C76" s="10" t="s">
        <v>75</v>
      </c>
      <c r="D76" s="4"/>
    </row>
    <row r="77" spans="1:4" x14ac:dyDescent="0.3">
      <c r="A77" s="9" t="s">
        <v>76</v>
      </c>
      <c r="B77" s="14">
        <v>0</v>
      </c>
      <c r="C77" s="10" t="s">
        <v>77</v>
      </c>
      <c r="D77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"/>
  <sheetViews>
    <sheetView zoomScaleNormal="100" workbookViewId="0">
      <selection activeCell="B37" sqref="B37"/>
    </sheetView>
  </sheetViews>
  <sheetFormatPr defaultColWidth="8.6640625" defaultRowHeight="14.4" x14ac:dyDescent="0.3"/>
  <cols>
    <col min="1" max="1" width="45" customWidth="1"/>
    <col min="2" max="6" width="15" customWidth="1"/>
    <col min="7" max="7" width="13.77734375" bestFit="1" customWidth="1"/>
  </cols>
  <sheetData>
    <row r="1" spans="1:7" ht="15" customHeight="1" x14ac:dyDescent="0.3">
      <c r="A1" s="1" t="s">
        <v>78</v>
      </c>
      <c r="B1" s="2"/>
      <c r="C1" s="2"/>
      <c r="D1" s="2"/>
      <c r="E1" s="2"/>
      <c r="F1" s="2"/>
      <c r="G1" s="2"/>
    </row>
    <row r="2" spans="1:7" x14ac:dyDescent="0.3">
      <c r="A2" s="7" t="s">
        <v>79</v>
      </c>
      <c r="B2" s="8" t="s">
        <v>80</v>
      </c>
      <c r="C2" s="8" t="s">
        <v>81</v>
      </c>
      <c r="D2" s="8" t="s">
        <v>82</v>
      </c>
      <c r="E2" s="8" t="s">
        <v>83</v>
      </c>
      <c r="F2" s="8" t="s">
        <v>84</v>
      </c>
      <c r="G2" s="8" t="s">
        <v>85</v>
      </c>
    </row>
    <row r="3" spans="1:7" ht="15" customHeight="1" x14ac:dyDescent="0.3">
      <c r="A3" s="7" t="s">
        <v>86</v>
      </c>
      <c r="B3" s="4"/>
      <c r="C3" s="4"/>
      <c r="D3" s="4"/>
      <c r="E3" s="4"/>
      <c r="F3" s="4"/>
      <c r="G3" s="4"/>
    </row>
    <row r="4" spans="1:7" ht="15" customHeight="1" x14ac:dyDescent="0.3">
      <c r="A4" s="7" t="s">
        <v>87</v>
      </c>
      <c r="B4" s="8">
        <v>1175200</v>
      </c>
      <c r="C4" s="8">
        <v>1273300</v>
      </c>
      <c r="D4" s="8">
        <v>1543751.4</v>
      </c>
      <c r="E4" s="8">
        <v>1708670.7</v>
      </c>
      <c r="F4" s="8">
        <v>1609758.8</v>
      </c>
      <c r="G4" s="8">
        <f t="shared" ref="G4:G15" si="0">AVERAGE(B4:F4)</f>
        <v>1462136.18</v>
      </c>
    </row>
    <row r="5" spans="1:7" ht="15" customHeight="1" x14ac:dyDescent="0.3">
      <c r="A5" s="7" t="s">
        <v>88</v>
      </c>
      <c r="B5" s="8">
        <v>465400</v>
      </c>
      <c r="C5" s="8">
        <v>503800</v>
      </c>
      <c r="D5" s="8">
        <v>596175.80000000005</v>
      </c>
      <c r="E5" s="8">
        <v>689037.8</v>
      </c>
      <c r="F5" s="8">
        <v>640996.69999999995</v>
      </c>
      <c r="G5" s="8">
        <f t="shared" si="0"/>
        <v>579082.05999999994</v>
      </c>
    </row>
    <row r="6" spans="1:7" ht="15" customHeight="1" x14ac:dyDescent="0.3">
      <c r="A6" s="9" t="s">
        <v>89</v>
      </c>
      <c r="B6" s="10">
        <v>709800</v>
      </c>
      <c r="C6" s="10">
        <v>769500</v>
      </c>
      <c r="D6" s="10">
        <v>947575.6</v>
      </c>
      <c r="E6" s="10">
        <v>1019632.9</v>
      </c>
      <c r="F6" s="10">
        <v>968762</v>
      </c>
      <c r="G6" s="10">
        <f t="shared" si="0"/>
        <v>883054.1</v>
      </c>
    </row>
    <row r="7" spans="1:7" ht="15" customHeight="1" x14ac:dyDescent="0.3">
      <c r="A7" s="9" t="s">
        <v>90</v>
      </c>
      <c r="B7" s="10">
        <v>496600</v>
      </c>
      <c r="C7" s="10">
        <v>396700</v>
      </c>
      <c r="D7" s="10">
        <v>502795.2</v>
      </c>
      <c r="E7" s="10">
        <v>557614.4</v>
      </c>
      <c r="F7" s="10">
        <v>493196.6</v>
      </c>
      <c r="G7" s="10">
        <f t="shared" si="0"/>
        <v>489381.24000000005</v>
      </c>
    </row>
    <row r="8" spans="1:7" ht="15" customHeight="1" x14ac:dyDescent="0.3">
      <c r="A8" s="9" t="s">
        <v>91</v>
      </c>
      <c r="B8" s="10">
        <f>B6-B7+B9</f>
        <v>477800</v>
      </c>
      <c r="C8" s="10">
        <f>C6-C7+C9</f>
        <v>792800</v>
      </c>
      <c r="D8" s="10">
        <f>D6-D7+D9</f>
        <v>969622.8</v>
      </c>
      <c r="E8" s="10">
        <f>E6-E7+E9</f>
        <v>1031935.6</v>
      </c>
      <c r="F8" s="10">
        <f>F6-F7+F9</f>
        <v>991952.60000000009</v>
      </c>
      <c r="G8" s="10">
        <f t="shared" si="0"/>
        <v>852822.2</v>
      </c>
    </row>
    <row r="9" spans="1:7" ht="15" customHeight="1" x14ac:dyDescent="0.3">
      <c r="A9" s="9" t="s">
        <v>91</v>
      </c>
      <c r="B9" s="10">
        <v>264600</v>
      </c>
      <c r="C9" s="10">
        <v>420000</v>
      </c>
      <c r="D9" s="10">
        <v>524842.4</v>
      </c>
      <c r="E9" s="10">
        <v>569917.1</v>
      </c>
      <c r="F9" s="10">
        <v>516387.2</v>
      </c>
      <c r="G9" s="10">
        <f t="shared" si="0"/>
        <v>459149.34</v>
      </c>
    </row>
    <row r="10" spans="1:7" ht="15" customHeight="1" x14ac:dyDescent="0.3">
      <c r="A10" s="9" t="s">
        <v>92</v>
      </c>
      <c r="B10" s="10">
        <v>49400</v>
      </c>
      <c r="C10" s="10">
        <v>44700</v>
      </c>
      <c r="D10" s="10">
        <v>80062</v>
      </c>
      <c r="E10" s="10">
        <v>107815.4</v>
      </c>
      <c r="F10" s="10">
        <v>39153.9</v>
      </c>
      <c r="G10" s="10">
        <f t="shared" si="0"/>
        <v>64226.260000000009</v>
      </c>
    </row>
    <row r="11" spans="1:7" ht="15" customHeight="1" x14ac:dyDescent="0.3">
      <c r="A11" s="9" t="s">
        <v>93</v>
      </c>
      <c r="B11" s="10">
        <v>215200</v>
      </c>
      <c r="C11" s="10">
        <v>375300</v>
      </c>
      <c r="D11" s="10">
        <v>444780.4</v>
      </c>
      <c r="E11" s="10">
        <v>462101.7</v>
      </c>
      <c r="F11" s="10">
        <v>477233.2</v>
      </c>
      <c r="G11" s="10">
        <f t="shared" si="0"/>
        <v>394923.06</v>
      </c>
    </row>
    <row r="12" spans="1:7" ht="15" customHeight="1" x14ac:dyDescent="0.3">
      <c r="A12" s="9" t="s">
        <v>94</v>
      </c>
      <c r="B12" s="10">
        <v>53400</v>
      </c>
      <c r="C12" s="10">
        <v>47600</v>
      </c>
      <c r="D12" s="10">
        <v>49135.8</v>
      </c>
      <c r="E12" s="10">
        <v>77806.7</v>
      </c>
      <c r="F12" s="10">
        <v>56785.1</v>
      </c>
      <c r="G12" s="10">
        <f t="shared" si="0"/>
        <v>56945.52</v>
      </c>
    </row>
    <row r="13" spans="1:7" ht="15" customHeight="1" x14ac:dyDescent="0.3">
      <c r="A13" s="9" t="s">
        <v>95</v>
      </c>
      <c r="B13" s="10">
        <v>204300</v>
      </c>
      <c r="C13" s="10">
        <v>370600</v>
      </c>
      <c r="D13" s="10">
        <v>437030</v>
      </c>
      <c r="E13" s="10">
        <v>469001.2</v>
      </c>
      <c r="F13" s="10">
        <v>433631.8</v>
      </c>
      <c r="G13" s="10">
        <f t="shared" si="0"/>
        <v>382912.6</v>
      </c>
    </row>
    <row r="14" spans="1:7" ht="15" customHeight="1" x14ac:dyDescent="0.3">
      <c r="A14" s="9" t="s">
        <v>96</v>
      </c>
      <c r="B14" s="10">
        <v>58900</v>
      </c>
      <c r="C14" s="10">
        <v>90700</v>
      </c>
      <c r="D14" s="10">
        <v>105194.2</v>
      </c>
      <c r="E14" s="10">
        <v>96676.4</v>
      </c>
      <c r="F14" s="10">
        <v>102769.1</v>
      </c>
      <c r="G14" s="10">
        <f t="shared" si="0"/>
        <v>90847.939999999988</v>
      </c>
    </row>
    <row r="15" spans="1:7" x14ac:dyDescent="0.3">
      <c r="A15" s="9" t="s">
        <v>97</v>
      </c>
      <c r="B15" s="10">
        <v>140900</v>
      </c>
      <c r="C15" s="10">
        <v>266000</v>
      </c>
      <c r="D15" s="10">
        <v>322053.8</v>
      </c>
      <c r="E15" s="10">
        <v>369498.5</v>
      </c>
      <c r="F15" s="10">
        <v>307354.40000000002</v>
      </c>
      <c r="G15" s="10">
        <f t="shared" si="0"/>
        <v>281161.34000000003</v>
      </c>
    </row>
    <row r="16" spans="1:7" x14ac:dyDescent="0.3">
      <c r="A16" s="11"/>
      <c r="B16" s="4"/>
      <c r="C16" s="4"/>
      <c r="D16" s="4"/>
      <c r="E16" s="4"/>
      <c r="F16" s="4"/>
      <c r="G16" s="4"/>
    </row>
    <row r="17" spans="1:7" ht="15" customHeight="1" x14ac:dyDescent="0.3">
      <c r="A17" s="7" t="s">
        <v>98</v>
      </c>
      <c r="B17" s="4"/>
      <c r="C17" s="4"/>
      <c r="D17" s="4"/>
      <c r="E17" s="4"/>
      <c r="F17" s="4"/>
      <c r="G17" s="4"/>
    </row>
    <row r="18" spans="1:7" x14ac:dyDescent="0.3">
      <c r="A18" s="9" t="s">
        <v>99</v>
      </c>
      <c r="B18" s="10">
        <v>3330800</v>
      </c>
      <c r="C18" s="10">
        <v>3195300</v>
      </c>
      <c r="D18" s="10">
        <v>3628397.8</v>
      </c>
      <c r="E18" s="10">
        <v>3529647.7</v>
      </c>
      <c r="F18" s="10">
        <v>3597057.4</v>
      </c>
      <c r="G18" s="10">
        <f t="shared" ref="G18:G23" si="1">AVERAGE(B18:F18)</f>
        <v>3456240.5799999996</v>
      </c>
    </row>
    <row r="19" spans="1:7" ht="15" customHeight="1" x14ac:dyDescent="0.3">
      <c r="A19" s="9" t="s">
        <v>100</v>
      </c>
      <c r="B19" s="10">
        <v>2486800</v>
      </c>
      <c r="C19" s="10">
        <v>2352200</v>
      </c>
      <c r="D19" s="10">
        <v>2683091.1</v>
      </c>
      <c r="E19" s="10">
        <v>2608839.2999999998</v>
      </c>
      <c r="F19" s="10">
        <v>2642303.4</v>
      </c>
      <c r="G19" s="10">
        <f t="shared" si="1"/>
        <v>2554646.7599999998</v>
      </c>
    </row>
    <row r="20" spans="1:7" ht="15" customHeight="1" x14ac:dyDescent="0.3">
      <c r="A20" s="9" t="s">
        <v>101</v>
      </c>
      <c r="B20" s="10">
        <v>844000</v>
      </c>
      <c r="C20" s="10">
        <v>843100</v>
      </c>
      <c r="D20" s="10">
        <v>945306.7</v>
      </c>
      <c r="E20" s="10">
        <v>920808.4</v>
      </c>
      <c r="F20" s="10">
        <v>954754</v>
      </c>
      <c r="G20" s="10">
        <f t="shared" si="1"/>
        <v>901593.82</v>
      </c>
    </row>
    <row r="21" spans="1:7" ht="15" customHeight="1" x14ac:dyDescent="0.3">
      <c r="A21" s="9" t="s">
        <v>102</v>
      </c>
      <c r="B21" s="10">
        <v>199500</v>
      </c>
      <c r="C21" s="10">
        <v>186200</v>
      </c>
      <c r="D21" s="10">
        <v>151268.79999999999</v>
      </c>
      <c r="E21" s="10">
        <v>168449.2</v>
      </c>
      <c r="F21" s="10">
        <v>228207.6</v>
      </c>
      <c r="G21" s="10">
        <f t="shared" si="1"/>
        <v>186725.12</v>
      </c>
    </row>
    <row r="22" spans="1:7" ht="15" customHeight="1" x14ac:dyDescent="0.3">
      <c r="A22" s="9" t="s">
        <v>103</v>
      </c>
      <c r="B22" s="10">
        <v>1479000</v>
      </c>
      <c r="C22" s="10">
        <v>1286500</v>
      </c>
      <c r="D22" s="10">
        <v>1440666.8</v>
      </c>
      <c r="E22" s="10">
        <v>1466577.5</v>
      </c>
      <c r="F22" s="10">
        <v>1472551.8</v>
      </c>
      <c r="G22" s="10">
        <f t="shared" si="1"/>
        <v>1429059.22</v>
      </c>
    </row>
    <row r="23" spans="1:7" ht="15" customHeight="1" x14ac:dyDescent="0.3">
      <c r="A23" s="9" t="s">
        <v>104</v>
      </c>
      <c r="B23" s="10">
        <v>339800</v>
      </c>
      <c r="C23" s="10">
        <v>287000</v>
      </c>
      <c r="D23" s="10">
        <v>251950.4</v>
      </c>
      <c r="E23" s="10">
        <v>176942.4</v>
      </c>
      <c r="F23" s="10">
        <v>117465.60000000001</v>
      </c>
      <c r="G23" s="10">
        <f t="shared" si="1"/>
        <v>234631.68000000002</v>
      </c>
    </row>
    <row r="24" spans="1:7" x14ac:dyDescent="0.3">
      <c r="A24" s="11"/>
      <c r="B24" s="4"/>
      <c r="C24" s="4"/>
      <c r="D24" s="4"/>
      <c r="E24" s="4"/>
      <c r="F24" s="4"/>
      <c r="G24" s="4"/>
    </row>
    <row r="25" spans="1:7" ht="15" customHeight="1" x14ac:dyDescent="0.3">
      <c r="A25" s="7" t="s">
        <v>105</v>
      </c>
      <c r="B25" s="4"/>
      <c r="C25" s="4"/>
      <c r="D25" s="4"/>
      <c r="E25" s="4"/>
      <c r="F25" s="4"/>
      <c r="G25" s="4"/>
    </row>
    <row r="26" spans="1:7" x14ac:dyDescent="0.3">
      <c r="A26" s="9" t="s">
        <v>106</v>
      </c>
      <c r="B26" s="10">
        <f>B21+B22-B23</f>
        <v>1338700</v>
      </c>
      <c r="C26" s="10">
        <f>C21+C22-C23</f>
        <v>1185700</v>
      </c>
      <c r="D26" s="10">
        <f>D21+D22-D23</f>
        <v>1339985.2000000002</v>
      </c>
      <c r="E26" s="10">
        <f>E21+E22-E23</f>
        <v>1458084.3</v>
      </c>
      <c r="F26" s="10">
        <f>F21+F22-F23</f>
        <v>1583293.8</v>
      </c>
      <c r="G26" s="10">
        <f t="shared" ref="G26:G32" si="2">AVERAGE(B26:F26)</f>
        <v>1381152.66</v>
      </c>
    </row>
    <row r="27" spans="1:7" x14ac:dyDescent="0.3">
      <c r="A27" s="9" t="s">
        <v>107</v>
      </c>
      <c r="B27" s="10">
        <f>(B21+B22)/B18</f>
        <v>0.50393298907169448</v>
      </c>
      <c r="C27" s="10">
        <f>(C21+C22)/C18</f>
        <v>0.46089569054548868</v>
      </c>
      <c r="D27" s="10">
        <f>(D21+D22)/D18</f>
        <v>0.43874340349340973</v>
      </c>
      <c r="E27" s="10">
        <f>(E21+E22)/E18</f>
        <v>0.46322659907389618</v>
      </c>
      <c r="F27" s="10">
        <f>(F21+F22)/F18</f>
        <v>0.47281964419027622</v>
      </c>
      <c r="G27" s="10">
        <f t="shared" si="2"/>
        <v>0.46792366527495305</v>
      </c>
    </row>
    <row r="28" spans="1:7" ht="15" customHeight="1" x14ac:dyDescent="0.3">
      <c r="A28" s="9" t="s">
        <v>108</v>
      </c>
      <c r="B28" s="10">
        <f>(B21+B22)/B20</f>
        <v>1.988744075829384</v>
      </c>
      <c r="C28" s="10">
        <f>(C21+C22)/C20</f>
        <v>1.7467678804412288</v>
      </c>
      <c r="D28" s="10">
        <f>(D21+D22)/D20</f>
        <v>1.6840413804324037</v>
      </c>
      <c r="E28" s="10">
        <f>(E21+E22)/E20</f>
        <v>1.7756426852752429</v>
      </c>
      <c r="F28" s="10">
        <f>(F21+F22)/F20</f>
        <v>1.7813587583817403</v>
      </c>
      <c r="G28" s="10">
        <f t="shared" si="2"/>
        <v>1.7953109560719998</v>
      </c>
    </row>
    <row r="29" spans="1:7" x14ac:dyDescent="0.3">
      <c r="A29" s="9" t="s">
        <v>109</v>
      </c>
      <c r="B29" s="10">
        <v>1130000</v>
      </c>
      <c r="C29" s="10">
        <v>1076400</v>
      </c>
      <c r="D29" s="10">
        <v>1182639.3999999999</v>
      </c>
      <c r="E29" s="10">
        <v>1140767.5</v>
      </c>
      <c r="F29" s="10">
        <v>1171808.3</v>
      </c>
      <c r="G29" s="10">
        <f t="shared" si="2"/>
        <v>1140323.04</v>
      </c>
    </row>
    <row r="30" spans="1:7" ht="15" customHeight="1" x14ac:dyDescent="0.3">
      <c r="A30" s="9" t="s">
        <v>110</v>
      </c>
      <c r="B30" s="10">
        <f>(B21+B22)/(B20-B29)</f>
        <v>-5.8688811188811192</v>
      </c>
      <c r="C30" s="10">
        <f>(C21+C22)/(C20-C29)</f>
        <v>-6.312473210458637</v>
      </c>
      <c r="D30" s="10">
        <f>(D21+D22)/(D20-D29)</f>
        <v>-6.7076117197503775</v>
      </c>
      <c r="E30" s="10">
        <f>(E21+E22)/(E20-E29)</f>
        <v>-7.4333214674910026</v>
      </c>
      <c r="F30" s="10">
        <f>(F21+F22)/(F20-F29)</f>
        <v>-7.8356402061603934</v>
      </c>
      <c r="G30" s="10">
        <f t="shared" si="2"/>
        <v>-6.8315855445483056</v>
      </c>
    </row>
    <row r="31" spans="1:7" ht="15" customHeight="1" x14ac:dyDescent="0.3">
      <c r="A31" s="9" t="s">
        <v>111</v>
      </c>
      <c r="B31" s="10">
        <f>B11/B12</f>
        <v>4.0299625468164795</v>
      </c>
      <c r="C31" s="10">
        <f>C11/C12</f>
        <v>7.8844537815126055</v>
      </c>
      <c r="D31" s="10">
        <f>D11/D12</f>
        <v>9.0520638719630089</v>
      </c>
      <c r="E31" s="10">
        <f>E11/E12</f>
        <v>5.9390990750153909</v>
      </c>
      <c r="F31" s="10">
        <f>F11/F12</f>
        <v>8.4041975799989785</v>
      </c>
      <c r="G31" s="10">
        <f t="shared" si="2"/>
        <v>7.061955371061293</v>
      </c>
    </row>
    <row r="32" spans="1:7" ht="15" customHeight="1" x14ac:dyDescent="0.3">
      <c r="A32" s="9" t="s">
        <v>112</v>
      </c>
      <c r="B32" s="10">
        <f>B18-(B19+B20)</f>
        <v>0</v>
      </c>
      <c r="C32" s="10">
        <f>C18-(C19+C20)</f>
        <v>0</v>
      </c>
      <c r="D32" s="10">
        <f>D18-(D19+D20)</f>
        <v>0</v>
      </c>
      <c r="E32" s="10">
        <f>E18-(E19+E20)</f>
        <v>0</v>
      </c>
      <c r="F32" s="10">
        <f>F18-(F19+F20)</f>
        <v>0</v>
      </c>
      <c r="G32" s="10">
        <f t="shared" si="2"/>
        <v>0</v>
      </c>
    </row>
    <row r="34" ht="15" customHeight="1" x14ac:dyDescent="0.3"/>
    <row r="36" ht="15" customHeight="1" x14ac:dyDescent="0.3"/>
    <row r="38" ht="15" customHeight="1" x14ac:dyDescent="0.3"/>
    <row r="39" ht="15" customHeight="1" x14ac:dyDescent="0.3"/>
    <row r="40" ht="15" customHeight="1" x14ac:dyDescent="0.3"/>
    <row r="42" ht="15" customHeight="1" x14ac:dyDescent="0.3"/>
    <row r="44" ht="15" customHeight="1" x14ac:dyDescent="0.3"/>
    <row r="46" ht="1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2"/>
  <sheetViews>
    <sheetView workbookViewId="0">
      <selection activeCell="E29" sqref="E29"/>
    </sheetView>
  </sheetViews>
  <sheetFormatPr defaultRowHeight="14.4" x14ac:dyDescent="0.3"/>
  <cols>
    <col min="1" max="1" width="35" customWidth="1"/>
    <col min="2" max="7" width="15" customWidth="1"/>
  </cols>
  <sheetData>
    <row r="1" spans="1:7" ht="15.6" customHeight="1" x14ac:dyDescent="0.3">
      <c r="A1" s="1" t="s">
        <v>113</v>
      </c>
      <c r="B1" s="2"/>
      <c r="C1" s="2"/>
      <c r="D1" s="2"/>
      <c r="E1" s="2"/>
      <c r="F1" s="2"/>
      <c r="G1" s="2"/>
    </row>
    <row r="2" spans="1:7" x14ac:dyDescent="0.3">
      <c r="A2" s="11"/>
      <c r="B2" s="4"/>
      <c r="C2" s="4"/>
      <c r="D2" s="4"/>
      <c r="E2" s="4"/>
      <c r="F2" s="4"/>
      <c r="G2" s="4"/>
    </row>
    <row r="3" spans="1:7" x14ac:dyDescent="0.3">
      <c r="A3" s="7" t="s">
        <v>114</v>
      </c>
      <c r="B3" s="8" t="s">
        <v>80</v>
      </c>
      <c r="C3" s="8" t="s">
        <v>81</v>
      </c>
      <c r="D3" s="8" t="s">
        <v>82</v>
      </c>
      <c r="E3" s="8" t="s">
        <v>83</v>
      </c>
      <c r="F3" s="8" t="s">
        <v>84</v>
      </c>
      <c r="G3" s="8" t="s">
        <v>115</v>
      </c>
    </row>
    <row r="4" spans="1:7" x14ac:dyDescent="0.3">
      <c r="A4" s="7" t="s">
        <v>116</v>
      </c>
      <c r="B4" s="8" t="s">
        <v>117</v>
      </c>
      <c r="C4" s="15">
        <f>(Hist_Financials!C4-Hist_Financials!B4)/Hist_Financials!B4</f>
        <v>8.3475153165418647E-2</v>
      </c>
      <c r="D4" s="15">
        <f>(Hist_Financials!D4-Hist_Financials!C4)/Hist_Financials!C4</f>
        <v>0.21240194769496576</v>
      </c>
      <c r="E4" s="15">
        <f>(Hist_Financials!E4-Hist_Financials!D4)/Hist_Financials!D4</f>
        <v>0.10683021890700799</v>
      </c>
      <c r="F4" s="15">
        <f>(Hist_Financials!F4-Hist_Financials!E4)/Hist_Financials!E4</f>
        <v>-5.7888216845996078E-2</v>
      </c>
      <c r="G4" s="15">
        <f t="shared" ref="G4:G9" si="0">IFERROR(AVERAGE(B4:F4), "n/a")</f>
        <v>8.6204775730349084E-2</v>
      </c>
    </row>
    <row r="5" spans="1:7" x14ac:dyDescent="0.3">
      <c r="A5" s="7" t="s">
        <v>118</v>
      </c>
      <c r="B5" s="15">
        <f>Hist_Financials!B6/Hist_Financials!B4</f>
        <v>0.60398230088495575</v>
      </c>
      <c r="C5" s="15">
        <f>Hist_Financials!C6/Hist_Financials!C4</f>
        <v>0.60433519202073349</v>
      </c>
      <c r="D5" s="15">
        <f>Hist_Financials!D6/Hist_Financials!D4</f>
        <v>0.61381359718928841</v>
      </c>
      <c r="E5" s="15">
        <f>Hist_Financials!E6/Hist_Financials!E4</f>
        <v>0.59674043687879708</v>
      </c>
      <c r="F5" s="15">
        <f>Hist_Financials!F6/Hist_Financials!F4</f>
        <v>0.60180568666560474</v>
      </c>
      <c r="G5" s="15">
        <f t="shared" si="0"/>
        <v>0.60413544272787578</v>
      </c>
    </row>
    <row r="6" spans="1:7" x14ac:dyDescent="0.3">
      <c r="A6" s="9" t="s">
        <v>119</v>
      </c>
      <c r="B6" s="14">
        <f>Hist_Financials!B9/Hist_Financials!B4</f>
        <v>0.22515316541865216</v>
      </c>
      <c r="C6" s="14">
        <f>Hist_Financials!C9/Hist_Financials!C4</f>
        <v>0.32985156679494226</v>
      </c>
      <c r="D6" s="14">
        <f>Hist_Financials!D9/Hist_Financials!D4</f>
        <v>0.33997857427044281</v>
      </c>
      <c r="E6" s="14">
        <f>Hist_Financials!E9/Hist_Financials!E4</f>
        <v>0.33354414048300823</v>
      </c>
      <c r="F6" s="14">
        <f>Hist_Financials!F9/Hist_Financials!F4</f>
        <v>0.3207854493480638</v>
      </c>
      <c r="G6" s="14">
        <f t="shared" si="0"/>
        <v>0.30986257926302185</v>
      </c>
    </row>
    <row r="7" spans="1:7" x14ac:dyDescent="0.3">
      <c r="A7" s="9" t="s">
        <v>120</v>
      </c>
      <c r="B7" s="14">
        <f>Hist_Financials!B11/Hist_Financials!B4</f>
        <v>0.18311776718856365</v>
      </c>
      <c r="C7" s="14">
        <f>Hist_Financials!C11/Hist_Financials!C4</f>
        <v>0.29474593575748054</v>
      </c>
      <c r="D7" s="14">
        <f>Hist_Financials!D11/Hist_Financials!D4</f>
        <v>0.28811659701166914</v>
      </c>
      <c r="E7" s="14">
        <f>Hist_Financials!E11/Hist_Financials!E4</f>
        <v>0.27044514779822704</v>
      </c>
      <c r="F7" s="14">
        <f>Hist_Financials!F11/Hist_Financials!F4</f>
        <v>0.2964625507871117</v>
      </c>
      <c r="G7" s="14">
        <f t="shared" si="0"/>
        <v>0.26657759970861039</v>
      </c>
    </row>
    <row r="8" spans="1:7" x14ac:dyDescent="0.3">
      <c r="A8" s="9" t="s">
        <v>121</v>
      </c>
      <c r="B8" s="14">
        <f>Hist_Financials!B15/Hist_Financials!B4</f>
        <v>0.11989448604492853</v>
      </c>
      <c r="C8" s="14">
        <f>Hist_Financials!C15/Hist_Financials!C4</f>
        <v>0.20890599230346343</v>
      </c>
      <c r="D8" s="14">
        <f>Hist_Financials!D15/Hist_Financials!D4</f>
        <v>0.20861765696212486</v>
      </c>
      <c r="E8" s="14">
        <f>Hist_Financials!E15/Hist_Financials!E4</f>
        <v>0.21624909937298042</v>
      </c>
      <c r="F8" s="14">
        <f>Hist_Financials!F15/Hist_Financials!F4</f>
        <v>0.19093195825362161</v>
      </c>
      <c r="G8" s="14">
        <f t="shared" si="0"/>
        <v>0.18891983858742378</v>
      </c>
    </row>
    <row r="9" spans="1:7" x14ac:dyDescent="0.3">
      <c r="A9" s="9" t="s">
        <v>122</v>
      </c>
      <c r="B9" s="14">
        <f>IF(Hist_Financials!B13&lt;=0,"",Hist_Financials!B14/Hist_Financials!B13)</f>
        <v>0.28830151737640725</v>
      </c>
      <c r="C9" s="14">
        <f>IF(Hist_Financials!C13&lt;=0,"",Hist_Financials!C14/Hist_Financials!C13)</f>
        <v>0.24473826227738801</v>
      </c>
      <c r="D9" s="14">
        <f>IF(Hist_Financials!D13&lt;=0,"",Hist_Financials!D14/Hist_Financials!D13)</f>
        <v>0.24070246893805916</v>
      </c>
      <c r="E9" s="14">
        <f>IF(Hist_Financials!E13&lt;=0,"",Hist_Financials!E14/Hist_Financials!E13)</f>
        <v>0.20613252162254594</v>
      </c>
      <c r="F9" s="14">
        <f>IF(Hist_Financials!F13&lt;=0,"",Hist_Financials!F14/Hist_Financials!F13)</f>
        <v>0.23699622583030122</v>
      </c>
      <c r="G9" s="14">
        <f t="shared" si="0"/>
        <v>0.2433741992089403</v>
      </c>
    </row>
    <row r="10" spans="1:7" x14ac:dyDescent="0.3">
      <c r="A10" s="11"/>
      <c r="B10" s="4"/>
      <c r="C10" s="4"/>
      <c r="D10" s="4"/>
      <c r="E10" s="4"/>
      <c r="F10" s="4"/>
      <c r="G10" s="4"/>
    </row>
    <row r="11" spans="1:7" x14ac:dyDescent="0.3">
      <c r="A11" s="9" t="s">
        <v>123</v>
      </c>
      <c r="B11" s="10">
        <f>Hist_Financials!B21+Hist_Financials!B22</f>
        <v>1678500</v>
      </c>
      <c r="C11" s="10">
        <f>Hist_Financials!C21+Hist_Financials!C22</f>
        <v>1472700</v>
      </c>
      <c r="D11" s="10">
        <f>Hist_Financials!D21+Hist_Financials!D22</f>
        <v>1591935.6</v>
      </c>
      <c r="E11" s="10">
        <f>Hist_Financials!E21+Hist_Financials!E22</f>
        <v>1635026.7</v>
      </c>
      <c r="F11" s="10">
        <f>Hist_Financials!F21+Hist_Financials!F22</f>
        <v>1700759.4000000001</v>
      </c>
      <c r="G11" s="10">
        <f t="shared" ref="G11:G17" si="1">IFERROR(AVERAGE(B11:F11), "n/a")</f>
        <v>1615784.34</v>
      </c>
    </row>
    <row r="12" spans="1:7" x14ac:dyDescent="0.3">
      <c r="A12" s="9" t="s">
        <v>124</v>
      </c>
      <c r="B12" s="10">
        <f>(Hist_Financials!B21+Hist_Financials!B22)-Hist_Financials!B23</f>
        <v>1338700</v>
      </c>
      <c r="C12" s="10">
        <f>(Hist_Financials!C21+Hist_Financials!C22)-Hist_Financials!C23</f>
        <v>1185700</v>
      </c>
      <c r="D12" s="10">
        <f>(Hist_Financials!D21+Hist_Financials!D22)-Hist_Financials!D23</f>
        <v>1339985.2000000002</v>
      </c>
      <c r="E12" s="10">
        <f>(Hist_Financials!E21+Hist_Financials!E22)-Hist_Financials!E23</f>
        <v>1458084.3</v>
      </c>
      <c r="F12" s="10">
        <f>(Hist_Financials!F21+Hist_Financials!F22)-Hist_Financials!F23</f>
        <v>1583293.8</v>
      </c>
      <c r="G12" s="10">
        <f t="shared" si="1"/>
        <v>1381152.66</v>
      </c>
    </row>
    <row r="13" spans="1:7" x14ac:dyDescent="0.3">
      <c r="A13" s="9" t="s">
        <v>125</v>
      </c>
      <c r="B13" s="14">
        <f>(Hist_Financials!B21+Hist_Financials!B22)/Hist_Financials!B18</f>
        <v>0.50393298907169448</v>
      </c>
      <c r="C13" s="14">
        <f>(Hist_Financials!C21+Hist_Financials!C22)/Hist_Financials!C18</f>
        <v>0.46089569054548868</v>
      </c>
      <c r="D13" s="14">
        <f>(Hist_Financials!D21+Hist_Financials!D22)/Hist_Financials!D18</f>
        <v>0.43874340349340973</v>
      </c>
      <c r="E13" s="14">
        <f>(Hist_Financials!E21+Hist_Financials!E22)/Hist_Financials!E18</f>
        <v>0.46322659907389618</v>
      </c>
      <c r="F13" s="14">
        <f>(Hist_Financials!F21+Hist_Financials!F22)/Hist_Financials!F18</f>
        <v>0.47281964419027622</v>
      </c>
      <c r="G13" s="14">
        <f t="shared" si="1"/>
        <v>0.46792366527495305</v>
      </c>
    </row>
    <row r="14" spans="1:7" x14ac:dyDescent="0.3">
      <c r="A14" s="9" t="s">
        <v>126</v>
      </c>
      <c r="B14" s="16">
        <f>IF(Hist_Financials!B20&lt;=0,"",(Hist_Financials!B21+Hist_Financials!B22)/Hist_Financials!B20)</f>
        <v>1.988744075829384</v>
      </c>
      <c r="C14" s="16">
        <f>IF(Hist_Financials!C20&lt;=0,"",(Hist_Financials!C21+Hist_Financials!C22)/Hist_Financials!C20)</f>
        <v>1.7467678804412288</v>
      </c>
      <c r="D14" s="16">
        <f>IF(Hist_Financials!D20&lt;=0,"",(Hist_Financials!D21+Hist_Financials!D22)/Hist_Financials!D20)</f>
        <v>1.6840413804324037</v>
      </c>
      <c r="E14" s="16">
        <f>IF(Hist_Financials!E20&lt;=0,"",(Hist_Financials!E21+Hist_Financials!E22)/Hist_Financials!E20)</f>
        <v>1.7756426852752429</v>
      </c>
      <c r="F14" s="16">
        <f>IF(Hist_Financials!F20&lt;=0,"",(Hist_Financials!F21+Hist_Financials!F22)/Hist_Financials!F20)</f>
        <v>1.7813587583817403</v>
      </c>
      <c r="G14" s="16">
        <f t="shared" si="1"/>
        <v>1.7953109560719998</v>
      </c>
    </row>
    <row r="15" spans="1:7" x14ac:dyDescent="0.3">
      <c r="A15" s="9" t="s">
        <v>127</v>
      </c>
      <c r="B15" s="16" t="str">
        <f>IF((Hist_Financials!B20-Hist_Financials!B29)&lt;=0,"",(Hist_Financials!B21+Hist_Financials!B22)/(Hist_Financials!B20-Hist_Financials!B29))</f>
        <v/>
      </c>
      <c r="C15" s="16" t="str">
        <f>IF((Hist_Financials!C20-Hist_Financials!C29)&lt;=0,"",(Hist_Financials!C21+Hist_Financials!C22)/(Hist_Financials!C20-Hist_Financials!C29))</f>
        <v/>
      </c>
      <c r="D15" s="16" t="str">
        <f>IF((Hist_Financials!D20-Hist_Financials!D29)&lt;=0,"",(Hist_Financials!D21+Hist_Financials!D22)/(Hist_Financials!D20-Hist_Financials!D29))</f>
        <v/>
      </c>
      <c r="E15" s="16" t="str">
        <f>IF((Hist_Financials!E20-Hist_Financials!E29)&lt;=0,"",(Hist_Financials!E21+Hist_Financials!E22)/(Hist_Financials!E20-Hist_Financials!E29))</f>
        <v/>
      </c>
      <c r="F15" s="16" t="str">
        <f>IF((Hist_Financials!F20-Hist_Financials!F29)&lt;=0,"",(Hist_Financials!F21+Hist_Financials!F22)/(Hist_Financials!F20-Hist_Financials!F29))</f>
        <v/>
      </c>
      <c r="G15" s="16" t="str">
        <f t="shared" si="1"/>
        <v>n/a</v>
      </c>
    </row>
    <row r="16" spans="1:7" x14ac:dyDescent="0.3">
      <c r="A16" s="9" t="s">
        <v>128</v>
      </c>
      <c r="B16" s="16">
        <f>IF(Hist_Financials!B9&lt;=0,"",((Hist_Financials!B21+Hist_Financials!B22)-Hist_Financials!B23)/Hist_Financials!B9)</f>
        <v>5.0593348450491309</v>
      </c>
      <c r="C16" s="16">
        <f>IF(Hist_Financials!C9&lt;=0,"",((Hist_Financials!C21+Hist_Financials!C22)-Hist_Financials!C23)/Hist_Financials!C9)</f>
        <v>2.8230952380952381</v>
      </c>
      <c r="D16" s="16">
        <f>IF(Hist_Financials!D9&lt;=0,"",((Hist_Financials!D21+Hist_Financials!D22)-Hist_Financials!D23)/Hist_Financials!D9)</f>
        <v>2.5531191839683687</v>
      </c>
      <c r="E16" s="16">
        <f>IF(Hist_Financials!E9&lt;=0,"",((Hist_Financials!E21+Hist_Financials!E22)-Hist_Financials!E23)/Hist_Financials!E9)</f>
        <v>2.5584147238256234</v>
      </c>
      <c r="F16" s="16">
        <f>IF(Hist_Financials!F9&lt;=0,"",((Hist_Financials!F21+Hist_Financials!F22)-Hist_Financials!F23)/Hist_Financials!F9)</f>
        <v>3.0660980752427638</v>
      </c>
      <c r="G16" s="16">
        <f t="shared" si="1"/>
        <v>3.2120124132362249</v>
      </c>
    </row>
    <row r="17" spans="1:7" x14ac:dyDescent="0.3">
      <c r="A17" s="9" t="s">
        <v>129</v>
      </c>
      <c r="B17" s="16">
        <f>IF(Hist_Financials!B12=0,"",ABS(Hist_Financials!B11/Hist_Financials!B12))</f>
        <v>4.0299625468164795</v>
      </c>
      <c r="C17" s="16">
        <f>IF(Hist_Financials!C12=0,"",ABS(Hist_Financials!C11/Hist_Financials!C12))</f>
        <v>7.8844537815126055</v>
      </c>
      <c r="D17" s="16">
        <f>IF(Hist_Financials!D12=0,"",ABS(Hist_Financials!D11/Hist_Financials!D12))</f>
        <v>9.0520638719630089</v>
      </c>
      <c r="E17" s="16">
        <f>IF(Hist_Financials!E12=0,"",ABS(Hist_Financials!E11/Hist_Financials!E12))</f>
        <v>5.9390990750153909</v>
      </c>
      <c r="F17" s="16">
        <f>IF(Hist_Financials!F12=0,"",ABS(Hist_Financials!F11/Hist_Financials!F12))</f>
        <v>8.4041975799989785</v>
      </c>
      <c r="G17" s="16">
        <f t="shared" si="1"/>
        <v>7.061955371061293</v>
      </c>
    </row>
    <row r="18" spans="1:7" x14ac:dyDescent="0.3">
      <c r="A18" s="11"/>
      <c r="B18" s="4"/>
      <c r="C18" s="4"/>
      <c r="D18" s="4"/>
      <c r="E18" s="4"/>
      <c r="F18" s="4"/>
      <c r="G18" s="4"/>
    </row>
    <row r="19" spans="1:7" x14ac:dyDescent="0.3">
      <c r="A19" s="9" t="s">
        <v>130</v>
      </c>
      <c r="B19" s="14">
        <f>Hist_Financials!B15/Hist_Financials!B18</f>
        <v>4.2302149633721628E-2</v>
      </c>
      <c r="C19" s="14">
        <f>Hist_Financials!C15/Hist_Financials!C18</f>
        <v>8.324726942697086E-2</v>
      </c>
      <c r="D19" s="14">
        <f>Hist_Financials!D15/Hist_Financials!D18</f>
        <v>8.8759231416136342E-2</v>
      </c>
      <c r="E19" s="14">
        <f>Hist_Financials!E15/Hist_Financials!E18</f>
        <v>0.10468424369944909</v>
      </c>
      <c r="F19" s="14">
        <f>Hist_Financials!F15/Hist_Financials!F18</f>
        <v>8.544606488625954E-2</v>
      </c>
      <c r="G19" s="14">
        <f>IFERROR(AVERAGE(B19:F19), "n/a")</f>
        <v>8.0887791812507506E-2</v>
      </c>
    </row>
    <row r="20" spans="1:7" x14ac:dyDescent="0.3">
      <c r="A20" s="9" t="s">
        <v>131</v>
      </c>
      <c r="B20" s="14">
        <f>IF(Hist_Financials!B20&lt;=0,"",Hist_Financials!B15/Hist_Financials!B20)</f>
        <v>0.1669431279620853</v>
      </c>
      <c r="C20" s="14">
        <f>IF(Hist_Financials!C20&lt;=0,"",Hist_Financials!C15/Hist_Financials!C20)</f>
        <v>0.31550231289289526</v>
      </c>
      <c r="D20" s="14">
        <f>IF(Hist_Financials!D20&lt;=0,"",Hist_Financials!D15/Hist_Financials!D20)</f>
        <v>0.34068710186863166</v>
      </c>
      <c r="E20" s="14">
        <f>IF(Hist_Financials!E20&lt;=0,"",Hist_Financials!E15/Hist_Financials!E20)</f>
        <v>0.40127620469144287</v>
      </c>
      <c r="F20" s="14">
        <f>IF(Hist_Financials!F20&lt;=0,"",Hist_Financials!F15/Hist_Financials!F20)</f>
        <v>0.32191999195604315</v>
      </c>
      <c r="G20" s="14">
        <f>IFERROR(AVERAGE(B20:F20), "n/a")</f>
        <v>0.30926574787421968</v>
      </c>
    </row>
    <row r="21" spans="1:7" x14ac:dyDescent="0.3">
      <c r="A21" s="9" t="s">
        <v>132</v>
      </c>
      <c r="B21" s="10">
        <f>Hist_Financials!B4/Hist_Financials!B18</f>
        <v>0.35282814939353907</v>
      </c>
      <c r="C21" s="10">
        <f>Hist_Financials!C4/Hist_Financials!C18</f>
        <v>0.39849153444121055</v>
      </c>
      <c r="D21" s="10">
        <f>Hist_Financials!D4/Hist_Financials!D18</f>
        <v>0.42546365781613033</v>
      </c>
      <c r="E21" s="10">
        <f>Hist_Financials!E4/Hist_Financials!E18</f>
        <v>0.48409100432317931</v>
      </c>
      <c r="F21" s="10">
        <f>Hist_Financials!F4/Hist_Financials!F18</f>
        <v>0.44752102093227653</v>
      </c>
      <c r="G21" s="10">
        <f>IFERROR(AVERAGE(B21:F21), "n/a")</f>
        <v>0.42167907338126714</v>
      </c>
    </row>
    <row r="22" spans="1:7" x14ac:dyDescent="0.3">
      <c r="A22" s="9" t="s">
        <v>133</v>
      </c>
      <c r="B22" s="16">
        <f>IF(Hist_Financials!B20&lt;=0,"",Hist_Financials!B18/Hist_Financials!B20)</f>
        <v>3.9464454976303318</v>
      </c>
      <c r="C22" s="16">
        <f>IF(Hist_Financials!C20&lt;=0,"",Hist_Financials!C18/Hist_Financials!C20)</f>
        <v>3.7899418811528882</v>
      </c>
      <c r="D22" s="16">
        <f>IF(Hist_Financials!D20&lt;=0,"",Hist_Financials!D18/Hist_Financials!D20)</f>
        <v>3.8383286609520488</v>
      </c>
      <c r="E22" s="16">
        <f>IF(Hist_Financials!E20&lt;=0,"",Hist_Financials!E18/Hist_Financials!E20)</f>
        <v>3.8332053660674688</v>
      </c>
      <c r="F22" s="16">
        <f>IF(Hist_Financials!F20&lt;=0,"",Hist_Financials!F18/Hist_Financials!F20)</f>
        <v>3.767522733604677</v>
      </c>
      <c r="G22" s="16">
        <f>IFERROR(AVERAGE(B22:F22), "n/a")</f>
        <v>3.8350888278814836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8"/>
  <sheetViews>
    <sheetView workbookViewId="0">
      <selection activeCell="A22" sqref="A22"/>
    </sheetView>
  </sheetViews>
  <sheetFormatPr defaultRowHeight="14.4" x14ac:dyDescent="0.3"/>
  <cols>
    <col min="1" max="1" width="50" customWidth="1"/>
    <col min="2" max="2" width="25" customWidth="1"/>
    <col min="3" max="3" width="60" customWidth="1"/>
  </cols>
  <sheetData>
    <row r="1" spans="1:3" ht="18" customHeight="1" x14ac:dyDescent="0.3">
      <c r="A1" s="1" t="s">
        <v>337</v>
      </c>
      <c r="B1" s="2"/>
      <c r="C1" s="2"/>
    </row>
    <row r="2" spans="1:3" x14ac:dyDescent="0.3">
      <c r="A2" s="11"/>
      <c r="B2" s="4"/>
      <c r="C2" s="4"/>
    </row>
    <row r="3" spans="1:3" x14ac:dyDescent="0.3">
      <c r="A3" s="11"/>
      <c r="B3" s="4"/>
      <c r="C3" s="4"/>
    </row>
    <row r="4" spans="1:3" x14ac:dyDescent="0.3">
      <c r="A4" s="7" t="s">
        <v>134</v>
      </c>
      <c r="B4" s="4"/>
      <c r="C4" s="4"/>
    </row>
    <row r="5" spans="1:3" x14ac:dyDescent="0.3">
      <c r="A5" s="7" t="s">
        <v>135</v>
      </c>
      <c r="B5" s="15">
        <v>0.72</v>
      </c>
      <c r="C5" s="8"/>
    </row>
    <row r="6" spans="1:3" x14ac:dyDescent="0.3">
      <c r="A6" s="7" t="s">
        <v>136</v>
      </c>
      <c r="B6" s="15">
        <v>0.28000000000000003</v>
      </c>
      <c r="C6" s="8"/>
    </row>
    <row r="7" spans="1:3" x14ac:dyDescent="0.3">
      <c r="A7" s="11"/>
      <c r="B7" s="4"/>
      <c r="C7" s="4"/>
    </row>
    <row r="8" spans="1:3" x14ac:dyDescent="0.3">
      <c r="A8" s="7" t="s">
        <v>137</v>
      </c>
      <c r="B8" s="4"/>
      <c r="C8" s="4"/>
    </row>
    <row r="9" spans="1:3" x14ac:dyDescent="0.3">
      <c r="A9" s="9" t="s">
        <v>138</v>
      </c>
      <c r="B9" s="14">
        <f>Inputs!B8</f>
        <v>0.10100000000000001</v>
      </c>
      <c r="C9" s="4"/>
    </row>
    <row r="10" spans="1:3" x14ac:dyDescent="0.3">
      <c r="A10" s="9" t="s">
        <v>139</v>
      </c>
      <c r="B10" s="14">
        <f>Inputs!B9</f>
        <v>4.2000000000000003E-2</v>
      </c>
      <c r="C10" s="4"/>
    </row>
    <row r="11" spans="1:3" x14ac:dyDescent="0.3">
      <c r="A11" s="9" t="s">
        <v>140</v>
      </c>
      <c r="B11" s="14">
        <f>Inputs!B10</f>
        <v>4.4299999999999999E-2</v>
      </c>
      <c r="C11" s="4"/>
    </row>
    <row r="12" spans="1:3" x14ac:dyDescent="0.3">
      <c r="A12" s="9" t="s">
        <v>13</v>
      </c>
      <c r="B12" s="10">
        <f>Inputs!B11</f>
        <v>0.78</v>
      </c>
      <c r="C12" s="4"/>
    </row>
    <row r="13" spans="1:3" x14ac:dyDescent="0.3">
      <c r="A13" s="9" t="s">
        <v>141</v>
      </c>
      <c r="B13" s="14">
        <f>Inputs!B12</f>
        <v>0.25</v>
      </c>
      <c r="C13" s="4"/>
    </row>
    <row r="14" spans="1:3" x14ac:dyDescent="0.3">
      <c r="A14" s="11"/>
      <c r="B14" s="4"/>
      <c r="C14" s="4"/>
    </row>
    <row r="15" spans="1:3" x14ac:dyDescent="0.3">
      <c r="A15" s="7" t="s">
        <v>142</v>
      </c>
      <c r="B15" s="4"/>
      <c r="C15" s="4"/>
    </row>
    <row r="16" spans="1:3" x14ac:dyDescent="0.3">
      <c r="A16" s="9" t="s">
        <v>143</v>
      </c>
      <c r="B16" s="14">
        <f>Inputs!B7</f>
        <v>8.4000000000000005E-2</v>
      </c>
      <c r="C16" s="10"/>
    </row>
    <row r="17" spans="1:3" x14ac:dyDescent="0.3">
      <c r="A17" s="9" t="s">
        <v>144</v>
      </c>
      <c r="B17" s="14">
        <v>0</v>
      </c>
      <c r="C17" s="4"/>
    </row>
    <row r="18" spans="1:3" x14ac:dyDescent="0.3">
      <c r="A18" s="41"/>
      <c r="B18" s="42"/>
      <c r="C18" s="42"/>
    </row>
  </sheetData>
  <mergeCells count="1">
    <mergeCell ref="A18:C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zoomScaleNormal="100" workbookViewId="0">
      <selection activeCell="D9" sqref="D9"/>
    </sheetView>
  </sheetViews>
  <sheetFormatPr defaultRowHeight="14.4" x14ac:dyDescent="0.3"/>
  <cols>
    <col min="1" max="1" width="45" customWidth="1"/>
    <col min="2" max="2" width="20" customWidth="1"/>
    <col min="3" max="3" width="15" customWidth="1"/>
  </cols>
  <sheetData>
    <row r="1" spans="1:2" ht="15.6" customHeight="1" x14ac:dyDescent="0.3">
      <c r="A1" s="1" t="s">
        <v>32</v>
      </c>
      <c r="B1" s="2"/>
    </row>
    <row r="2" spans="1:2" x14ac:dyDescent="0.3">
      <c r="A2" s="9" t="s">
        <v>33</v>
      </c>
      <c r="B2" s="10" t="s">
        <v>145</v>
      </c>
    </row>
    <row r="3" spans="1:2" x14ac:dyDescent="0.3">
      <c r="A3" s="9" t="s">
        <v>35</v>
      </c>
      <c r="B3" s="10" t="s">
        <v>36</v>
      </c>
    </row>
    <row r="4" spans="1:2" x14ac:dyDescent="0.3">
      <c r="A4" s="9" t="s">
        <v>37</v>
      </c>
      <c r="B4" s="10" t="s">
        <v>146</v>
      </c>
    </row>
    <row r="5" spans="1:2" x14ac:dyDescent="0.3">
      <c r="A5" s="9" t="s">
        <v>6</v>
      </c>
      <c r="B5" s="10" t="s">
        <v>7</v>
      </c>
    </row>
    <row r="6" spans="1:2" x14ac:dyDescent="0.3">
      <c r="A6" s="11"/>
      <c r="B6" s="4"/>
    </row>
    <row r="7" spans="1:2" x14ac:dyDescent="0.3">
      <c r="A7" s="18" t="s">
        <v>39</v>
      </c>
      <c r="B7" s="4"/>
    </row>
    <row r="8" spans="1:2" x14ac:dyDescent="0.3">
      <c r="A8" s="9" t="s">
        <v>40</v>
      </c>
      <c r="B8" s="10">
        <v>8</v>
      </c>
    </row>
    <row r="9" spans="1:2" x14ac:dyDescent="0.3">
      <c r="A9" s="9" t="s">
        <v>147</v>
      </c>
      <c r="B9" s="19">
        <v>2025</v>
      </c>
    </row>
    <row r="10" spans="1:2" x14ac:dyDescent="0.3">
      <c r="A10" s="9" t="s">
        <v>148</v>
      </c>
      <c r="B10" s="19">
        <v>2026</v>
      </c>
    </row>
    <row r="11" spans="1:2" x14ac:dyDescent="0.3">
      <c r="A11" s="9" t="s">
        <v>149</v>
      </c>
      <c r="B11" s="19">
        <v>2033</v>
      </c>
    </row>
    <row r="12" spans="1:2" x14ac:dyDescent="0.3">
      <c r="A12" s="11"/>
      <c r="B12" s="4"/>
    </row>
    <row r="13" spans="1:2" x14ac:dyDescent="0.3">
      <c r="A13" s="18" t="s">
        <v>41</v>
      </c>
      <c r="B13" s="4"/>
    </row>
    <row r="14" spans="1:2" x14ac:dyDescent="0.3">
      <c r="A14" s="9" t="s">
        <v>42</v>
      </c>
      <c r="B14" s="10">
        <v>300</v>
      </c>
    </row>
    <row r="15" spans="1:2" x14ac:dyDescent="0.3">
      <c r="A15" s="9" t="s">
        <v>43</v>
      </c>
      <c r="B15" s="10">
        <v>20</v>
      </c>
    </row>
    <row r="16" spans="1:2" x14ac:dyDescent="0.3">
      <c r="A16" s="9" t="s">
        <v>44</v>
      </c>
      <c r="B16" s="10">
        <v>30</v>
      </c>
    </row>
    <row r="17" spans="1:2" x14ac:dyDescent="0.3">
      <c r="A17" s="7" t="s">
        <v>150</v>
      </c>
      <c r="B17" s="10">
        <f>SUM(B14:B16)</f>
        <v>350</v>
      </c>
    </row>
    <row r="18" spans="1:2" x14ac:dyDescent="0.3">
      <c r="A18" s="11"/>
      <c r="B18" s="4"/>
    </row>
    <row r="19" spans="1:2" x14ac:dyDescent="0.3">
      <c r="A19" s="18" t="s">
        <v>45</v>
      </c>
      <c r="B19" s="4"/>
    </row>
    <row r="20" spans="1:2" x14ac:dyDescent="0.3">
      <c r="A20" s="9" t="s">
        <v>46</v>
      </c>
      <c r="B20" s="10">
        <v>160</v>
      </c>
    </row>
    <row r="21" spans="1:2" x14ac:dyDescent="0.3">
      <c r="A21" s="9" t="s">
        <v>151</v>
      </c>
      <c r="B21" s="14">
        <v>7.0000000000000007E-2</v>
      </c>
    </row>
    <row r="22" spans="1:2" x14ac:dyDescent="0.3">
      <c r="A22" s="9" t="s">
        <v>152</v>
      </c>
      <c r="B22" s="14">
        <v>0.04</v>
      </c>
    </row>
    <row r="23" spans="1:2" x14ac:dyDescent="0.3">
      <c r="A23" s="9" t="s">
        <v>153</v>
      </c>
      <c r="B23" s="14">
        <v>0.02</v>
      </c>
    </row>
    <row r="24" spans="1:2" x14ac:dyDescent="0.3">
      <c r="A24" s="11"/>
      <c r="B24" s="4"/>
    </row>
    <row r="25" spans="1:2" x14ac:dyDescent="0.3">
      <c r="A25" s="18" t="s">
        <v>50</v>
      </c>
      <c r="B25" s="4"/>
    </row>
    <row r="26" spans="1:2" x14ac:dyDescent="0.3">
      <c r="A26" s="9" t="s">
        <v>51</v>
      </c>
      <c r="B26" s="14">
        <v>0.4</v>
      </c>
    </row>
    <row r="27" spans="1:2" x14ac:dyDescent="0.3">
      <c r="A27" s="9" t="s">
        <v>154</v>
      </c>
      <c r="B27" s="14">
        <v>0.18</v>
      </c>
    </row>
    <row r="28" spans="1:2" x14ac:dyDescent="0.3">
      <c r="A28" s="11"/>
      <c r="B28" s="4"/>
    </row>
    <row r="29" spans="1:2" x14ac:dyDescent="0.3">
      <c r="A29" s="18" t="s">
        <v>155</v>
      </c>
      <c r="B29" s="4"/>
    </row>
    <row r="30" spans="1:2" x14ac:dyDescent="0.3">
      <c r="A30" s="9" t="s">
        <v>54</v>
      </c>
      <c r="B30" s="10" t="s">
        <v>55</v>
      </c>
    </row>
    <row r="31" spans="1:2" x14ac:dyDescent="0.3">
      <c r="A31" s="9" t="s">
        <v>57</v>
      </c>
      <c r="B31" s="10">
        <v>300</v>
      </c>
    </row>
    <row r="32" spans="1:2" x14ac:dyDescent="0.3">
      <c r="A32" s="9" t="s">
        <v>156</v>
      </c>
      <c r="B32" s="10">
        <v>8</v>
      </c>
    </row>
    <row r="33" spans="1:2" x14ac:dyDescent="0.3">
      <c r="A33" s="9" t="s">
        <v>58</v>
      </c>
      <c r="B33" s="10">
        <v>37.5</v>
      </c>
    </row>
    <row r="34" spans="1:2" x14ac:dyDescent="0.3">
      <c r="A34" s="9" t="s">
        <v>157</v>
      </c>
      <c r="B34" s="14">
        <v>0.25</v>
      </c>
    </row>
    <row r="35" spans="1:2" x14ac:dyDescent="0.3">
      <c r="A35" s="11"/>
      <c r="B35" s="4"/>
    </row>
    <row r="36" spans="1:2" x14ac:dyDescent="0.3">
      <c r="A36" s="18" t="s">
        <v>59</v>
      </c>
      <c r="B36" s="4"/>
    </row>
    <row r="37" spans="1:2" x14ac:dyDescent="0.3">
      <c r="A37" s="9" t="s">
        <v>158</v>
      </c>
      <c r="B37" s="14">
        <v>0.02</v>
      </c>
    </row>
    <row r="38" spans="1:2" x14ac:dyDescent="0.3">
      <c r="A38" s="9" t="s">
        <v>159</v>
      </c>
      <c r="B38" s="10">
        <v>0</v>
      </c>
    </row>
    <row r="39" spans="1:2" x14ac:dyDescent="0.3">
      <c r="A39" s="11"/>
      <c r="B39" s="4"/>
    </row>
    <row r="40" spans="1:2" x14ac:dyDescent="0.3">
      <c r="A40" s="18" t="s">
        <v>61</v>
      </c>
      <c r="B40" s="4"/>
    </row>
    <row r="41" spans="1:2" x14ac:dyDescent="0.3">
      <c r="A41" s="9" t="s">
        <v>62</v>
      </c>
      <c r="B41" s="14">
        <v>0.15</v>
      </c>
    </row>
    <row r="42" spans="1:2" x14ac:dyDescent="0.3">
      <c r="A42" s="9" t="s">
        <v>63</v>
      </c>
      <c r="B42" s="10" t="s">
        <v>64</v>
      </c>
    </row>
    <row r="43" spans="1:2" x14ac:dyDescent="0.3">
      <c r="A43" s="11"/>
      <c r="B43" s="4"/>
    </row>
    <row r="44" spans="1:2" x14ac:dyDescent="0.3">
      <c r="A44" s="18" t="s">
        <v>160</v>
      </c>
      <c r="B44" s="4"/>
    </row>
    <row r="45" spans="1:2" x14ac:dyDescent="0.3">
      <c r="A45" s="9" t="s">
        <v>66</v>
      </c>
      <c r="B45" s="10" t="s">
        <v>161</v>
      </c>
    </row>
    <row r="46" spans="1:2" x14ac:dyDescent="0.3">
      <c r="A46" s="9" t="s">
        <v>67</v>
      </c>
      <c r="B46" s="10">
        <v>20</v>
      </c>
    </row>
    <row r="47" spans="1:2" x14ac:dyDescent="0.3">
      <c r="A47" s="9" t="s">
        <v>162</v>
      </c>
      <c r="B47" s="14">
        <v>0.02</v>
      </c>
    </row>
    <row r="48" spans="1:2" x14ac:dyDescent="0.3">
      <c r="A48" s="11"/>
      <c r="B48" s="4"/>
    </row>
    <row r="49" spans="1:2" x14ac:dyDescent="0.3">
      <c r="A49" s="18" t="s">
        <v>163</v>
      </c>
      <c r="B49" s="10">
        <v>0.36</v>
      </c>
    </row>
    <row r="50" spans="1:2" x14ac:dyDescent="0.3">
      <c r="A50" s="9" t="s">
        <v>164</v>
      </c>
      <c r="B50" s="10">
        <v>0.15</v>
      </c>
    </row>
    <row r="51" spans="1:2" x14ac:dyDescent="0.3">
      <c r="A51" s="9" t="s">
        <v>165</v>
      </c>
      <c r="B51" s="14">
        <v>0.04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"/>
  <sheetViews>
    <sheetView workbookViewId="0">
      <selection activeCell="B21" sqref="B21"/>
    </sheetView>
  </sheetViews>
  <sheetFormatPr defaultRowHeight="14.4" x14ac:dyDescent="0.3"/>
  <cols>
    <col min="1" max="1" width="30" customWidth="1"/>
    <col min="2" max="11" width="15" customWidth="1"/>
  </cols>
  <sheetData>
    <row r="1" spans="1:10" ht="15.6" customHeight="1" x14ac:dyDescent="0.3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</row>
    <row r="2" spans="1:10" x14ac:dyDescent="0.3">
      <c r="A2" s="7" t="s">
        <v>87</v>
      </c>
      <c r="B2" s="8">
        <v>0</v>
      </c>
      <c r="C2" s="8">
        <f>Project_Assumptions!$B$20</f>
        <v>160</v>
      </c>
      <c r="D2" s="8">
        <f>C2*(1+Project_Assumptions!$B$21)</f>
        <v>171.20000000000002</v>
      </c>
      <c r="E2" s="8">
        <f>D2*(1+Project_Assumptions!$B$21)</f>
        <v>183.18400000000003</v>
      </c>
      <c r="F2" s="8">
        <f>E2*(1+Project_Assumptions!$B$21)</f>
        <v>196.00688000000005</v>
      </c>
      <c r="G2" s="8">
        <f>F2*(1+Project_Assumptions!$B$22)</f>
        <v>203.84715520000006</v>
      </c>
      <c r="H2" s="8">
        <f>G2*(1+Project_Assumptions!$B$22)</f>
        <v>212.00104140800008</v>
      </c>
      <c r="I2" s="8">
        <f>H2*(1+Project_Assumptions!$B$23)</f>
        <v>216.24106223616008</v>
      </c>
      <c r="J2" s="8">
        <f>I2*(1+Project_Assumptions!$B$23)</f>
        <v>220.56588348088329</v>
      </c>
    </row>
    <row r="3" spans="1:10" x14ac:dyDescent="0.3">
      <c r="A3" s="7" t="s">
        <v>88</v>
      </c>
      <c r="B3" s="8">
        <v>0</v>
      </c>
      <c r="C3" s="8">
        <f>-C2*Project_Assumptions!$B$26</f>
        <v>-64</v>
      </c>
      <c r="D3" s="8">
        <f>-D2*Project_Assumptions!$B$26</f>
        <v>-68.48</v>
      </c>
      <c r="E3" s="8">
        <f>-E2*Project_Assumptions!$B$26</f>
        <v>-73.273600000000016</v>
      </c>
      <c r="F3" s="8">
        <f>-F2*Project_Assumptions!$B$26</f>
        <v>-78.402752000000021</v>
      </c>
      <c r="G3" s="8">
        <f>-G2*Project_Assumptions!$B$26</f>
        <v>-81.53886208000003</v>
      </c>
      <c r="H3" s="8">
        <f>-H2*Project_Assumptions!$B$26</f>
        <v>-84.800416563200031</v>
      </c>
      <c r="I3" s="8">
        <f>-I2*Project_Assumptions!$B$26</f>
        <v>-86.496424894464042</v>
      </c>
      <c r="J3" s="8">
        <f>-J2*Project_Assumptions!$B$26</f>
        <v>-88.226353392353317</v>
      </c>
    </row>
    <row r="4" spans="1:10" x14ac:dyDescent="0.3">
      <c r="A4" s="7" t="s">
        <v>90</v>
      </c>
      <c r="B4" s="8">
        <v>0</v>
      </c>
      <c r="C4" s="8">
        <f>-C2*Project_Assumptions!$B$27</f>
        <v>-28.799999999999997</v>
      </c>
      <c r="D4" s="8">
        <f>-D2*Project_Assumptions!$B$27</f>
        <v>-30.816000000000003</v>
      </c>
      <c r="E4" s="8">
        <f>-E2*Project_Assumptions!$B$27</f>
        <v>-32.973120000000002</v>
      </c>
      <c r="F4" s="8">
        <f>-F2*Project_Assumptions!$B$27</f>
        <v>-35.281238400000007</v>
      </c>
      <c r="G4" s="8">
        <f>-G2*Project_Assumptions!$B$27</f>
        <v>-36.692487936000006</v>
      </c>
      <c r="H4" s="8">
        <f>-H2*Project_Assumptions!$B$27</f>
        <v>-38.16018745344001</v>
      </c>
      <c r="I4" s="8">
        <f>-I2*Project_Assumptions!$B$27</f>
        <v>-38.92339120250881</v>
      </c>
      <c r="J4" s="8">
        <f>-J2*Project_Assumptions!$B$27</f>
        <v>-39.701859026558992</v>
      </c>
    </row>
    <row r="5" spans="1:10" x14ac:dyDescent="0.3">
      <c r="A5" s="9" t="s">
        <v>176</v>
      </c>
      <c r="B5" s="10">
        <v>0</v>
      </c>
      <c r="C5" s="10">
        <f t="shared" ref="C5:J5" si="0">C3+C4</f>
        <v>-92.8</v>
      </c>
      <c r="D5" s="10">
        <f t="shared" si="0"/>
        <v>-99.296000000000006</v>
      </c>
      <c r="E5" s="10">
        <f t="shared" si="0"/>
        <v>-106.24672000000001</v>
      </c>
      <c r="F5" s="10">
        <f t="shared" si="0"/>
        <v>-113.68399040000003</v>
      </c>
      <c r="G5" s="10">
        <f t="shared" si="0"/>
        <v>-118.23135001600004</v>
      </c>
      <c r="H5" s="10">
        <f t="shared" si="0"/>
        <v>-122.96060401664005</v>
      </c>
      <c r="I5" s="10">
        <f t="shared" si="0"/>
        <v>-125.41981609697285</v>
      </c>
      <c r="J5" s="10">
        <f t="shared" si="0"/>
        <v>-127.92821241891231</v>
      </c>
    </row>
    <row r="6" spans="1:10" x14ac:dyDescent="0.3">
      <c r="A6" s="9" t="s">
        <v>91</v>
      </c>
      <c r="B6" s="10">
        <v>0</v>
      </c>
      <c r="C6" s="10">
        <f t="shared" ref="C6:J6" si="1">C2+C5</f>
        <v>67.2</v>
      </c>
      <c r="D6" s="10">
        <f t="shared" si="1"/>
        <v>71.904000000000011</v>
      </c>
      <c r="E6" s="10">
        <f t="shared" si="1"/>
        <v>76.937280000000015</v>
      </c>
      <c r="F6" s="10">
        <f t="shared" si="1"/>
        <v>82.322889600000025</v>
      </c>
      <c r="G6" s="10">
        <f t="shared" si="1"/>
        <v>85.615805184000024</v>
      </c>
      <c r="H6" s="10">
        <f t="shared" si="1"/>
        <v>89.04043739136003</v>
      </c>
      <c r="I6" s="10">
        <f t="shared" si="1"/>
        <v>90.821246139187224</v>
      </c>
      <c r="J6" s="10">
        <f t="shared" si="1"/>
        <v>92.637671061970977</v>
      </c>
    </row>
    <row r="7" spans="1:10" x14ac:dyDescent="0.3">
      <c r="A7" s="9" t="s">
        <v>177</v>
      </c>
      <c r="B7" s="10">
        <v>0</v>
      </c>
      <c r="C7" s="10">
        <f>-Project_Assumptions!$B$33</f>
        <v>-37.5</v>
      </c>
      <c r="D7" s="10">
        <f>-Project_Assumptions!$B$33</f>
        <v>-37.5</v>
      </c>
      <c r="E7" s="10">
        <f>-Project_Assumptions!$B$33</f>
        <v>-37.5</v>
      </c>
      <c r="F7" s="10">
        <f>-Project_Assumptions!$B$33</f>
        <v>-37.5</v>
      </c>
      <c r="G7" s="10">
        <f>-Project_Assumptions!$B$33</f>
        <v>-37.5</v>
      </c>
      <c r="H7" s="10">
        <f>-Project_Assumptions!$B$33</f>
        <v>-37.5</v>
      </c>
      <c r="I7" s="10">
        <f>-Project_Assumptions!$B$33</f>
        <v>-37.5</v>
      </c>
      <c r="J7" s="10">
        <f>-Project_Assumptions!$B$33</f>
        <v>-37.5</v>
      </c>
    </row>
    <row r="8" spans="1:10" x14ac:dyDescent="0.3">
      <c r="A8" s="9" t="s">
        <v>93</v>
      </c>
      <c r="B8" s="10">
        <v>0</v>
      </c>
      <c r="C8" s="10">
        <f t="shared" ref="C8:J8" si="2">C6+C7</f>
        <v>29.700000000000003</v>
      </c>
      <c r="D8" s="10">
        <f t="shared" si="2"/>
        <v>34.404000000000011</v>
      </c>
      <c r="E8" s="10">
        <f t="shared" si="2"/>
        <v>39.437280000000015</v>
      </c>
      <c r="F8" s="10">
        <f t="shared" si="2"/>
        <v>44.822889600000025</v>
      </c>
      <c r="G8" s="10">
        <f t="shared" si="2"/>
        <v>48.115805184000024</v>
      </c>
      <c r="H8" s="10">
        <f t="shared" si="2"/>
        <v>51.54043739136003</v>
      </c>
      <c r="I8" s="10">
        <f t="shared" si="2"/>
        <v>53.321246139187224</v>
      </c>
      <c r="J8" s="10">
        <f t="shared" si="2"/>
        <v>55.137671061970977</v>
      </c>
    </row>
    <row r="9" spans="1:10" x14ac:dyDescent="0.3">
      <c r="A9" s="9" t="s">
        <v>178</v>
      </c>
      <c r="B9" s="10">
        <v>0</v>
      </c>
      <c r="C9" s="10">
        <f>-MAX(C8,0)*Project_Assumptions!$B$34</f>
        <v>-7.4250000000000007</v>
      </c>
      <c r="D9" s="10">
        <f>-MAX(D8,0)*Project_Assumptions!$B$34</f>
        <v>-8.6010000000000026</v>
      </c>
      <c r="E9" s="10">
        <f>-MAX(E8,0)*Project_Assumptions!$B$34</f>
        <v>-9.8593200000000039</v>
      </c>
      <c r="F9" s="10">
        <f>-MAX(F8,0)*Project_Assumptions!$B$34</f>
        <v>-11.205722400000006</v>
      </c>
      <c r="G9" s="10">
        <f>-MAX(G8,0)*Project_Assumptions!$B$34</f>
        <v>-12.028951296000006</v>
      </c>
      <c r="H9" s="10">
        <f>-MAX(H8,0)*Project_Assumptions!$B$34</f>
        <v>-12.885109347840007</v>
      </c>
      <c r="I9" s="10">
        <f>-MAX(I8,0)*Project_Assumptions!$B$34</f>
        <v>-13.330311534796806</v>
      </c>
      <c r="J9" s="10">
        <f>-MAX(J8,0)*Project_Assumptions!$B$34</f>
        <v>-13.784417765492744</v>
      </c>
    </row>
    <row r="10" spans="1:10" x14ac:dyDescent="0.3">
      <c r="A10" s="7" t="s">
        <v>179</v>
      </c>
      <c r="B10" s="10">
        <v>0</v>
      </c>
      <c r="C10" s="10">
        <f t="shared" ref="C10:J10" si="3">C8+C9</f>
        <v>22.275000000000002</v>
      </c>
      <c r="D10" s="10">
        <f t="shared" si="3"/>
        <v>25.803000000000008</v>
      </c>
      <c r="E10" s="10">
        <f t="shared" si="3"/>
        <v>29.577960000000012</v>
      </c>
      <c r="F10" s="10">
        <f t="shared" si="3"/>
        <v>33.617167200000019</v>
      </c>
      <c r="G10" s="10">
        <f t="shared" si="3"/>
        <v>36.086853888000022</v>
      </c>
      <c r="H10" s="10">
        <f t="shared" si="3"/>
        <v>38.655328043520022</v>
      </c>
      <c r="I10" s="10">
        <f t="shared" si="3"/>
        <v>39.990934604390418</v>
      </c>
      <c r="J10" s="10">
        <f t="shared" si="3"/>
        <v>41.353253296478229</v>
      </c>
    </row>
    <row r="11" spans="1:10" x14ac:dyDescent="0.3">
      <c r="A11" s="11"/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3">
      <c r="A12" s="11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3">
      <c r="A13" s="9" t="s">
        <v>180</v>
      </c>
      <c r="B13" s="10">
        <v>0</v>
      </c>
      <c r="C13" s="10">
        <f>Project_Assumptions!$B$33</f>
        <v>37.5</v>
      </c>
      <c r="D13" s="10">
        <f>Project_Assumptions!$B$33</f>
        <v>37.5</v>
      </c>
      <c r="E13" s="10">
        <f>Project_Assumptions!$B$33</f>
        <v>37.5</v>
      </c>
      <c r="F13" s="10">
        <f>Project_Assumptions!$B$33</f>
        <v>37.5</v>
      </c>
      <c r="G13" s="10">
        <f>Project_Assumptions!$B$33</f>
        <v>37.5</v>
      </c>
      <c r="H13" s="10">
        <f>Project_Assumptions!$B$33</f>
        <v>37.5</v>
      </c>
      <c r="I13" s="10">
        <f>Project_Assumptions!$B$33</f>
        <v>37.5</v>
      </c>
      <c r="J13" s="10">
        <f>Project_Assumptions!$B$33</f>
        <v>37.5</v>
      </c>
    </row>
    <row r="14" spans="1:10" x14ac:dyDescent="0.3">
      <c r="A14" s="9" t="s">
        <v>181</v>
      </c>
      <c r="B14" s="10">
        <f>-Project_Assumptions!$B$17</f>
        <v>-350</v>
      </c>
      <c r="C14" s="10">
        <f>-C2*Project_Assumptions!$B$37</f>
        <v>-3.2</v>
      </c>
      <c r="D14" s="10">
        <f>-D2*Project_Assumptions!$B$37</f>
        <v>-3.4240000000000004</v>
      </c>
      <c r="E14" s="10">
        <f>-E2*Project_Assumptions!$B$37</f>
        <v>-3.6636800000000007</v>
      </c>
      <c r="F14" s="10">
        <f>-F2*Project_Assumptions!$B$37</f>
        <v>-3.9201376000000012</v>
      </c>
      <c r="G14" s="10">
        <f>-G2*Project_Assumptions!$B$37</f>
        <v>-4.0769431040000015</v>
      </c>
      <c r="H14" s="10">
        <f>-H2*Project_Assumptions!$B$37</f>
        <v>-4.2400208281600014</v>
      </c>
      <c r="I14" s="10">
        <f>-I2*Project_Assumptions!$B$37</f>
        <v>-4.3248212447232017</v>
      </c>
      <c r="J14" s="10">
        <f>-J2*Project_Assumptions!$B$37</f>
        <v>-4.4113176696176657</v>
      </c>
    </row>
    <row r="15" spans="1:10" x14ac:dyDescent="0.3">
      <c r="A15" s="9" t="s">
        <v>182</v>
      </c>
      <c r="B15" s="10">
        <v>0</v>
      </c>
      <c r="C15" s="10">
        <f>C2*Project_Assumptions!$B$41</f>
        <v>24</v>
      </c>
      <c r="D15" s="10">
        <f>D2*Project_Assumptions!$B$41</f>
        <v>25.680000000000003</v>
      </c>
      <c r="E15" s="10">
        <f>E2*Project_Assumptions!$B$41</f>
        <v>27.477600000000002</v>
      </c>
      <c r="F15" s="10">
        <f>F2*Project_Assumptions!$B$41</f>
        <v>29.401032000000008</v>
      </c>
      <c r="G15" s="10">
        <f>G2*Project_Assumptions!$B$41</f>
        <v>30.577073280000008</v>
      </c>
      <c r="H15" s="10">
        <f>H2*Project_Assumptions!$B$41</f>
        <v>31.800156211200012</v>
      </c>
      <c r="I15" s="10">
        <f>I2*Project_Assumptions!$B$41</f>
        <v>32.436159335424009</v>
      </c>
      <c r="J15" s="10">
        <f>IF(Project_Assumptions!$B$42="Yes",0,J2*Project_Assumptions!$B$41)</f>
        <v>0</v>
      </c>
    </row>
    <row r="16" spans="1:10" x14ac:dyDescent="0.3">
      <c r="A16" s="9" t="s">
        <v>183</v>
      </c>
      <c r="B16" s="10">
        <v>0</v>
      </c>
      <c r="C16" s="10">
        <f t="shared" ref="C16:I16" si="4">C15-B15</f>
        <v>24</v>
      </c>
      <c r="D16" s="10">
        <f t="shared" si="4"/>
        <v>1.6800000000000033</v>
      </c>
      <c r="E16" s="10">
        <f t="shared" si="4"/>
        <v>1.7975999999999992</v>
      </c>
      <c r="F16" s="10">
        <f t="shared" si="4"/>
        <v>1.9234320000000054</v>
      </c>
      <c r="G16" s="10">
        <f t="shared" si="4"/>
        <v>1.1760412799999997</v>
      </c>
      <c r="H16" s="10">
        <f t="shared" si="4"/>
        <v>1.223082931200004</v>
      </c>
      <c r="I16" s="10">
        <f t="shared" si="4"/>
        <v>0.63600312422399696</v>
      </c>
      <c r="J16" s="10">
        <f>IF(Project_Assumptions!$B$42="Yes",-I15,J15-I15)</f>
        <v>-32.436159335424009</v>
      </c>
    </row>
    <row r="17" spans="1:10" x14ac:dyDescent="0.3">
      <c r="A17" s="9" t="s">
        <v>184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f>(J10+J13+J14-J16)*(1+Inputs!$B$15)/(Inputs!$B$7-Inputs!$B$15)</f>
        <v>1703.3696384614104</v>
      </c>
    </row>
    <row r="18" spans="1:10" x14ac:dyDescent="0.3">
      <c r="A18" s="20" t="s">
        <v>185</v>
      </c>
      <c r="B18" s="21">
        <f t="shared" ref="B18:J18" si="5">B10+B13+B14-B16+B17</f>
        <v>-350</v>
      </c>
      <c r="C18" s="21">
        <f t="shared" si="5"/>
        <v>32.575000000000003</v>
      </c>
      <c r="D18" s="21">
        <f t="shared" si="5"/>
        <v>58.199000000000012</v>
      </c>
      <c r="E18" s="21">
        <f t="shared" si="5"/>
        <v>61.616680000000017</v>
      </c>
      <c r="F18" s="21">
        <f t="shared" si="5"/>
        <v>65.273597600000002</v>
      </c>
      <c r="G18" s="21">
        <f t="shared" si="5"/>
        <v>68.333869504000035</v>
      </c>
      <c r="H18" s="21">
        <f t="shared" si="5"/>
        <v>70.692224284160034</v>
      </c>
      <c r="I18" s="21">
        <f t="shared" si="5"/>
        <v>72.530110235443232</v>
      </c>
      <c r="J18" s="21">
        <f t="shared" si="5"/>
        <v>1810.2477334236951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3"/>
  <sheetViews>
    <sheetView zoomScaleNormal="100" workbookViewId="0">
      <selection activeCell="B18" sqref="B18"/>
    </sheetView>
  </sheetViews>
  <sheetFormatPr defaultColWidth="8.6640625" defaultRowHeight="14.4" x14ac:dyDescent="0.3"/>
  <cols>
    <col min="1" max="1" width="45" customWidth="1"/>
    <col min="2" max="10" width="12" customWidth="1"/>
  </cols>
  <sheetData>
    <row r="1" spans="1:10" ht="15" customHeight="1" x14ac:dyDescent="0.3">
      <c r="A1" s="1" t="s">
        <v>186</v>
      </c>
      <c r="B1" s="2"/>
      <c r="C1" s="2"/>
      <c r="D1" s="2"/>
      <c r="E1" s="2"/>
      <c r="F1" s="2"/>
      <c r="G1" s="2"/>
      <c r="H1" s="2"/>
      <c r="I1" s="2"/>
      <c r="J1" s="2"/>
    </row>
    <row r="2" spans="1:10" ht="15" customHeight="1" x14ac:dyDescent="0.3">
      <c r="A2" s="17" t="s">
        <v>187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3">
      <c r="A3" s="11"/>
      <c r="B3" s="4"/>
      <c r="C3" s="4"/>
      <c r="D3" s="4"/>
      <c r="E3" s="4"/>
      <c r="F3" s="4"/>
      <c r="G3" s="4"/>
      <c r="H3" s="4"/>
      <c r="I3" s="4"/>
      <c r="J3" s="4"/>
    </row>
    <row r="4" spans="1:10" ht="15" customHeight="1" x14ac:dyDescent="0.3">
      <c r="A4" s="7" t="s">
        <v>188</v>
      </c>
      <c r="B4" s="8">
        <v>0</v>
      </c>
      <c r="C4" s="8">
        <v>1</v>
      </c>
      <c r="D4" s="8">
        <v>2</v>
      </c>
      <c r="E4" s="8">
        <v>3</v>
      </c>
      <c r="F4" s="8">
        <v>4</v>
      </c>
      <c r="G4" s="8">
        <v>5</v>
      </c>
      <c r="H4" s="8">
        <v>6</v>
      </c>
      <c r="I4" s="8">
        <v>7</v>
      </c>
      <c r="J4" s="8">
        <v>8</v>
      </c>
    </row>
    <row r="5" spans="1:10" ht="15" customHeight="1" x14ac:dyDescent="0.3">
      <c r="A5" s="7" t="s">
        <v>189</v>
      </c>
      <c r="B5" s="4"/>
      <c r="C5" s="4"/>
      <c r="D5" s="4"/>
      <c r="E5" s="4"/>
      <c r="F5" s="4"/>
      <c r="G5" s="4"/>
      <c r="H5" s="4"/>
      <c r="I5" s="4"/>
      <c r="J5" s="4"/>
    </row>
    <row r="6" spans="1:10" ht="15" customHeight="1" x14ac:dyDescent="0.3">
      <c r="A6" s="7" t="s">
        <v>190</v>
      </c>
      <c r="B6" s="8">
        <f>Project_FCF!B18</f>
        <v>-350</v>
      </c>
      <c r="C6" s="8">
        <f>Project_FCF!C18</f>
        <v>32.575000000000003</v>
      </c>
      <c r="D6" s="8">
        <f>Project_FCF!D18</f>
        <v>58.199000000000012</v>
      </c>
      <c r="E6" s="8">
        <f>Project_FCF!E18</f>
        <v>61.616680000000017</v>
      </c>
      <c r="F6" s="8">
        <f>Project_FCF!F18</f>
        <v>65.273597600000002</v>
      </c>
      <c r="G6" s="8">
        <f>Project_FCF!G18</f>
        <v>68.333869504000035</v>
      </c>
      <c r="H6" s="8">
        <f>Project_FCF!H18</f>
        <v>70.692224284160034</v>
      </c>
      <c r="I6" s="8">
        <f>Project_FCF!I18</f>
        <v>72.530110235443232</v>
      </c>
      <c r="J6" s="8">
        <f>Project_FCF!J18</f>
        <v>1810.2477334236951</v>
      </c>
    </row>
    <row r="7" spans="1:10" x14ac:dyDescent="0.3">
      <c r="A7" s="11"/>
      <c r="B7" s="10">
        <f>Project_FCF!B18</f>
        <v>-350</v>
      </c>
      <c r="C7" s="10">
        <f>Project_FCF!C18</f>
        <v>32.575000000000003</v>
      </c>
      <c r="D7" s="10">
        <f>Project_FCF!D18</f>
        <v>58.199000000000012</v>
      </c>
      <c r="E7" s="10">
        <f>Project_FCF!E18</f>
        <v>61.616680000000017</v>
      </c>
      <c r="F7" s="10">
        <f>Project_FCF!F18</f>
        <v>65.273597600000002</v>
      </c>
      <c r="G7" s="10">
        <f>Project_FCF!G18</f>
        <v>68.333869504000035</v>
      </c>
      <c r="H7" s="10">
        <f>Project_FCF!H18</f>
        <v>70.692224284160034</v>
      </c>
      <c r="I7" s="10">
        <f>Project_FCF!I18</f>
        <v>72.530110235443232</v>
      </c>
      <c r="J7" s="10">
        <f>Project_FCF!J18</f>
        <v>1810.2477334236951</v>
      </c>
    </row>
    <row r="8" spans="1:10" x14ac:dyDescent="0.3">
      <c r="A8" s="11"/>
      <c r="B8" s="4"/>
      <c r="C8" s="4"/>
      <c r="D8" s="4"/>
      <c r="E8" s="4"/>
      <c r="F8" s="4"/>
      <c r="G8" s="4"/>
      <c r="H8" s="4"/>
      <c r="I8" s="4"/>
      <c r="J8" s="4"/>
    </row>
    <row r="9" spans="1:10" ht="15" customHeight="1" x14ac:dyDescent="0.3">
      <c r="A9" s="7" t="s">
        <v>191</v>
      </c>
      <c r="B9" s="4"/>
      <c r="C9" s="4"/>
      <c r="D9" s="4"/>
      <c r="E9" s="4"/>
      <c r="F9" s="4"/>
      <c r="G9" s="4"/>
      <c r="H9" s="4"/>
      <c r="I9" s="4"/>
      <c r="J9" s="4"/>
    </row>
    <row r="10" spans="1:10" ht="15" customHeight="1" x14ac:dyDescent="0.3">
      <c r="A10" s="9" t="s">
        <v>192</v>
      </c>
      <c r="B10" s="22">
        <f>1</f>
        <v>1</v>
      </c>
      <c r="C10" s="22">
        <f>1/(1+Inputs!$B$7)^1</f>
        <v>0.92250922509225086</v>
      </c>
      <c r="D10" s="22">
        <f>1/(1+Inputs!$B$7)^2</f>
        <v>0.85102327038030523</v>
      </c>
      <c r="E10" s="22">
        <f>1/(1+Inputs!$B$7)^3</f>
        <v>0.78507681769400839</v>
      </c>
      <c r="F10" s="22">
        <f>1/(1+Inputs!$B$7)^4</f>
        <v>0.72424060672879009</v>
      </c>
      <c r="G10" s="22">
        <f>1/(1+Inputs!$B$7)^5</f>
        <v>0.66811864089371786</v>
      </c>
      <c r="H10" s="22">
        <f>1/(1+Inputs!$B$7)^6</f>
        <v>0.61634560968055141</v>
      </c>
      <c r="I10" s="22">
        <f>1/(1+Inputs!$B$7)^7</f>
        <v>0.56858451077541639</v>
      </c>
      <c r="J10" s="22">
        <f>1/(1+Inputs!$B$7)^8</f>
        <v>0.5245244564348861</v>
      </c>
    </row>
    <row r="11" spans="1:10" ht="15" customHeight="1" x14ac:dyDescent="0.3">
      <c r="A11" s="9" t="s">
        <v>193</v>
      </c>
      <c r="B11" s="12">
        <f t="shared" ref="B11:J11" si="0">B7*B10</f>
        <v>-350</v>
      </c>
      <c r="C11" s="12">
        <f t="shared" si="0"/>
        <v>30.050738007380076</v>
      </c>
      <c r="D11" s="12">
        <f t="shared" si="0"/>
        <v>49.528703312863392</v>
      </c>
      <c r="E11" s="12">
        <f t="shared" si="0"/>
        <v>48.373827051270062</v>
      </c>
      <c r="F11" s="12">
        <f t="shared" si="0"/>
        <v>47.273789929194898</v>
      </c>
      <c r="G11" s="12">
        <f t="shared" si="0"/>
        <v>45.655132020021178</v>
      </c>
      <c r="H11" s="12">
        <f t="shared" si="0"/>
        <v>43.570842076094898</v>
      </c>
      <c r="I11" s="12">
        <f t="shared" si="0"/>
        <v>41.239497244706513</v>
      </c>
      <c r="J11" s="12">
        <f t="shared" si="0"/>
        <v>949.51920838654826</v>
      </c>
    </row>
    <row r="12" spans="1:10" x14ac:dyDescent="0.3">
      <c r="A12" s="11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3">
      <c r="A13" s="11"/>
      <c r="B13" s="4"/>
      <c r="C13" s="4"/>
      <c r="D13" s="4"/>
      <c r="E13" s="4"/>
      <c r="F13" s="4"/>
      <c r="G13" s="4"/>
      <c r="H13" s="4"/>
      <c r="I13" s="4"/>
      <c r="J13" s="4"/>
    </row>
    <row r="14" spans="1:10" ht="15" customHeight="1" x14ac:dyDescent="0.3">
      <c r="A14" s="7" t="s">
        <v>194</v>
      </c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3">
      <c r="A15" s="11"/>
      <c r="B15" s="4"/>
      <c r="C15" s="4"/>
      <c r="D15" s="4"/>
      <c r="E15" s="4"/>
      <c r="F15" s="4"/>
      <c r="G15" s="4"/>
      <c r="H15" s="4"/>
      <c r="I15" s="4"/>
      <c r="J15" s="4"/>
    </row>
    <row r="16" spans="1:10" ht="15" customHeight="1" x14ac:dyDescent="0.3">
      <c r="A16" s="9" t="s">
        <v>195</v>
      </c>
      <c r="B16" s="36">
        <f>SUM(B11:J11)</f>
        <v>905.21173802807925</v>
      </c>
      <c r="C16" s="4"/>
      <c r="D16" s="4"/>
      <c r="E16" s="4"/>
      <c r="F16" s="4"/>
      <c r="G16" s="4"/>
      <c r="H16" s="4"/>
      <c r="I16" s="4"/>
      <c r="J16" s="4"/>
    </row>
    <row r="17" spans="1:10" x14ac:dyDescent="0.3">
      <c r="A17" s="11"/>
      <c r="B17" s="4"/>
      <c r="C17" s="4"/>
      <c r="D17" s="4"/>
      <c r="E17" s="4"/>
      <c r="F17" s="4"/>
      <c r="G17" s="4"/>
      <c r="H17" s="4"/>
      <c r="I17" s="4"/>
      <c r="J17" s="4"/>
    </row>
    <row r="18" spans="1:10" ht="15" customHeight="1" x14ac:dyDescent="0.3">
      <c r="A18" s="9" t="s">
        <v>196</v>
      </c>
      <c r="B18" s="37">
        <f>IRR(B7:J7)</f>
        <v>0.31594841359823089</v>
      </c>
      <c r="C18" s="4"/>
      <c r="D18" s="4"/>
      <c r="E18" s="4"/>
      <c r="F18" s="4"/>
      <c r="G18" s="4"/>
      <c r="H18" s="4"/>
      <c r="I18" s="4"/>
      <c r="J18" s="4"/>
    </row>
    <row r="19" spans="1:10" x14ac:dyDescent="0.3">
      <c r="A19" s="11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3">
      <c r="A20" s="11"/>
      <c r="B20" s="4"/>
      <c r="C20" s="4"/>
      <c r="D20" s="4"/>
      <c r="E20" s="4"/>
      <c r="F20" s="4"/>
      <c r="G20" s="4"/>
      <c r="H20" s="4"/>
      <c r="I20" s="4"/>
      <c r="J20" s="4"/>
    </row>
    <row r="21" spans="1:10" ht="15" customHeight="1" x14ac:dyDescent="0.3">
      <c r="A21" s="7" t="s">
        <v>197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 ht="15" customHeight="1" x14ac:dyDescent="0.3">
      <c r="A22" s="9" t="s">
        <v>198</v>
      </c>
      <c r="B22" s="13">
        <f>Inputs!B7</f>
        <v>8.4000000000000005E-2</v>
      </c>
      <c r="C22" s="4"/>
      <c r="D22" s="4"/>
      <c r="E22" s="4"/>
      <c r="F22" s="4"/>
      <c r="G22" s="4"/>
      <c r="H22" s="4"/>
      <c r="I22" s="4"/>
      <c r="J22" s="4"/>
    </row>
    <row r="23" spans="1:10" ht="15" customHeight="1" x14ac:dyDescent="0.3">
      <c r="A23" s="9" t="s">
        <v>199</v>
      </c>
      <c r="B23" s="13">
        <f>Inputs!B12</f>
        <v>0.25</v>
      </c>
      <c r="C23" s="4"/>
      <c r="D23" s="4"/>
      <c r="E23" s="4"/>
      <c r="F23" s="4"/>
      <c r="G23" s="4"/>
      <c r="H23" s="4"/>
      <c r="I23" s="4"/>
      <c r="J23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6"/>
  <sheetViews>
    <sheetView zoomScale="85" zoomScaleNormal="85" workbookViewId="0">
      <selection activeCell="F31" sqref="F31"/>
    </sheetView>
  </sheetViews>
  <sheetFormatPr defaultColWidth="8.6640625" defaultRowHeight="14.4" x14ac:dyDescent="0.3"/>
  <cols>
    <col min="1" max="1" width="45" customWidth="1"/>
    <col min="2" max="10" width="12" customWidth="1"/>
  </cols>
  <sheetData>
    <row r="1" spans="1:10" ht="15" customHeight="1" x14ac:dyDescent="0.3">
      <c r="A1" s="1" t="s">
        <v>200</v>
      </c>
      <c r="B1" s="2"/>
      <c r="C1" s="2"/>
      <c r="D1" s="2"/>
      <c r="E1" s="2"/>
      <c r="F1" s="2"/>
      <c r="G1" s="2"/>
      <c r="H1" s="2"/>
      <c r="I1" s="2"/>
      <c r="J1" s="2"/>
    </row>
    <row r="2" spans="1:10" ht="15" customHeight="1" x14ac:dyDescent="0.3">
      <c r="A2" s="17" t="s">
        <v>201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3">
      <c r="A3" s="11"/>
      <c r="B3" s="4"/>
      <c r="C3" s="4"/>
      <c r="D3" s="4"/>
      <c r="E3" s="4"/>
      <c r="F3" s="4"/>
      <c r="G3" s="4"/>
      <c r="H3" s="4"/>
      <c r="I3" s="4"/>
      <c r="J3" s="4"/>
    </row>
    <row r="4" spans="1:10" ht="15" customHeight="1" x14ac:dyDescent="0.3">
      <c r="A4" s="7" t="s">
        <v>188</v>
      </c>
      <c r="B4" s="8">
        <v>0</v>
      </c>
      <c r="C4" s="8">
        <v>1</v>
      </c>
      <c r="D4" s="8">
        <v>2</v>
      </c>
      <c r="E4" s="8">
        <v>3</v>
      </c>
      <c r="F4" s="8">
        <v>4</v>
      </c>
      <c r="G4" s="8">
        <v>5</v>
      </c>
      <c r="H4" s="8">
        <v>6</v>
      </c>
      <c r="I4" s="8">
        <v>7</v>
      </c>
      <c r="J4" s="8">
        <v>8</v>
      </c>
    </row>
    <row r="5" spans="1:10" ht="15" customHeight="1" x14ac:dyDescent="0.3">
      <c r="A5" s="7" t="s">
        <v>202</v>
      </c>
      <c r="B5" s="4"/>
      <c r="C5" s="4"/>
      <c r="D5" s="4"/>
      <c r="E5" s="4"/>
      <c r="F5" s="4"/>
      <c r="G5" s="4"/>
      <c r="H5" s="4"/>
      <c r="I5" s="4"/>
      <c r="J5" s="4"/>
    </row>
    <row r="6" spans="1:10" ht="15" customHeight="1" x14ac:dyDescent="0.3">
      <c r="A6" s="7" t="s">
        <v>190</v>
      </c>
      <c r="B6" s="8">
        <f>Project_FCF!B18</f>
        <v>-350</v>
      </c>
      <c r="C6" s="8">
        <f>Project_FCF!C18</f>
        <v>32.575000000000003</v>
      </c>
      <c r="D6" s="8">
        <f>Project_FCF!D18</f>
        <v>58.199000000000012</v>
      </c>
      <c r="E6" s="8">
        <f>Project_FCF!E18</f>
        <v>61.616680000000017</v>
      </c>
      <c r="F6" s="8">
        <f>Project_FCF!F18</f>
        <v>65.273597600000002</v>
      </c>
      <c r="G6" s="8">
        <f>Project_FCF!G18</f>
        <v>68.333869504000035</v>
      </c>
      <c r="H6" s="8">
        <f>Project_FCF!H18</f>
        <v>70.692224284160034</v>
      </c>
      <c r="I6" s="8">
        <f>Project_FCF!I18</f>
        <v>72.530110235443232</v>
      </c>
      <c r="J6" s="8">
        <f>Project_FCF!J18</f>
        <v>1810.2477334236951</v>
      </c>
    </row>
    <row r="7" spans="1:10" ht="15" customHeight="1" x14ac:dyDescent="0.3">
      <c r="A7" s="9" t="s">
        <v>203</v>
      </c>
      <c r="B7" s="22">
        <f>1</f>
        <v>1</v>
      </c>
      <c r="C7" s="22">
        <f>1/(1+Inputs!$B$7)^1</f>
        <v>0.92250922509225086</v>
      </c>
      <c r="D7" s="22">
        <f>1/(1+Inputs!$B$7)^2</f>
        <v>0.85102327038030523</v>
      </c>
      <c r="E7" s="22">
        <f>1/(1+Inputs!$B$7)^3</f>
        <v>0.78507681769400839</v>
      </c>
      <c r="F7" s="22">
        <f>1/(1+Inputs!$B$7)^4</f>
        <v>0.72424060672879009</v>
      </c>
      <c r="G7" s="22">
        <f>1/(1+Inputs!$B$7)^5</f>
        <v>0.66811864089371786</v>
      </c>
      <c r="H7" s="22">
        <f>1/(1+Inputs!$B$7)^6</f>
        <v>0.61634560968055141</v>
      </c>
      <c r="I7" s="22">
        <f>1/(1+Inputs!$B$7)^7</f>
        <v>0.56858451077541639</v>
      </c>
      <c r="J7" s="22">
        <f>1/(1+Inputs!$B$7)^8</f>
        <v>0.5245244564348861</v>
      </c>
    </row>
    <row r="8" spans="1:10" ht="15" customHeight="1" x14ac:dyDescent="0.3">
      <c r="A8" s="9" t="s">
        <v>193</v>
      </c>
      <c r="B8" s="12">
        <f t="shared" ref="B8:J8" si="0">B6*B7</f>
        <v>-350</v>
      </c>
      <c r="C8" s="12">
        <f t="shared" si="0"/>
        <v>30.050738007380076</v>
      </c>
      <c r="D8" s="12">
        <f t="shared" si="0"/>
        <v>49.528703312863392</v>
      </c>
      <c r="E8" s="12">
        <f t="shared" si="0"/>
        <v>48.373827051270062</v>
      </c>
      <c r="F8" s="12">
        <f t="shared" si="0"/>
        <v>47.273789929194898</v>
      </c>
      <c r="G8" s="12">
        <f t="shared" si="0"/>
        <v>45.655132020021178</v>
      </c>
      <c r="H8" s="12">
        <f t="shared" si="0"/>
        <v>43.570842076094898</v>
      </c>
      <c r="I8" s="12">
        <f t="shared" si="0"/>
        <v>41.239497244706513</v>
      </c>
      <c r="J8" s="12">
        <f t="shared" si="0"/>
        <v>949.51920838654826</v>
      </c>
    </row>
    <row r="9" spans="1:10" x14ac:dyDescent="0.3">
      <c r="A9" s="11"/>
      <c r="B9" s="4"/>
      <c r="C9" s="4"/>
      <c r="D9" s="4"/>
      <c r="E9" s="4"/>
      <c r="F9" s="4"/>
      <c r="G9" s="4"/>
      <c r="H9" s="4"/>
      <c r="I9" s="4"/>
      <c r="J9" s="4"/>
    </row>
    <row r="10" spans="1:10" ht="15" customHeight="1" x14ac:dyDescent="0.3">
      <c r="A10" s="9" t="s">
        <v>204</v>
      </c>
      <c r="B10" s="24">
        <f>SUM(B8:J8)</f>
        <v>905.21173802807925</v>
      </c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1"/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3">
      <c r="A12" s="11"/>
      <c r="B12" s="4"/>
      <c r="C12" s="4"/>
      <c r="D12" s="4"/>
      <c r="E12" s="4"/>
      <c r="F12" s="4"/>
      <c r="G12" s="4"/>
      <c r="H12" s="4"/>
      <c r="I12" s="4"/>
      <c r="J12" s="4"/>
    </row>
    <row r="13" spans="1:10" ht="15" customHeight="1" x14ac:dyDescent="0.3">
      <c r="A13" s="7" t="s">
        <v>205</v>
      </c>
      <c r="B13" s="4"/>
      <c r="C13" s="4"/>
      <c r="D13" s="4"/>
      <c r="E13" s="4"/>
      <c r="F13" s="4"/>
      <c r="G13" s="4"/>
      <c r="H13" s="4"/>
      <c r="I13" s="4"/>
      <c r="J13" s="4"/>
    </row>
    <row r="14" spans="1:10" ht="15" customHeight="1" x14ac:dyDescent="0.3">
      <c r="A14" s="9" t="s">
        <v>206</v>
      </c>
      <c r="B14" s="12">
        <f>Project_Assumptions!$B$50*Project_Assumptions!$B$17</f>
        <v>52.5</v>
      </c>
      <c r="C14" s="12">
        <f>Project_Assumptions!$B$50*Project_Assumptions!$B$17</f>
        <v>52.5</v>
      </c>
      <c r="D14" s="12">
        <f>Project_Assumptions!$B$50*Project_Assumptions!$B$17</f>
        <v>52.5</v>
      </c>
      <c r="E14" s="12">
        <f>Project_Assumptions!$B$50*Project_Assumptions!$B$17</f>
        <v>52.5</v>
      </c>
      <c r="F14" s="12">
        <f>Project_Assumptions!$B$50*Project_Assumptions!$B$17</f>
        <v>52.5</v>
      </c>
      <c r="G14" s="12">
        <f>Project_Assumptions!$B$50*Project_Assumptions!$B$17</f>
        <v>52.5</v>
      </c>
      <c r="H14" s="12">
        <f>Project_Assumptions!$B$50*Project_Assumptions!$B$17</f>
        <v>52.5</v>
      </c>
      <c r="I14" s="12">
        <f>Project_Assumptions!$B$50*Project_Assumptions!$B$17</f>
        <v>52.5</v>
      </c>
      <c r="J14" s="12">
        <f>Project_Assumptions!$B$50*Project_Assumptions!$B$17</f>
        <v>52.5</v>
      </c>
    </row>
    <row r="15" spans="1:10" ht="15" customHeight="1" x14ac:dyDescent="0.3">
      <c r="A15" s="9" t="s">
        <v>207</v>
      </c>
      <c r="B15" s="12">
        <v>0</v>
      </c>
      <c r="C15" s="12">
        <f>C14*Project_Assumptions!$B$51</f>
        <v>2.1</v>
      </c>
      <c r="D15" s="12">
        <f>D14*Project_Assumptions!$B$51</f>
        <v>2.1</v>
      </c>
      <c r="E15" s="12">
        <f>E14*Project_Assumptions!$B$51</f>
        <v>2.1</v>
      </c>
      <c r="F15" s="12">
        <f>F14*Project_Assumptions!$B$51</f>
        <v>2.1</v>
      </c>
      <c r="G15" s="12">
        <f>G14*Project_Assumptions!$B$51</f>
        <v>2.1</v>
      </c>
      <c r="H15" s="12">
        <f>H14*Project_Assumptions!$B$51</f>
        <v>2.1</v>
      </c>
      <c r="I15" s="12">
        <f>I14*Project_Assumptions!$B$51</f>
        <v>2.1</v>
      </c>
      <c r="J15" s="12">
        <f>J14*Project_Assumptions!$B$51</f>
        <v>2.1</v>
      </c>
    </row>
    <row r="16" spans="1:10" ht="15" customHeight="1" x14ac:dyDescent="0.3">
      <c r="A16" s="9" t="s">
        <v>208</v>
      </c>
      <c r="B16" s="8">
        <f>B15*Inputs!$B$12</f>
        <v>0</v>
      </c>
      <c r="C16" s="12">
        <f>C15*Inputs!$B$12</f>
        <v>0.52500000000000002</v>
      </c>
      <c r="D16" s="12">
        <f>D15*Inputs!$B$12</f>
        <v>0.52500000000000002</v>
      </c>
      <c r="E16" s="12">
        <f>E15*Inputs!$B$12</f>
        <v>0.52500000000000002</v>
      </c>
      <c r="F16" s="12">
        <f>F15*Inputs!$B$12</f>
        <v>0.52500000000000002</v>
      </c>
      <c r="G16" s="12">
        <f>G15*Inputs!$B$12</f>
        <v>0.52500000000000002</v>
      </c>
      <c r="H16" s="12">
        <f>H15*Inputs!$B$12</f>
        <v>0.52500000000000002</v>
      </c>
      <c r="I16" s="12">
        <f>I15*Inputs!$B$12</f>
        <v>0.52500000000000002</v>
      </c>
      <c r="J16" s="12">
        <f>J15*Inputs!$B$12</f>
        <v>0.52500000000000002</v>
      </c>
    </row>
    <row r="17" spans="1:10" ht="15" customHeight="1" x14ac:dyDescent="0.3">
      <c r="A17" s="9" t="s">
        <v>209</v>
      </c>
      <c r="B17" s="22">
        <f>1</f>
        <v>1</v>
      </c>
      <c r="C17" s="22">
        <f>1/(1+Inputs!$B$9)^1</f>
        <v>0.95969289827255277</v>
      </c>
      <c r="D17" s="22">
        <f>1/(1+Inputs!$B$9)^2</f>
        <v>0.92101045899477219</v>
      </c>
      <c r="E17" s="22">
        <f>1/(1+Inputs!$B$9)^3</f>
        <v>0.88388719673202698</v>
      </c>
      <c r="F17" s="22">
        <f>1/(1+Inputs!$B$9)^4</f>
        <v>0.84826026557776091</v>
      </c>
      <c r="G17" s="22">
        <f>1/(1+Inputs!$B$9)^5</f>
        <v>0.81406935276176673</v>
      </c>
      <c r="H17" s="22">
        <f>1/(1+Inputs!$B$9)^6</f>
        <v>0.78125657654680092</v>
      </c>
      <c r="I17" s="22">
        <f>1/(1+Inputs!$B$9)^7</f>
        <v>0.74976638824069186</v>
      </c>
      <c r="J17" s="22">
        <f>1/(1+Inputs!$B$9)^8</f>
        <v>0.71954547815805359</v>
      </c>
    </row>
    <row r="18" spans="1:10" ht="15" customHeight="1" x14ac:dyDescent="0.3">
      <c r="A18" s="9" t="s">
        <v>210</v>
      </c>
      <c r="B18" s="12">
        <f t="shared" ref="B18:J18" si="1">B16*B17</f>
        <v>0</v>
      </c>
      <c r="C18" s="12">
        <f t="shared" si="1"/>
        <v>0.50383877159309021</v>
      </c>
      <c r="D18" s="12">
        <f t="shared" si="1"/>
        <v>0.48353049097225542</v>
      </c>
      <c r="E18" s="12">
        <f t="shared" si="1"/>
        <v>0.46404077828431417</v>
      </c>
      <c r="F18" s="12">
        <f t="shared" si="1"/>
        <v>0.44533663942832452</v>
      </c>
      <c r="G18" s="12">
        <f t="shared" si="1"/>
        <v>0.42738641019992757</v>
      </c>
      <c r="H18" s="12">
        <f t="shared" si="1"/>
        <v>0.41015970268707053</v>
      </c>
      <c r="I18" s="12">
        <f t="shared" si="1"/>
        <v>0.39362735382636327</v>
      </c>
      <c r="J18" s="12">
        <f t="shared" si="1"/>
        <v>0.37776137603297816</v>
      </c>
    </row>
    <row r="19" spans="1:10" x14ac:dyDescent="0.3">
      <c r="A19" s="11"/>
      <c r="B19" s="4"/>
      <c r="C19" s="4"/>
      <c r="D19" s="4"/>
      <c r="E19" s="4"/>
      <c r="F19" s="4"/>
      <c r="G19" s="4"/>
      <c r="H19" s="4"/>
      <c r="I19" s="4"/>
      <c r="J19" s="4"/>
    </row>
    <row r="20" spans="1:10" ht="15" customHeight="1" x14ac:dyDescent="0.3">
      <c r="A20" s="9" t="s">
        <v>211</v>
      </c>
      <c r="B20" s="24">
        <f>SUM(B18:J18)</f>
        <v>3.5056815230243235</v>
      </c>
      <c r="C20" s="4"/>
      <c r="D20" s="4"/>
      <c r="E20" s="4"/>
      <c r="F20" s="4"/>
      <c r="G20" s="4"/>
      <c r="H20" s="4"/>
      <c r="I20" s="4"/>
      <c r="J20" s="4"/>
    </row>
    <row r="21" spans="1:10" x14ac:dyDescent="0.3">
      <c r="A21" s="11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3">
      <c r="A22" s="11"/>
      <c r="B22" s="4"/>
      <c r="C22" s="4"/>
      <c r="D22" s="4"/>
      <c r="E22" s="4"/>
      <c r="F22" s="4"/>
      <c r="G22" s="4"/>
      <c r="H22" s="4"/>
      <c r="I22" s="4"/>
      <c r="J22" s="4"/>
    </row>
    <row r="23" spans="1:10" ht="15" customHeight="1" x14ac:dyDescent="0.3">
      <c r="A23" s="7" t="s">
        <v>212</v>
      </c>
      <c r="B23" s="4"/>
      <c r="C23" s="4"/>
      <c r="D23" s="4"/>
      <c r="E23" s="4"/>
      <c r="F23" s="4"/>
      <c r="G23" s="4"/>
      <c r="H23" s="4"/>
      <c r="I23" s="4"/>
      <c r="J23" s="4"/>
    </row>
    <row r="24" spans="1:10" x14ac:dyDescent="0.3">
      <c r="A24" s="11"/>
      <c r="B24" s="4"/>
      <c r="C24" s="4"/>
      <c r="D24" s="4"/>
      <c r="E24" s="4"/>
      <c r="F24" s="4"/>
      <c r="G24" s="4"/>
      <c r="H24" s="4"/>
      <c r="I24" s="4"/>
      <c r="J24" s="4"/>
    </row>
    <row r="25" spans="1:10" ht="15" customHeight="1" x14ac:dyDescent="0.3">
      <c r="A25" s="9" t="s">
        <v>204</v>
      </c>
      <c r="B25" s="12">
        <f>B10</f>
        <v>905.21173802807925</v>
      </c>
      <c r="C25" s="4"/>
      <c r="D25" s="4"/>
      <c r="E25" s="4"/>
      <c r="F25" s="4"/>
      <c r="G25" s="4"/>
      <c r="H25" s="4"/>
      <c r="I25" s="4"/>
      <c r="J25" s="4"/>
    </row>
    <row r="26" spans="1:10" ht="15" customHeight="1" x14ac:dyDescent="0.3">
      <c r="A26" s="9" t="s">
        <v>213</v>
      </c>
      <c r="B26" s="12">
        <f>B20</f>
        <v>3.5056815230243235</v>
      </c>
      <c r="C26" s="4"/>
      <c r="D26" s="4"/>
      <c r="E26" s="4"/>
      <c r="F26" s="4"/>
      <c r="G26" s="4"/>
      <c r="H26" s="4"/>
      <c r="I26" s="4"/>
      <c r="J26" s="4"/>
    </row>
    <row r="27" spans="1:10" x14ac:dyDescent="0.3">
      <c r="A27" s="11"/>
      <c r="B27" s="4"/>
      <c r="C27" s="4"/>
      <c r="D27" s="4"/>
      <c r="E27" s="4"/>
      <c r="F27" s="4"/>
      <c r="G27" s="4"/>
      <c r="H27" s="4"/>
      <c r="I27" s="4"/>
      <c r="J27" s="4"/>
    </row>
    <row r="28" spans="1:10" ht="15" customHeight="1" x14ac:dyDescent="0.3">
      <c r="A28" s="9" t="s">
        <v>214</v>
      </c>
      <c r="B28" s="38">
        <f>B25+B26</f>
        <v>908.7174195511036</v>
      </c>
      <c r="C28" s="4"/>
      <c r="D28" s="4"/>
      <c r="E28" s="4"/>
      <c r="F28" s="4"/>
      <c r="G28" s="4"/>
      <c r="H28" s="4"/>
      <c r="I28" s="4"/>
      <c r="J28" s="4"/>
    </row>
    <row r="29" spans="1:10" x14ac:dyDescent="0.3">
      <c r="A29" s="9" t="s">
        <v>215</v>
      </c>
      <c r="B29" s="10">
        <f>Inputs!B7</f>
        <v>8.4000000000000005E-2</v>
      </c>
      <c r="C29" s="4"/>
      <c r="D29" s="4"/>
      <c r="E29" s="4"/>
      <c r="F29" s="4"/>
      <c r="G29" s="4"/>
      <c r="H29" s="4"/>
      <c r="I29" s="4"/>
      <c r="J29" s="4"/>
    </row>
    <row r="30" spans="1:10" x14ac:dyDescent="0.3">
      <c r="A30" s="9" t="s">
        <v>216</v>
      </c>
      <c r="B30" s="10">
        <f>Inputs!B9</f>
        <v>4.2000000000000003E-2</v>
      </c>
      <c r="C30" s="4"/>
      <c r="D30" s="4"/>
      <c r="E30" s="4"/>
      <c r="F30" s="4"/>
      <c r="G30" s="4"/>
      <c r="H30" s="4"/>
      <c r="I30" s="4"/>
      <c r="J30" s="4"/>
    </row>
    <row r="31" spans="1:10" ht="15" customHeight="1" x14ac:dyDescent="0.3">
      <c r="A31" s="7" t="s">
        <v>199</v>
      </c>
      <c r="B31" s="10">
        <f>Inputs!B12</f>
        <v>0.25</v>
      </c>
      <c r="C31" s="4"/>
      <c r="D31" s="4"/>
      <c r="E31" s="4"/>
      <c r="F31" s="4"/>
      <c r="G31" s="4"/>
      <c r="H31" s="4"/>
      <c r="I31" s="4"/>
      <c r="J31" s="4"/>
    </row>
    <row r="32" spans="1:10" ht="15" customHeight="1" x14ac:dyDescent="0.3">
      <c r="A32" s="9" t="s">
        <v>206</v>
      </c>
      <c r="B32" s="13">
        <f>Project_Assumptions!$B$50*Project_Assumptions!$B$17</f>
        <v>52.5</v>
      </c>
      <c r="C32" s="4"/>
      <c r="D32" s="4"/>
      <c r="E32" s="4"/>
      <c r="F32" s="4"/>
      <c r="G32" s="4"/>
      <c r="H32" s="4"/>
      <c r="I32" s="4"/>
      <c r="J32" s="4"/>
    </row>
    <row r="33" spans="1:10" ht="15" customHeight="1" x14ac:dyDescent="0.3">
      <c r="A33" s="9" t="s">
        <v>165</v>
      </c>
      <c r="B33" s="13">
        <f>Project_Assumptions!B51</f>
        <v>0.04</v>
      </c>
      <c r="C33" s="4"/>
      <c r="D33" s="4"/>
      <c r="E33" s="4"/>
      <c r="F33" s="4"/>
      <c r="G33" s="4"/>
      <c r="H33" s="4"/>
      <c r="I33" s="4"/>
      <c r="J33" s="4"/>
    </row>
    <row r="34" spans="1:10" ht="15" customHeight="1" x14ac:dyDescent="0.3">
      <c r="A34" s="11"/>
      <c r="B34" s="5"/>
      <c r="C34" s="4"/>
      <c r="D34" s="4"/>
      <c r="E34" s="4"/>
      <c r="F34" s="4"/>
      <c r="G34" s="4"/>
      <c r="H34" s="4"/>
      <c r="I34" s="4"/>
      <c r="J34" s="4"/>
    </row>
    <row r="35" spans="1:10" ht="15" customHeight="1" x14ac:dyDescent="0.3">
      <c r="A35" s="11"/>
      <c r="B35" s="6"/>
      <c r="C35" s="4"/>
      <c r="D35" s="4"/>
      <c r="E35" s="4"/>
      <c r="F35" s="4"/>
      <c r="G35" s="4"/>
      <c r="H35" s="4"/>
      <c r="I35" s="4"/>
      <c r="J35" s="4"/>
    </row>
    <row r="36" spans="1:10" ht="15" customHeight="1" x14ac:dyDescent="0.3">
      <c r="A36" s="11"/>
      <c r="B36" s="5"/>
      <c r="C36" s="4"/>
      <c r="D36" s="4"/>
      <c r="E36" s="4"/>
      <c r="F36" s="4"/>
      <c r="G36" s="4"/>
      <c r="H36" s="4"/>
      <c r="I36" s="4"/>
      <c r="J36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5"/>
  <sheetViews>
    <sheetView topLeftCell="A3" zoomScale="85" zoomScaleNormal="85" workbookViewId="0">
      <selection activeCell="E28" sqref="E28"/>
    </sheetView>
  </sheetViews>
  <sheetFormatPr defaultColWidth="8.6640625" defaultRowHeight="14.4" x14ac:dyDescent="0.3"/>
  <cols>
    <col min="1" max="1" width="45" customWidth="1"/>
    <col min="2" max="10" width="12" customWidth="1"/>
  </cols>
  <sheetData>
    <row r="1" spans="1:10" ht="15" customHeight="1" x14ac:dyDescent="0.3">
      <c r="A1" s="1" t="s">
        <v>217</v>
      </c>
      <c r="B1" s="2"/>
      <c r="C1" s="2"/>
      <c r="D1" s="2"/>
      <c r="E1" s="2"/>
      <c r="F1" s="2"/>
      <c r="G1" s="2"/>
      <c r="H1" s="2"/>
      <c r="I1" s="2"/>
      <c r="J1" s="2"/>
    </row>
    <row r="2" spans="1:10" ht="15" customHeight="1" x14ac:dyDescent="0.3">
      <c r="A2" s="17" t="s">
        <v>218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3">
      <c r="A3" s="11"/>
      <c r="B3" s="4"/>
      <c r="C3" s="4"/>
      <c r="D3" s="4"/>
      <c r="E3" s="4"/>
      <c r="F3" s="4"/>
      <c r="G3" s="4"/>
      <c r="H3" s="4"/>
      <c r="I3" s="4"/>
      <c r="J3" s="4"/>
    </row>
    <row r="4" spans="1:10" ht="15" customHeight="1" x14ac:dyDescent="0.3">
      <c r="A4" s="7" t="s">
        <v>188</v>
      </c>
      <c r="B4" s="8">
        <v>0</v>
      </c>
      <c r="C4" s="8">
        <v>1</v>
      </c>
      <c r="D4" s="8">
        <v>2</v>
      </c>
      <c r="E4" s="8">
        <v>3</v>
      </c>
      <c r="F4" s="8">
        <v>4</v>
      </c>
      <c r="G4" s="8">
        <v>5</v>
      </c>
      <c r="H4" s="8">
        <v>6</v>
      </c>
      <c r="I4" s="8">
        <v>7</v>
      </c>
      <c r="J4" s="8">
        <v>8</v>
      </c>
    </row>
    <row r="5" spans="1:10" ht="15" customHeight="1" x14ac:dyDescent="0.3">
      <c r="A5" s="7" t="s">
        <v>219</v>
      </c>
      <c r="B5" s="4"/>
      <c r="C5" s="4"/>
      <c r="D5" s="4"/>
      <c r="E5" s="4"/>
      <c r="F5" s="4"/>
      <c r="G5" s="4"/>
      <c r="H5" s="4"/>
      <c r="I5" s="4"/>
      <c r="J5" s="4"/>
    </row>
    <row r="6" spans="1:10" ht="15" customHeight="1" x14ac:dyDescent="0.3">
      <c r="A6" s="7" t="s">
        <v>220</v>
      </c>
      <c r="B6" s="8">
        <f>Project_FCF!B18-Project_FCF!B17</f>
        <v>-350</v>
      </c>
      <c r="C6" s="8">
        <f>Project_FCF!C18-Project_FCF!C17</f>
        <v>32.575000000000003</v>
      </c>
      <c r="D6" s="8">
        <f>Project_FCF!D18-Project_FCF!D17</f>
        <v>58.199000000000012</v>
      </c>
      <c r="E6" s="8">
        <f>Project_FCF!E18-Project_FCF!E17</f>
        <v>61.616680000000017</v>
      </c>
      <c r="F6" s="8">
        <f>Project_FCF!F18-Project_FCF!F17</f>
        <v>65.273597600000002</v>
      </c>
      <c r="G6" s="8">
        <f>Project_FCF!G18-Project_FCF!G17</f>
        <v>68.333869504000035</v>
      </c>
      <c r="H6" s="8">
        <f>Project_FCF!H18-Project_FCF!H17</f>
        <v>70.692224284160034</v>
      </c>
      <c r="I6" s="8">
        <f>Project_FCF!I18-Project_FCF!I17</f>
        <v>72.530110235443232</v>
      </c>
      <c r="J6" s="8">
        <f>Project_FCF!J18-Project_FCF!J17</f>
        <v>106.87809496228465</v>
      </c>
    </row>
    <row r="7" spans="1:10" x14ac:dyDescent="0.3">
      <c r="A7" s="11"/>
      <c r="B7" s="4"/>
      <c r="C7" s="4"/>
      <c r="D7" s="4"/>
      <c r="E7" s="4"/>
      <c r="F7" s="4"/>
      <c r="G7" s="4"/>
      <c r="H7" s="4"/>
      <c r="I7" s="4"/>
      <c r="J7" s="4"/>
    </row>
    <row r="8" spans="1:10" x14ac:dyDescent="0.3">
      <c r="A8" s="11"/>
      <c r="B8" s="4"/>
      <c r="C8" s="4"/>
      <c r="D8" s="4"/>
      <c r="E8" s="4"/>
      <c r="F8" s="4"/>
      <c r="G8" s="4"/>
      <c r="H8" s="4"/>
      <c r="I8" s="4"/>
      <c r="J8" s="4"/>
    </row>
    <row r="9" spans="1:10" ht="15" customHeight="1" x14ac:dyDescent="0.3">
      <c r="A9" s="7" t="s">
        <v>221</v>
      </c>
      <c r="B9" s="4"/>
      <c r="C9" s="4"/>
      <c r="D9" s="4"/>
      <c r="E9" s="4"/>
      <c r="F9" s="4"/>
      <c r="G9" s="4"/>
      <c r="H9" s="4"/>
      <c r="I9" s="4"/>
      <c r="J9" s="4"/>
    </row>
    <row r="10" spans="1:10" ht="15" customHeight="1" x14ac:dyDescent="0.3">
      <c r="A10" s="9" t="s">
        <v>222</v>
      </c>
      <c r="B10" s="12">
        <v>0</v>
      </c>
      <c r="C10" s="12">
        <f>Project_Assumptions!$B$50*Project_Assumptions!$B$17*Project_Assumptions!$B$51</f>
        <v>2.1</v>
      </c>
      <c r="D10" s="12">
        <f>Project_Assumptions!$B$50*Project_Assumptions!$B$17*Project_Assumptions!$B$51</f>
        <v>2.1</v>
      </c>
      <c r="E10" s="12">
        <f>Project_Assumptions!$B$50*Project_Assumptions!$B$17*Project_Assumptions!$B$51</f>
        <v>2.1</v>
      </c>
      <c r="F10" s="12">
        <f>Project_Assumptions!$B$50*Project_Assumptions!$B$17*Project_Assumptions!$B$51</f>
        <v>2.1</v>
      </c>
      <c r="G10" s="12">
        <f>Project_Assumptions!$B$50*Project_Assumptions!$B$17*Project_Assumptions!$B$51</f>
        <v>2.1</v>
      </c>
      <c r="H10" s="12">
        <f>Project_Assumptions!$B$50*Project_Assumptions!$B$17*Project_Assumptions!$B$51</f>
        <v>2.1</v>
      </c>
      <c r="I10" s="12">
        <f>Project_Assumptions!$B$50*Project_Assumptions!$B$17*Project_Assumptions!$B$51</f>
        <v>2.1</v>
      </c>
      <c r="J10" s="12">
        <f>Project_Assumptions!$B$50*Project_Assumptions!$B$17*Project_Assumptions!$B$51</f>
        <v>2.1</v>
      </c>
    </row>
    <row r="11" spans="1:10" ht="15" customHeight="1" x14ac:dyDescent="0.3">
      <c r="A11" s="9" t="s">
        <v>223</v>
      </c>
      <c r="B11" s="12">
        <f>B10*(1-Inputs!$B$12)</f>
        <v>0</v>
      </c>
      <c r="C11" s="12">
        <f>C10*(1-Inputs!$B$12)</f>
        <v>1.5750000000000002</v>
      </c>
      <c r="D11" s="12">
        <f>D10*(1-Inputs!$B$12)</f>
        <v>1.5750000000000002</v>
      </c>
      <c r="E11" s="12">
        <f>E10*(1-Inputs!$B$12)</f>
        <v>1.5750000000000002</v>
      </c>
      <c r="F11" s="12">
        <f>F10*(1-Inputs!$B$12)</f>
        <v>1.5750000000000002</v>
      </c>
      <c r="G11" s="12">
        <f>G10*(1-Inputs!$B$12)</f>
        <v>1.5750000000000002</v>
      </c>
      <c r="H11" s="12">
        <f>H10*(1-Inputs!$B$12)</f>
        <v>1.5750000000000002</v>
      </c>
      <c r="I11" s="12">
        <f>I10*(1-Inputs!$B$12)</f>
        <v>1.5750000000000002</v>
      </c>
      <c r="J11" s="12">
        <f>J10*(1-Inputs!$B$12)</f>
        <v>1.5750000000000002</v>
      </c>
    </row>
    <row r="12" spans="1:10" ht="15" customHeight="1" x14ac:dyDescent="0.3">
      <c r="A12" s="9" t="s">
        <v>224</v>
      </c>
      <c r="B12" s="12">
        <f>Project_Assumptions!$B$50*Project_Assumptions!$B$17</f>
        <v>52.5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</row>
    <row r="13" spans="1:10" x14ac:dyDescent="0.3">
      <c r="A13" s="11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3">
      <c r="A14" s="11"/>
      <c r="B14" s="4"/>
      <c r="C14" s="4"/>
      <c r="D14" s="4"/>
      <c r="E14" s="4"/>
      <c r="F14" s="4"/>
      <c r="G14" s="4"/>
      <c r="H14" s="4"/>
      <c r="I14" s="4"/>
      <c r="J14" s="4"/>
    </row>
    <row r="15" spans="1:10" ht="15" customHeight="1" x14ac:dyDescent="0.3">
      <c r="A15" s="7" t="s">
        <v>225</v>
      </c>
      <c r="B15" s="4"/>
      <c r="C15" s="4"/>
      <c r="D15" s="4"/>
      <c r="E15" s="4"/>
      <c r="F15" s="4"/>
      <c r="G15" s="4"/>
      <c r="H15" s="4"/>
      <c r="I15" s="4"/>
      <c r="J15" s="4"/>
    </row>
    <row r="16" spans="1:10" ht="15" customHeight="1" x14ac:dyDescent="0.3">
      <c r="A16" s="9" t="s">
        <v>226</v>
      </c>
      <c r="B16" s="8">
        <f>B6-B11+B12</f>
        <v>-297.5</v>
      </c>
      <c r="C16" s="12">
        <f t="shared" ref="C16:J16" si="0">C6-C11+C12</f>
        <v>31.000000000000004</v>
      </c>
      <c r="D16" s="12">
        <f t="shared" si="0"/>
        <v>56.624000000000009</v>
      </c>
      <c r="E16" s="12">
        <f t="shared" si="0"/>
        <v>60.041680000000014</v>
      </c>
      <c r="F16" s="12">
        <f t="shared" si="0"/>
        <v>63.698597599999999</v>
      </c>
      <c r="G16" s="12">
        <f t="shared" si="0"/>
        <v>66.758869504000032</v>
      </c>
      <c r="H16" s="12">
        <f t="shared" si="0"/>
        <v>69.117224284160031</v>
      </c>
      <c r="I16" s="12">
        <f t="shared" si="0"/>
        <v>70.955110235443229</v>
      </c>
      <c r="J16" s="12">
        <f t="shared" si="0"/>
        <v>105.30309496228465</v>
      </c>
    </row>
    <row r="17" spans="1:10" ht="15" customHeight="1" x14ac:dyDescent="0.3">
      <c r="A17" s="9" t="s">
        <v>184</v>
      </c>
      <c r="B17" s="12">
        <f>Project_FCF!B17</f>
        <v>0</v>
      </c>
      <c r="C17" s="12">
        <f>Project_FCF!C17</f>
        <v>0</v>
      </c>
      <c r="D17" s="12">
        <f>Project_FCF!D17</f>
        <v>0</v>
      </c>
      <c r="E17" s="12">
        <f>Project_FCF!E17</f>
        <v>0</v>
      </c>
      <c r="F17" s="12">
        <f>Project_FCF!F17</f>
        <v>0</v>
      </c>
      <c r="G17" s="12">
        <f>Project_FCF!G17</f>
        <v>0</v>
      </c>
      <c r="H17" s="12">
        <f>Project_FCF!H17</f>
        <v>0</v>
      </c>
      <c r="I17" s="12">
        <f>Project_FCF!I17</f>
        <v>0</v>
      </c>
      <c r="J17" s="12">
        <f>Project_FCF!J17</f>
        <v>1703.3696384614104</v>
      </c>
    </row>
    <row r="18" spans="1:10" ht="15" customHeight="1" x14ac:dyDescent="0.3">
      <c r="A18" s="9" t="s">
        <v>227</v>
      </c>
      <c r="B18" s="24">
        <f>B16+B17</f>
        <v>-297.5</v>
      </c>
      <c r="C18" s="24">
        <f t="shared" ref="C18:J18" si="1">C16+C17</f>
        <v>31.000000000000004</v>
      </c>
      <c r="D18" s="24">
        <f t="shared" si="1"/>
        <v>56.624000000000009</v>
      </c>
      <c r="E18" s="24">
        <f t="shared" si="1"/>
        <v>60.041680000000014</v>
      </c>
      <c r="F18" s="24">
        <f t="shared" si="1"/>
        <v>63.698597599999999</v>
      </c>
      <c r="G18" s="24">
        <f t="shared" si="1"/>
        <v>66.758869504000032</v>
      </c>
      <c r="H18" s="24">
        <f t="shared" si="1"/>
        <v>69.117224284160031</v>
      </c>
      <c r="I18" s="24">
        <f t="shared" si="1"/>
        <v>70.955110235443229</v>
      </c>
      <c r="J18" s="24">
        <f t="shared" si="1"/>
        <v>1808.672733423695</v>
      </c>
    </row>
    <row r="19" spans="1:10" x14ac:dyDescent="0.3">
      <c r="A19" s="11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3">
      <c r="A20" s="11"/>
      <c r="B20" s="4"/>
      <c r="C20" s="4"/>
      <c r="D20" s="4"/>
      <c r="E20" s="4"/>
      <c r="F20" s="4"/>
      <c r="G20" s="4"/>
      <c r="H20" s="4"/>
      <c r="I20" s="4"/>
      <c r="J20" s="4"/>
    </row>
    <row r="21" spans="1:10" ht="15" customHeight="1" x14ac:dyDescent="0.3">
      <c r="A21" s="7" t="s">
        <v>228</v>
      </c>
      <c r="B21" s="4"/>
      <c r="C21" s="4"/>
      <c r="D21" s="4"/>
      <c r="E21" s="4"/>
      <c r="F21" s="4"/>
      <c r="G21" s="4"/>
      <c r="H21" s="4"/>
      <c r="I21" s="4"/>
      <c r="J21" s="4"/>
    </row>
    <row r="22" spans="1:10" ht="15" customHeight="1" x14ac:dyDescent="0.3">
      <c r="A22" s="9" t="s">
        <v>229</v>
      </c>
      <c r="B22" s="22">
        <f>1</f>
        <v>1</v>
      </c>
      <c r="C22" s="22">
        <f>1/(1+Inputs!$B$8)^1</f>
        <v>0.90826521344232514</v>
      </c>
      <c r="D22" s="22">
        <f>1/(1+Inputs!$B$8)^2</f>
        <v>0.82494569794943262</v>
      </c>
      <c r="E22" s="22">
        <f>1/(1+Inputs!$B$8)^3</f>
        <v>0.74926948042636932</v>
      </c>
      <c r="F22" s="22">
        <f>1/(1+Inputs!$B$8)^4</f>
        <v>0.68053540456527639</v>
      </c>
      <c r="G22" s="22">
        <f>1/(1+Inputs!$B$8)^5</f>
        <v>0.61810663448253989</v>
      </c>
      <c r="H22" s="22">
        <f>1/(1+Inputs!$B$8)^6</f>
        <v>0.56140475429840142</v>
      </c>
      <c r="I22" s="22">
        <f>1/(1+Inputs!$B$8)^7</f>
        <v>0.5099044089903737</v>
      </c>
      <c r="J22" s="22">
        <f>1/(1+Inputs!$B$8)^8</f>
        <v>0.46312843686682442</v>
      </c>
    </row>
    <row r="23" spans="1:10" ht="15" customHeight="1" x14ac:dyDescent="0.3">
      <c r="A23" s="9" t="s">
        <v>230</v>
      </c>
      <c r="B23" s="12">
        <f>B18*B22</f>
        <v>-297.5</v>
      </c>
      <c r="C23" s="12">
        <f t="shared" ref="C23:J23" si="2">C18*C22</f>
        <v>28.156221616712081</v>
      </c>
      <c r="D23" s="12">
        <f t="shared" si="2"/>
        <v>46.711725200688683</v>
      </c>
      <c r="E23" s="12">
        <f t="shared" si="2"/>
        <v>44.98739837752634</v>
      </c>
      <c r="F23" s="12">
        <f t="shared" si="2"/>
        <v>43.349150887956746</v>
      </c>
      <c r="G23" s="12">
        <f t="shared" si="2"/>
        <v>41.264100150976525</v>
      </c>
      <c r="H23" s="12">
        <f t="shared" si="2"/>
        <v>38.802738317036365</v>
      </c>
      <c r="I23" s="12">
        <f t="shared" si="2"/>
        <v>36.180323549450499</v>
      </c>
      <c r="J23" s="12">
        <f t="shared" si="2"/>
        <v>837.64777583416253</v>
      </c>
    </row>
    <row r="24" spans="1:10" x14ac:dyDescent="0.3">
      <c r="A24" s="11"/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3">
      <c r="A25" s="11"/>
      <c r="B25" s="4"/>
      <c r="C25" s="4"/>
      <c r="D25" s="4"/>
      <c r="E25" s="4"/>
      <c r="F25" s="4"/>
      <c r="G25" s="4"/>
      <c r="H25" s="4"/>
      <c r="I25" s="4"/>
      <c r="J25" s="4"/>
    </row>
    <row r="26" spans="1:10" ht="15" customHeight="1" x14ac:dyDescent="0.3">
      <c r="A26" s="7" t="s">
        <v>231</v>
      </c>
      <c r="B26" s="4"/>
      <c r="C26" s="4"/>
      <c r="D26" s="4"/>
      <c r="E26" s="4"/>
      <c r="F26" s="4"/>
      <c r="G26" s="4"/>
      <c r="H26" s="4"/>
      <c r="I26" s="4"/>
      <c r="J26" s="4"/>
    </row>
    <row r="27" spans="1:10" x14ac:dyDescent="0.3">
      <c r="A27" s="11"/>
      <c r="B27" s="4"/>
      <c r="C27" s="4"/>
      <c r="D27" s="4"/>
      <c r="E27" s="4"/>
      <c r="F27" s="4"/>
      <c r="G27" s="4"/>
      <c r="H27" s="4"/>
      <c r="I27" s="4"/>
      <c r="J27" s="4"/>
    </row>
    <row r="28" spans="1:10" ht="15" customHeight="1" x14ac:dyDescent="0.3">
      <c r="A28" s="9" t="s">
        <v>232</v>
      </c>
      <c r="B28" s="38">
        <f>SUM(B23:J23)</f>
        <v>819.59943393450976</v>
      </c>
      <c r="C28" s="4"/>
      <c r="D28" s="4"/>
      <c r="E28" s="4"/>
      <c r="F28" s="4"/>
      <c r="G28" s="4"/>
      <c r="H28" s="4"/>
      <c r="I28" s="4"/>
      <c r="J28" s="4"/>
    </row>
    <row r="29" spans="1:10" x14ac:dyDescent="0.3">
      <c r="A29" s="11"/>
      <c r="B29" s="4"/>
      <c r="C29" s="4"/>
      <c r="D29" s="4"/>
      <c r="E29" s="4"/>
      <c r="F29" s="4"/>
      <c r="G29" s="4"/>
      <c r="H29" s="4"/>
      <c r="I29" s="4"/>
      <c r="J29" s="4"/>
    </row>
    <row r="30" spans="1:10" x14ac:dyDescent="0.3">
      <c r="A30" s="11"/>
      <c r="B30" s="4"/>
      <c r="C30" s="4"/>
      <c r="D30" s="4"/>
      <c r="E30" s="4"/>
      <c r="F30" s="4"/>
      <c r="G30" s="4"/>
      <c r="H30" s="4"/>
      <c r="I30" s="4"/>
      <c r="J30" s="4"/>
    </row>
    <row r="31" spans="1:10" ht="15" customHeight="1" x14ac:dyDescent="0.3">
      <c r="A31" s="7" t="s">
        <v>233</v>
      </c>
      <c r="B31" s="4"/>
      <c r="C31" s="4"/>
      <c r="D31" s="4"/>
      <c r="E31" s="4"/>
      <c r="F31" s="4"/>
      <c r="G31" s="4"/>
      <c r="H31" s="4"/>
      <c r="I31" s="4"/>
      <c r="J31" s="4"/>
    </row>
    <row r="32" spans="1:10" ht="15" customHeight="1" x14ac:dyDescent="0.3">
      <c r="A32" s="9" t="s">
        <v>234</v>
      </c>
      <c r="B32" s="13">
        <f>Inputs!B8</f>
        <v>0.10100000000000001</v>
      </c>
      <c r="C32" s="4"/>
      <c r="D32" s="4"/>
      <c r="E32" s="4"/>
      <c r="F32" s="4"/>
      <c r="G32" s="4"/>
      <c r="H32" s="4"/>
      <c r="I32" s="4"/>
      <c r="J32" s="4"/>
    </row>
    <row r="33" spans="1:10" ht="15" customHeight="1" x14ac:dyDescent="0.3">
      <c r="A33" s="9" t="s">
        <v>199</v>
      </c>
      <c r="B33" s="13">
        <f>Inputs!B12</f>
        <v>0.25</v>
      </c>
      <c r="C33" s="4"/>
      <c r="D33" s="4"/>
      <c r="E33" s="4"/>
      <c r="F33" s="4"/>
      <c r="G33" s="4"/>
      <c r="H33" s="4"/>
      <c r="I33" s="4"/>
      <c r="J33" s="4"/>
    </row>
    <row r="34" spans="1:10" ht="15" customHeight="1" x14ac:dyDescent="0.3">
      <c r="A34" s="9" t="s">
        <v>206</v>
      </c>
      <c r="B34" s="12">
        <f>Project_Assumptions!$B$50*Project_Assumptions!$B$17</f>
        <v>52.5</v>
      </c>
      <c r="C34" s="4"/>
      <c r="D34" s="4"/>
      <c r="E34" s="4"/>
      <c r="F34" s="4"/>
      <c r="G34" s="4"/>
      <c r="H34" s="4"/>
      <c r="I34" s="4"/>
      <c r="J34" s="4"/>
    </row>
    <row r="35" spans="1:10" ht="15" customHeight="1" x14ac:dyDescent="0.3">
      <c r="A35" s="9" t="s">
        <v>165</v>
      </c>
      <c r="B35" s="13">
        <f>Project_Assumptions!B51</f>
        <v>0.04</v>
      </c>
      <c r="C35" s="4"/>
      <c r="D35" s="4"/>
      <c r="E35" s="4"/>
      <c r="F35" s="4"/>
      <c r="G35" s="4"/>
      <c r="H35" s="4"/>
      <c r="I35" s="4"/>
      <c r="J35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2"/>
  <sheetViews>
    <sheetView workbookViewId="0">
      <selection activeCell="G19" sqref="G19"/>
    </sheetView>
  </sheetViews>
  <sheetFormatPr defaultRowHeight="14.4" x14ac:dyDescent="0.3"/>
  <cols>
    <col min="1" max="1" width="16.21875" customWidth="1"/>
    <col min="2" max="2" width="6.109375" bestFit="1" customWidth="1"/>
  </cols>
  <sheetData>
    <row r="1" spans="1:6" ht="15.6" customHeight="1" x14ac:dyDescent="0.3">
      <c r="A1" s="1" t="s">
        <v>235</v>
      </c>
      <c r="B1" s="2"/>
      <c r="C1" s="2"/>
      <c r="D1" s="2"/>
      <c r="E1" s="2"/>
      <c r="F1" s="2"/>
    </row>
    <row r="2" spans="1:6" x14ac:dyDescent="0.3">
      <c r="A2" s="11"/>
      <c r="B2" s="4"/>
      <c r="C2" s="4"/>
      <c r="D2" s="4"/>
      <c r="E2" s="4"/>
      <c r="F2" s="4"/>
    </row>
    <row r="3" spans="1:6" x14ac:dyDescent="0.3">
      <c r="A3" s="9" t="s">
        <v>236</v>
      </c>
      <c r="B3" s="4"/>
      <c r="C3" s="4"/>
      <c r="D3" s="4"/>
      <c r="E3" s="4"/>
      <c r="F3" s="4"/>
    </row>
    <row r="4" spans="1:6" x14ac:dyDescent="0.3">
      <c r="A4" s="11"/>
      <c r="B4" s="4"/>
      <c r="C4" s="4"/>
      <c r="D4" s="4"/>
      <c r="E4" s="4"/>
      <c r="F4" s="4"/>
    </row>
    <row r="5" spans="1:6" x14ac:dyDescent="0.3">
      <c r="A5" s="11"/>
      <c r="B5" s="10" t="s">
        <v>198</v>
      </c>
      <c r="C5" s="10" t="s">
        <v>237</v>
      </c>
      <c r="D5" s="4"/>
      <c r="E5" s="4"/>
      <c r="F5" s="4"/>
    </row>
    <row r="6" spans="1:6" x14ac:dyDescent="0.3">
      <c r="A6" s="11"/>
      <c r="B6" s="10">
        <v>0.06</v>
      </c>
      <c r="C6" s="10">
        <f>NPV(B6,Project_FCF!C18:J18)+Project_FCF!B18</f>
        <v>1120.8721506220913</v>
      </c>
      <c r="D6" s="4"/>
      <c r="E6" s="4"/>
      <c r="F6" s="4"/>
    </row>
    <row r="7" spans="1:6" x14ac:dyDescent="0.3">
      <c r="A7" s="11"/>
      <c r="B7" s="10">
        <v>7.0000000000000007E-2</v>
      </c>
      <c r="C7" s="10">
        <f>NPV(B7,Project_FCF!C18:J18)+Project_FCF!B18</f>
        <v>1025.9467542094708</v>
      </c>
      <c r="D7" s="4"/>
      <c r="E7" s="4"/>
      <c r="F7" s="4"/>
    </row>
    <row r="8" spans="1:6" x14ac:dyDescent="0.3">
      <c r="A8" s="11"/>
      <c r="B8" s="10">
        <v>0.08</v>
      </c>
      <c r="C8" s="10">
        <f>NPV(B8,Project_FCF!C18:J18)+Project_FCF!B18</f>
        <v>938.3457713159662</v>
      </c>
      <c r="D8" s="4"/>
      <c r="E8" s="4"/>
      <c r="F8" s="4"/>
    </row>
    <row r="9" spans="1:6" x14ac:dyDescent="0.3">
      <c r="A9" s="11"/>
      <c r="B9" s="10">
        <v>8.4000000000000005E-2</v>
      </c>
      <c r="C9" s="10">
        <f>NPV(B9,Project_FCF!C18:J18)+Project_FCF!B18</f>
        <v>905.2117380280788</v>
      </c>
      <c r="D9" s="4"/>
      <c r="E9" s="4"/>
      <c r="F9" s="4"/>
    </row>
    <row r="10" spans="1:6" x14ac:dyDescent="0.3">
      <c r="A10" s="11"/>
      <c r="B10" s="10">
        <v>0.09</v>
      </c>
      <c r="C10" s="10">
        <f>NPV(B10,Project_FCF!C18:J18)+Project_FCF!B18</f>
        <v>857.43363906139757</v>
      </c>
      <c r="D10" s="4"/>
      <c r="E10" s="4"/>
      <c r="F10" s="4"/>
    </row>
    <row r="11" spans="1:6" x14ac:dyDescent="0.3">
      <c r="A11" s="11"/>
      <c r="B11" s="10">
        <v>0.1</v>
      </c>
      <c r="C11" s="10">
        <f>NPV(B11,Project_FCF!C18:J18)+Project_FCF!B18</f>
        <v>782.63546944005475</v>
      </c>
      <c r="D11" s="4"/>
      <c r="E11" s="4"/>
      <c r="F11" s="4"/>
    </row>
    <row r="12" spans="1:6" x14ac:dyDescent="0.3">
      <c r="A12" s="11"/>
      <c r="B12" s="10">
        <v>0.11</v>
      </c>
      <c r="C12" s="10">
        <f>NPV(B12,Project_FCF!C18:J18)+Project_FCF!B18</f>
        <v>713.43075627109783</v>
      </c>
      <c r="D12" s="4"/>
      <c r="E12" s="4"/>
      <c r="F12" s="4"/>
    </row>
    <row r="13" spans="1:6" x14ac:dyDescent="0.3">
      <c r="A13" s="11"/>
      <c r="B13" s="10">
        <v>0.12</v>
      </c>
      <c r="C13" s="10">
        <f>NPV(B13,Project_FCF!C18:J18)+Project_FCF!B18</f>
        <v>649.34778501546714</v>
      </c>
      <c r="D13" s="4"/>
      <c r="E13" s="4"/>
      <c r="F13" s="4"/>
    </row>
    <row r="14" spans="1:6" x14ac:dyDescent="0.3">
      <c r="A14" s="11"/>
      <c r="B14" s="4"/>
      <c r="C14" s="4"/>
      <c r="D14" s="4"/>
      <c r="E14" s="4"/>
      <c r="F14" s="4"/>
    </row>
    <row r="15" spans="1:6" x14ac:dyDescent="0.3">
      <c r="A15" s="9" t="s">
        <v>238</v>
      </c>
      <c r="B15" s="4"/>
      <c r="C15" s="4"/>
      <c r="D15" s="4"/>
      <c r="E15" s="4"/>
      <c r="F15" s="4"/>
    </row>
    <row r="16" spans="1:6" x14ac:dyDescent="0.3">
      <c r="A16" s="11"/>
      <c r="B16" s="4"/>
      <c r="C16" s="4"/>
      <c r="D16" s="4"/>
      <c r="E16" s="4"/>
      <c r="F16" s="4"/>
    </row>
    <row r="17" spans="1:4" x14ac:dyDescent="0.3">
      <c r="A17" s="11"/>
      <c r="B17" s="10" t="s">
        <v>239</v>
      </c>
      <c r="C17" s="10" t="s">
        <v>237</v>
      </c>
      <c r="D17" s="4"/>
    </row>
    <row r="18" spans="1:4" x14ac:dyDescent="0.3">
      <c r="A18" s="11"/>
      <c r="B18" s="10">
        <v>0</v>
      </c>
      <c r="C18" s="10">
        <f>NPV(Inputs!$B$7,Project_FCF!C18:I18,(Project_FCF!J18-Project_FCF!J17)+(Project_FCF!J18-Project_FCF!J17)*(1+B18)/(Inputs!$B$7-B18))+Project_FCF!B18</f>
        <v>679.13573603128225</v>
      </c>
      <c r="D18" s="4"/>
    </row>
    <row r="19" spans="1:4" x14ac:dyDescent="0.3">
      <c r="A19" s="11"/>
      <c r="B19" s="10">
        <v>0.01</v>
      </c>
      <c r="C19" s="10">
        <f>NPV(Inputs!$B$7,Project_FCF!C18:I18,(Project_FCF!J18-Project_FCF!J17)+(Project_FCF!J18-Project_FCF!J17)*(1+B19)/(Inputs!$B$7-B19))+Project_FCF!B18</f>
        <v>776.89833148935668</v>
      </c>
      <c r="D19" s="4"/>
    </row>
    <row r="20" spans="1:4" x14ac:dyDescent="0.3">
      <c r="A20" s="11"/>
      <c r="B20" s="10">
        <v>0.02</v>
      </c>
      <c r="C20" s="10">
        <f>NPV(Inputs!$B$7,Project_FCF!C18:I18,(Project_FCF!J18-Project_FCF!J17)+(Project_FCF!J18-Project_FCF!J17)*(1+B20)/(Inputs!$B$7-B20))+Project_FCF!B18</f>
        <v>905.21173802807948</v>
      </c>
      <c r="D20" s="4"/>
    </row>
    <row r="21" spans="1:4" x14ac:dyDescent="0.3">
      <c r="A21" s="11"/>
      <c r="B21" s="10">
        <v>0.03</v>
      </c>
      <c r="C21" s="10">
        <f>NPV(Inputs!$B$7,Project_FCF!C18:I18,(Project_FCF!J18-Project_FCF!J17)+(Project_FCF!J18-Project_FCF!J17)*(1+B21)/(Inputs!$B$7-B21))+Project_FCF!B18</f>
        <v>1081.0486284700328</v>
      </c>
      <c r="D21" s="4"/>
    </row>
    <row r="22" spans="1:4" x14ac:dyDescent="0.3">
      <c r="A22" s="11"/>
      <c r="B22" s="10">
        <v>0.04</v>
      </c>
      <c r="C22" s="10">
        <f>NPV(Inputs!$B$7,Project_FCF!C18:I18,(Project_FCF!J18-Project_FCF!J17)+(Project_FCF!J18-Project_FCF!J17)*(1+B22)/(Inputs!$B$7-B22))+Project_FCF!B18</f>
        <v>1336.8113782037831</v>
      </c>
      <c r="D22" s="4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6"/>
  <sheetViews>
    <sheetView workbookViewId="0">
      <selection activeCell="H14" sqref="H14"/>
    </sheetView>
  </sheetViews>
  <sheetFormatPr defaultRowHeight="14.4" x14ac:dyDescent="0.3"/>
  <cols>
    <col min="2" max="2" width="9.77734375" bestFit="1" customWidth="1"/>
    <col min="3" max="3" width="14" bestFit="1" customWidth="1"/>
    <col min="4" max="4" width="11.6640625" bestFit="1" customWidth="1"/>
    <col min="5" max="5" width="12" bestFit="1" customWidth="1"/>
  </cols>
  <sheetData>
    <row r="1" spans="1:14" ht="15.6" customHeight="1" x14ac:dyDescent="0.3">
      <c r="A1" s="1" t="s">
        <v>240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11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3">
      <c r="A3" s="25"/>
      <c r="B3" s="8" t="s">
        <v>241</v>
      </c>
      <c r="C3" s="8" t="s">
        <v>242</v>
      </c>
      <c r="D3" s="8" t="s">
        <v>243</v>
      </c>
      <c r="E3" s="8" t="s">
        <v>237</v>
      </c>
      <c r="F3" s="3"/>
      <c r="G3" s="8" t="s">
        <v>244</v>
      </c>
      <c r="H3" s="8" t="s">
        <v>245</v>
      </c>
      <c r="I3" s="8" t="s">
        <v>246</v>
      </c>
      <c r="J3" s="8" t="s">
        <v>247</v>
      </c>
      <c r="K3" s="8" t="s">
        <v>248</v>
      </c>
      <c r="L3" s="8" t="s">
        <v>249</v>
      </c>
      <c r="M3" s="8" t="s">
        <v>250</v>
      </c>
      <c r="N3" s="8" t="s">
        <v>251</v>
      </c>
    </row>
    <row r="4" spans="1:14" x14ac:dyDescent="0.3">
      <c r="A4" s="25"/>
      <c r="B4" s="33" t="s">
        <v>252</v>
      </c>
      <c r="C4" s="33">
        <v>140</v>
      </c>
      <c r="D4" s="33">
        <f>C4/Project_Assumptions!$B$20</f>
        <v>0.875</v>
      </c>
      <c r="E4" s="23">
        <f>NPV(Inputs!$B$7,G4:N4)+Project_FCF!B18</f>
        <v>748.31027077456883</v>
      </c>
      <c r="F4" s="3"/>
      <c r="G4" s="33">
        <f>Project_FCF!C18*$D4</f>
        <v>28.503125000000004</v>
      </c>
      <c r="H4" s="33">
        <f>Project_FCF!D18*$D4</f>
        <v>50.924125000000011</v>
      </c>
      <c r="I4" s="33">
        <f>Project_FCF!E18*$D4</f>
        <v>53.914595000000013</v>
      </c>
      <c r="J4" s="33">
        <f>Project_FCF!F18*$D4</f>
        <v>57.1143979</v>
      </c>
      <c r="K4" s="33">
        <f>Project_FCF!G18*$D4</f>
        <v>59.792135816000027</v>
      </c>
      <c r="L4" s="33">
        <f>Project_FCF!H18*$D4</f>
        <v>61.855696248640029</v>
      </c>
      <c r="M4" s="33">
        <f>Project_FCF!I18*$D4</f>
        <v>63.463846456012831</v>
      </c>
      <c r="N4" s="33">
        <f>Project_FCF!J18*$D4</f>
        <v>1583.9667667457331</v>
      </c>
    </row>
    <row r="5" spans="1:14" x14ac:dyDescent="0.3">
      <c r="A5" s="25"/>
      <c r="B5" s="33" t="s">
        <v>253</v>
      </c>
      <c r="C5" s="33">
        <v>160</v>
      </c>
      <c r="D5" s="33">
        <f>C5/Project_Assumptions!$B$20</f>
        <v>1</v>
      </c>
      <c r="E5" s="23">
        <f>NPV(Inputs!$B$7,G5:N5)+Project_FCF!B18</f>
        <v>905.2117380280788</v>
      </c>
      <c r="F5" s="3"/>
      <c r="G5" s="33">
        <f>Project_FCF!C18*$D5</f>
        <v>32.575000000000003</v>
      </c>
      <c r="H5" s="33">
        <f>Project_FCF!D18*$D5</f>
        <v>58.199000000000012</v>
      </c>
      <c r="I5" s="33">
        <f>Project_FCF!E18*$D5</f>
        <v>61.616680000000017</v>
      </c>
      <c r="J5" s="33">
        <f>Project_FCF!F18*$D5</f>
        <v>65.273597600000002</v>
      </c>
      <c r="K5" s="33">
        <f>Project_FCF!G18*$D5</f>
        <v>68.333869504000035</v>
      </c>
      <c r="L5" s="33">
        <f>Project_FCF!H18*$D5</f>
        <v>70.692224284160034</v>
      </c>
      <c r="M5" s="33">
        <f>Project_FCF!I18*$D5</f>
        <v>72.530110235443232</v>
      </c>
      <c r="N5" s="33">
        <f>Project_FCF!J18*$D5</f>
        <v>1810.2477334236951</v>
      </c>
    </row>
    <row r="6" spans="1:14" x14ac:dyDescent="0.3">
      <c r="A6" s="11"/>
      <c r="B6" s="10" t="s">
        <v>254</v>
      </c>
      <c r="C6" s="10">
        <v>190</v>
      </c>
      <c r="D6" s="10">
        <f>C6/Project_Assumptions!$B$20</f>
        <v>1.1875</v>
      </c>
      <c r="E6" s="23">
        <f>NPV(Inputs!$B$7,G6:N6)+Project_FCF!B18</f>
        <v>1140.5639389083435</v>
      </c>
      <c r="F6" s="4"/>
      <c r="G6" s="10">
        <f>Project_FCF!C18*$D6</f>
        <v>38.682812500000004</v>
      </c>
      <c r="H6" s="10">
        <f>Project_FCF!D18*$D6</f>
        <v>69.111312500000011</v>
      </c>
      <c r="I6" s="10">
        <f>Project_FCF!E18*$D6</f>
        <v>73.169807500000019</v>
      </c>
      <c r="J6" s="10">
        <f>Project_FCF!F18*$D6</f>
        <v>77.512397149999998</v>
      </c>
      <c r="K6" s="10">
        <f>Project_FCF!G18*$D6</f>
        <v>81.146470036000039</v>
      </c>
      <c r="L6" s="10">
        <f>Project_FCF!H18*$D6</f>
        <v>83.947016337440033</v>
      </c>
      <c r="M6" s="10">
        <f>Project_FCF!I18*$D6</f>
        <v>86.129505904588839</v>
      </c>
      <c r="N6" s="10">
        <f>Project_FCF!J18*$D6</f>
        <v>2149.6691834406379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5"/>
  <sheetViews>
    <sheetView workbookViewId="0">
      <selection activeCell="E20" sqref="E20"/>
    </sheetView>
  </sheetViews>
  <sheetFormatPr defaultRowHeight="14.4" x14ac:dyDescent="0.3"/>
  <cols>
    <col min="1" max="1" width="36.6640625" customWidth="1"/>
    <col min="2" max="2" width="12.5546875" customWidth="1"/>
  </cols>
  <sheetData>
    <row r="1" spans="1:9" ht="15.6" customHeight="1" x14ac:dyDescent="0.3">
      <c r="A1" s="1" t="s">
        <v>255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11"/>
      <c r="B2" s="4"/>
      <c r="C2" s="4"/>
      <c r="D2" s="4"/>
      <c r="E2" s="4"/>
      <c r="F2" s="4"/>
      <c r="G2" s="4"/>
      <c r="H2" s="4"/>
      <c r="I2" s="4"/>
    </row>
    <row r="3" spans="1:9" x14ac:dyDescent="0.3">
      <c r="A3" s="9" t="s">
        <v>256</v>
      </c>
      <c r="B3" s="10">
        <f>Project_Assumptions!$B$20</f>
        <v>160</v>
      </c>
      <c r="C3" s="4"/>
      <c r="D3" s="4"/>
      <c r="E3" s="4"/>
      <c r="F3" s="4"/>
      <c r="G3" s="4"/>
      <c r="H3" s="4"/>
      <c r="I3" s="4"/>
    </row>
    <row r="4" spans="1:9" x14ac:dyDescent="0.3">
      <c r="A4" s="9" t="s">
        <v>257</v>
      </c>
      <c r="B4" s="36">
        <v>44.613986870434516</v>
      </c>
      <c r="C4" s="4"/>
      <c r="D4" s="4"/>
      <c r="E4" s="4"/>
      <c r="F4" s="4"/>
      <c r="G4" s="4"/>
      <c r="H4" s="4"/>
      <c r="I4" s="4"/>
    </row>
    <row r="5" spans="1:9" x14ac:dyDescent="0.3">
      <c r="A5" s="9" t="s">
        <v>243</v>
      </c>
      <c r="B5" s="10">
        <f>B4/B3</f>
        <v>0.27883741794021571</v>
      </c>
      <c r="C5" s="4"/>
      <c r="D5" s="4"/>
      <c r="E5" s="4"/>
      <c r="F5" s="4"/>
      <c r="G5" s="4"/>
      <c r="H5" s="4"/>
      <c r="I5" s="4"/>
    </row>
    <row r="6" spans="1:9" x14ac:dyDescent="0.3">
      <c r="A6" s="11"/>
      <c r="B6" s="4"/>
      <c r="C6" s="4"/>
      <c r="D6" s="4"/>
      <c r="E6" s="4"/>
      <c r="F6" s="4"/>
      <c r="G6" s="4"/>
      <c r="H6" s="4"/>
      <c r="I6" s="4"/>
    </row>
    <row r="7" spans="1:9" x14ac:dyDescent="0.3">
      <c r="A7" s="9" t="s">
        <v>258</v>
      </c>
      <c r="B7" s="4"/>
      <c r="C7" s="4"/>
      <c r="D7" s="4"/>
      <c r="E7" s="4"/>
      <c r="F7" s="4"/>
      <c r="G7" s="4"/>
      <c r="H7" s="4"/>
      <c r="I7" s="4"/>
    </row>
    <row r="8" spans="1:9" x14ac:dyDescent="0.3">
      <c r="A8" s="11"/>
      <c r="B8" s="10" t="s">
        <v>259</v>
      </c>
      <c r="C8" s="10" t="s">
        <v>245</v>
      </c>
      <c r="D8" s="10" t="s">
        <v>246</v>
      </c>
      <c r="E8" s="10" t="s">
        <v>247</v>
      </c>
      <c r="F8" s="10" t="s">
        <v>248</v>
      </c>
      <c r="G8" s="10" t="s">
        <v>249</v>
      </c>
      <c r="H8" s="10" t="s">
        <v>250</v>
      </c>
      <c r="I8" s="10" t="s">
        <v>251</v>
      </c>
    </row>
    <row r="9" spans="1:9" x14ac:dyDescent="0.3">
      <c r="A9" s="11"/>
      <c r="B9" s="10">
        <f>Project_FCF!C18*$B$5</f>
        <v>9.0831288894025271</v>
      </c>
      <c r="C9" s="10">
        <f>Project_FCF!D18*$B$5</f>
        <v>16.228058886702616</v>
      </c>
      <c r="D9" s="10">
        <f>Project_FCF!E18*$B$5</f>
        <v>17.181035953248536</v>
      </c>
      <c r="E9" s="10">
        <f>Project_FCF!F18*$B$5</f>
        <v>18.200721414452662</v>
      </c>
      <c r="F9" s="10">
        <f>Project_FCF!G18*$B$5</f>
        <v>19.054039730359019</v>
      </c>
      <c r="G9" s="10">
        <f>Project_FCF!H18*$B$5</f>
        <v>19.711637287845797</v>
      </c>
      <c r="H9" s="10">
        <f>Project_FCF!I18*$B$5</f>
        <v>20.224108660970202</v>
      </c>
      <c r="I9" s="10">
        <f>Project_FCF!J18*$B$5</f>
        <v>504.76480381999107</v>
      </c>
    </row>
    <row r="10" spans="1:9" x14ac:dyDescent="0.3">
      <c r="A10" s="11"/>
      <c r="B10" s="4"/>
      <c r="C10" s="4"/>
      <c r="D10" s="4"/>
      <c r="E10" s="4"/>
      <c r="F10" s="4"/>
      <c r="G10" s="4"/>
      <c r="H10" s="4"/>
      <c r="I10" s="4"/>
    </row>
    <row r="11" spans="1:9" x14ac:dyDescent="0.3">
      <c r="A11" s="9" t="s">
        <v>260</v>
      </c>
      <c r="B11" s="39">
        <f>NPV(Inputs!$B$7,B9:I9)+Project_FCF!B18</f>
        <v>0</v>
      </c>
      <c r="C11" s="4"/>
      <c r="D11" s="4"/>
      <c r="E11" s="4"/>
      <c r="F11" s="4"/>
      <c r="G11" s="4"/>
      <c r="H11" s="4"/>
      <c r="I11" s="4"/>
    </row>
    <row r="12" spans="1:9" x14ac:dyDescent="0.3">
      <c r="A12" s="11"/>
      <c r="B12" s="4"/>
      <c r="C12" s="4"/>
      <c r="D12" s="4"/>
      <c r="E12" s="4"/>
      <c r="F12" s="4"/>
      <c r="G12" s="4"/>
      <c r="H12" s="4"/>
      <c r="I12" s="4"/>
    </row>
    <row r="13" spans="1:9" x14ac:dyDescent="0.3">
      <c r="A13" s="9" t="s">
        <v>261</v>
      </c>
      <c r="B13" s="4"/>
      <c r="C13" s="4"/>
      <c r="D13" s="4"/>
      <c r="E13" s="4"/>
      <c r="F13" s="4"/>
      <c r="G13" s="4"/>
      <c r="H13" s="4"/>
      <c r="I13" s="4"/>
    </row>
    <row r="14" spans="1:9" x14ac:dyDescent="0.3">
      <c r="A14" s="9" t="s">
        <v>262</v>
      </c>
      <c r="B14" s="4"/>
      <c r="C14" s="4"/>
      <c r="D14" s="4"/>
      <c r="E14" s="4"/>
      <c r="F14" s="4"/>
      <c r="G14" s="4"/>
      <c r="H14" s="4"/>
      <c r="I14" s="4"/>
    </row>
    <row r="15" spans="1:9" x14ac:dyDescent="0.3">
      <c r="A15" s="9" t="s">
        <v>263</v>
      </c>
      <c r="B15" s="4"/>
      <c r="C15" s="4"/>
      <c r="D15" s="4"/>
      <c r="E15" s="4"/>
      <c r="F15" s="4"/>
      <c r="G15" s="4"/>
      <c r="H15" s="4"/>
      <c r="I15" s="4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008"/>
  <sheetViews>
    <sheetView workbookViewId="0">
      <selection activeCell="E4" sqref="E4:E6"/>
    </sheetView>
  </sheetViews>
  <sheetFormatPr defaultRowHeight="14.4" x14ac:dyDescent="0.3"/>
  <cols>
    <col min="1" max="1" width="22.109375" customWidth="1"/>
    <col min="2" max="2" width="13.44140625" bestFit="1" customWidth="1"/>
    <col min="3" max="3" width="8" bestFit="1" customWidth="1"/>
    <col min="4" max="4" width="11.33203125" bestFit="1" customWidth="1"/>
  </cols>
  <sheetData>
    <row r="1" spans="1:5" ht="15.6" customHeight="1" x14ac:dyDescent="0.3">
      <c r="A1" s="1" t="s">
        <v>264</v>
      </c>
      <c r="B1" s="2"/>
      <c r="C1" s="2"/>
      <c r="D1" s="2"/>
      <c r="E1" s="2"/>
    </row>
    <row r="2" spans="1:5" x14ac:dyDescent="0.3">
      <c r="A2" s="11"/>
      <c r="B2" s="4"/>
      <c r="C2" s="4"/>
      <c r="D2" s="4"/>
      <c r="E2" s="4"/>
    </row>
    <row r="3" spans="1:5" x14ac:dyDescent="0.3">
      <c r="A3" s="7" t="s">
        <v>265</v>
      </c>
      <c r="B3" s="8">
        <f>Inputs!$B$7</f>
        <v>8.4000000000000005E-2</v>
      </c>
      <c r="C3" s="3"/>
      <c r="D3" s="8" t="s">
        <v>266</v>
      </c>
      <c r="E3" s="3"/>
    </row>
    <row r="4" spans="1:5" x14ac:dyDescent="0.3">
      <c r="A4" s="7" t="s">
        <v>267</v>
      </c>
      <c r="B4" s="8">
        <f>B3-0.02</f>
        <v>6.4000000000000001E-2</v>
      </c>
      <c r="C4" s="3"/>
      <c r="D4" s="8" t="s">
        <v>268</v>
      </c>
      <c r="E4" s="36">
        <f ca="1">AVERAGE(C9:C10008)</f>
        <v>909.22157808381655</v>
      </c>
    </row>
    <row r="5" spans="1:5" x14ac:dyDescent="0.3">
      <c r="A5" s="7" t="s">
        <v>269</v>
      </c>
      <c r="B5" s="8">
        <f>B3+0.02</f>
        <v>0.10400000000000001</v>
      </c>
      <c r="C5" s="3"/>
      <c r="D5" s="8" t="s">
        <v>270</v>
      </c>
      <c r="E5" s="36">
        <f ca="1">_xlfn.STDEV.S(C9:C10008)</f>
        <v>95.338054432637577</v>
      </c>
    </row>
    <row r="6" spans="1:5" x14ac:dyDescent="0.3">
      <c r="A6" s="9" t="s">
        <v>271</v>
      </c>
      <c r="B6" s="10">
        <v>10000</v>
      </c>
      <c r="C6" s="4"/>
      <c r="D6" s="10" t="s">
        <v>272</v>
      </c>
      <c r="E6" s="36">
        <f ca="1">COUNTIF(C9:C10008,"&lt;0")/ROWS(C9:C10008)</f>
        <v>0</v>
      </c>
    </row>
    <row r="7" spans="1:5" x14ac:dyDescent="0.3">
      <c r="A7" s="11"/>
      <c r="B7" s="4"/>
      <c r="C7" s="4"/>
      <c r="D7" s="4"/>
      <c r="E7" s="4"/>
    </row>
    <row r="8" spans="1:5" x14ac:dyDescent="0.3">
      <c r="A8" s="9" t="s">
        <v>273</v>
      </c>
      <c r="B8" s="10" t="s">
        <v>274</v>
      </c>
      <c r="C8" s="10" t="s">
        <v>237</v>
      </c>
      <c r="D8" s="4"/>
      <c r="E8" s="4"/>
    </row>
    <row r="9" spans="1:5" x14ac:dyDescent="0.3">
      <c r="A9" s="9">
        <v>1</v>
      </c>
      <c r="B9" s="10">
        <f t="shared" ref="B9:B72" ca="1" si="0">$B$4+RAND()*($B$5-$B$4)</f>
        <v>0.10370193421709137</v>
      </c>
      <c r="C9" s="10">
        <f ca="1">NPV(B9,Project_FCF!C18:J18)+Project_FCF!B18</f>
        <v>756.39040245906835</v>
      </c>
      <c r="D9" s="4"/>
      <c r="E9" s="4"/>
    </row>
    <row r="10" spans="1:5" x14ac:dyDescent="0.3">
      <c r="A10" s="9">
        <v>2</v>
      </c>
      <c r="B10" s="10">
        <f t="shared" ca="1" si="0"/>
        <v>8.3282746835984203E-2</v>
      </c>
      <c r="C10" s="10">
        <f ca="1">NPV(B10,Project_FCF!C18:J18)+Project_FCF!B18</f>
        <v>911.07612496902971</v>
      </c>
      <c r="D10" s="4"/>
      <c r="E10" s="4"/>
    </row>
    <row r="11" spans="1:5" x14ac:dyDescent="0.3">
      <c r="A11" s="9">
        <v>3</v>
      </c>
      <c r="B11" s="10">
        <f t="shared" ca="1" si="0"/>
        <v>7.3653395420645626E-2</v>
      </c>
      <c r="C11" s="10">
        <f ca="1">NPV(B11,Project_FCF!C18:J18)+Project_FCF!B18</f>
        <v>993.12842705079038</v>
      </c>
      <c r="D11" s="4"/>
      <c r="E11" s="4"/>
    </row>
    <row r="12" spans="1:5" x14ac:dyDescent="0.3">
      <c r="A12" s="9">
        <v>4</v>
      </c>
      <c r="B12" s="10">
        <f t="shared" ca="1" si="0"/>
        <v>8.1999427886183654E-2</v>
      </c>
      <c r="C12" s="10">
        <f ca="1">NPV(B12,Project_FCF!C18:J18)+Project_FCF!B18</f>
        <v>921.65220374595515</v>
      </c>
      <c r="D12" s="4"/>
      <c r="E12" s="4"/>
    </row>
    <row r="13" spans="1:5" x14ac:dyDescent="0.3">
      <c r="A13" s="9">
        <v>5</v>
      </c>
      <c r="B13" s="10">
        <f t="shared" ca="1" si="0"/>
        <v>6.9671244402096141E-2</v>
      </c>
      <c r="C13" s="10">
        <f ca="1">NPV(B13,Project_FCF!C18:J18)+Project_FCF!B18</f>
        <v>1028.9473818615418</v>
      </c>
      <c r="D13" s="4"/>
      <c r="E13" s="4"/>
    </row>
    <row r="14" spans="1:5" x14ac:dyDescent="0.3">
      <c r="A14" s="9">
        <v>6</v>
      </c>
      <c r="B14" s="10">
        <f t="shared" ca="1" si="0"/>
        <v>7.4898218378594755E-2</v>
      </c>
      <c r="C14" s="10">
        <f ca="1">NPV(B14,Project_FCF!C18:J18)+Project_FCF!B18</f>
        <v>982.1636449320531</v>
      </c>
      <c r="D14" s="4"/>
      <c r="E14" s="4"/>
    </row>
    <row r="15" spans="1:5" x14ac:dyDescent="0.3">
      <c r="A15" s="9">
        <v>7</v>
      </c>
      <c r="B15" s="10">
        <f t="shared" ca="1" si="0"/>
        <v>8.2341722387367866E-2</v>
      </c>
      <c r="C15" s="10">
        <f ca="1">NPV(B15,Project_FCF!C18:J18)+Project_FCF!B18</f>
        <v>918.82076815515688</v>
      </c>
      <c r="D15" s="4"/>
      <c r="E15" s="4"/>
    </row>
    <row r="16" spans="1:5" x14ac:dyDescent="0.3">
      <c r="A16" s="9">
        <v>8</v>
      </c>
      <c r="B16" s="10">
        <f t="shared" ca="1" si="0"/>
        <v>8.2362282036021472E-2</v>
      </c>
      <c r="C16" s="10">
        <f ca="1">NPV(B16,Project_FCF!C18:J18)+Project_FCF!B18</f>
        <v>918.65094455092412</v>
      </c>
      <c r="D16" s="4"/>
      <c r="E16" s="4"/>
    </row>
    <row r="17" spans="1:5" x14ac:dyDescent="0.3">
      <c r="A17" s="9">
        <v>9</v>
      </c>
      <c r="B17" s="10">
        <f t="shared" ca="1" si="0"/>
        <v>8.2027805576661117E-2</v>
      </c>
      <c r="C17" s="10">
        <f ca="1">NPV(B17,Project_FCF!C18:J18)+Project_FCF!B18</f>
        <v>921.41717346585347</v>
      </c>
      <c r="D17" s="4"/>
      <c r="E17" s="4"/>
    </row>
    <row r="18" spans="1:5" x14ac:dyDescent="0.3">
      <c r="A18" s="9">
        <v>10</v>
      </c>
      <c r="B18" s="10">
        <f t="shared" ca="1" si="0"/>
        <v>7.3588472972164559E-2</v>
      </c>
      <c r="C18" s="10">
        <f ca="1">NPV(B18,Project_FCF!C18:J18)+Project_FCF!B18</f>
        <v>993.70328299778066</v>
      </c>
      <c r="D18" s="4"/>
      <c r="E18" s="4"/>
    </row>
    <row r="19" spans="1:5" x14ac:dyDescent="0.3">
      <c r="A19" s="9">
        <v>11</v>
      </c>
      <c r="B19" s="10">
        <f t="shared" ca="1" si="0"/>
        <v>8.543371848446113E-2</v>
      </c>
      <c r="C19" s="10">
        <f ca="1">NPV(B19,Project_FCF!C18:J18)+Project_FCF!B18</f>
        <v>893.5886047866461</v>
      </c>
      <c r="D19" s="4"/>
      <c r="E19" s="4"/>
    </row>
    <row r="20" spans="1:5" x14ac:dyDescent="0.3">
      <c r="A20" s="9">
        <v>12</v>
      </c>
      <c r="B20" s="10">
        <f t="shared" ca="1" si="0"/>
        <v>7.6394198826166659E-2</v>
      </c>
      <c r="C20" s="10">
        <f ca="1">NPV(B20,Project_FCF!C18:J18)+Project_FCF!B18</f>
        <v>969.12998528340631</v>
      </c>
      <c r="D20" s="4"/>
      <c r="E20" s="4"/>
    </row>
    <row r="21" spans="1:5" x14ac:dyDescent="0.3">
      <c r="A21" s="9">
        <v>13</v>
      </c>
      <c r="B21" s="10">
        <f t="shared" ca="1" si="0"/>
        <v>9.802632914960778E-2</v>
      </c>
      <c r="C21" s="10">
        <f ca="1">NPV(B21,Project_FCF!C18:J18)+Project_FCF!B18</f>
        <v>796.93940051164509</v>
      </c>
      <c r="D21" s="4"/>
      <c r="E21" s="4"/>
    </row>
    <row r="22" spans="1:5" x14ac:dyDescent="0.3">
      <c r="A22" s="9">
        <v>14</v>
      </c>
      <c r="B22" s="10">
        <f t="shared" ca="1" si="0"/>
        <v>8.4393948999265667E-2</v>
      </c>
      <c r="C22" s="10">
        <f ca="1">NPV(B22,Project_FCF!C18:J18)+Project_FCF!B18</f>
        <v>902.0048674650161</v>
      </c>
      <c r="D22" s="4"/>
      <c r="E22" s="4"/>
    </row>
    <row r="23" spans="1:5" x14ac:dyDescent="0.3">
      <c r="A23" s="9">
        <v>15</v>
      </c>
      <c r="B23" s="10">
        <f t="shared" ca="1" si="0"/>
        <v>9.530767501440493E-2</v>
      </c>
      <c r="C23" s="10">
        <f ca="1">NPV(B23,Project_FCF!C18:J18)+Project_FCF!B18</f>
        <v>817.00612317032642</v>
      </c>
      <c r="D23" s="4"/>
      <c r="E23" s="4"/>
    </row>
    <row r="24" spans="1:5" x14ac:dyDescent="0.3">
      <c r="A24" s="9">
        <v>16</v>
      </c>
      <c r="B24" s="10">
        <f t="shared" ca="1" si="0"/>
        <v>7.2964590245625557E-2</v>
      </c>
      <c r="C24" s="10">
        <f ca="1">NPV(B24,Project_FCF!C18:J18)+Project_FCF!B18</f>
        <v>999.24269976436335</v>
      </c>
      <c r="D24" s="4"/>
      <c r="E24" s="4"/>
    </row>
    <row r="25" spans="1:5" x14ac:dyDescent="0.3">
      <c r="A25" s="9">
        <v>17</v>
      </c>
      <c r="B25" s="10">
        <f t="shared" ca="1" si="0"/>
        <v>7.5807779898921512E-2</v>
      </c>
      <c r="C25" s="10">
        <f ca="1">NPV(B25,Project_FCF!C18:J18)+Project_FCF!B18</f>
        <v>974.2206001947427</v>
      </c>
      <c r="D25" s="4"/>
      <c r="E25" s="4"/>
    </row>
    <row r="26" spans="1:5" x14ac:dyDescent="0.3">
      <c r="A26" s="9">
        <v>18</v>
      </c>
      <c r="B26" s="10">
        <f t="shared" ca="1" si="0"/>
        <v>6.4598832302074416E-2</v>
      </c>
      <c r="C26" s="10">
        <f ca="1">NPV(B26,Project_FCF!C18:J18)+Project_FCF!B18</f>
        <v>1076.2647184087818</v>
      </c>
      <c r="D26" s="4"/>
      <c r="E26" s="4"/>
    </row>
    <row r="27" spans="1:5" x14ac:dyDescent="0.3">
      <c r="A27" s="9">
        <v>19</v>
      </c>
      <c r="B27" s="10">
        <f t="shared" ca="1" si="0"/>
        <v>8.1171181466734271E-2</v>
      </c>
      <c r="C27" s="10">
        <f ca="1">NPV(B27,Project_FCF!C18:J18)+Project_FCF!B18</f>
        <v>928.53526582304175</v>
      </c>
      <c r="D27" s="4"/>
      <c r="E27" s="4"/>
    </row>
    <row r="28" spans="1:5" x14ac:dyDescent="0.3">
      <c r="A28" s="9">
        <v>20</v>
      </c>
      <c r="B28" s="10">
        <f t="shared" ca="1" si="0"/>
        <v>9.9019442054546908E-2</v>
      </c>
      <c r="C28" s="10">
        <f ca="1">NPV(B28,Project_FCF!C18:J18)+Project_FCF!B18</f>
        <v>789.71448623411379</v>
      </c>
      <c r="D28" s="4"/>
      <c r="E28" s="4"/>
    </row>
    <row r="29" spans="1:5" x14ac:dyDescent="0.3">
      <c r="A29" s="9">
        <v>21</v>
      </c>
      <c r="B29" s="10">
        <f t="shared" ca="1" si="0"/>
        <v>8.7100097667795667E-2</v>
      </c>
      <c r="C29" s="10">
        <f ca="1">NPV(B29,Project_FCF!C18:J18)+Project_FCF!B18</f>
        <v>880.24357928967152</v>
      </c>
      <c r="D29" s="4"/>
      <c r="E29" s="4"/>
    </row>
    <row r="30" spans="1:5" x14ac:dyDescent="0.3">
      <c r="A30" s="9">
        <v>22</v>
      </c>
      <c r="B30" s="10">
        <f t="shared" ca="1" si="0"/>
        <v>6.8069006032456497E-2</v>
      </c>
      <c r="C30" s="10">
        <f ca="1">NPV(B30,Project_FCF!C18:J18)+Project_FCF!B18</f>
        <v>1043.6853785610965</v>
      </c>
      <c r="D30" s="4"/>
      <c r="E30" s="4"/>
    </row>
    <row r="31" spans="1:5" x14ac:dyDescent="0.3">
      <c r="A31" s="9">
        <v>23</v>
      </c>
      <c r="B31" s="10">
        <f t="shared" ca="1" si="0"/>
        <v>6.6024331367609726E-2</v>
      </c>
      <c r="C31" s="10">
        <f ca="1">NPV(B31,Project_FCF!C18:J18)+Project_FCF!B18</f>
        <v>1062.771178948253</v>
      </c>
      <c r="D31" s="4"/>
      <c r="E31" s="4"/>
    </row>
    <row r="32" spans="1:5" x14ac:dyDescent="0.3">
      <c r="A32" s="9">
        <v>24</v>
      </c>
      <c r="B32" s="10">
        <f t="shared" ca="1" si="0"/>
        <v>9.4600988354350032E-2</v>
      </c>
      <c r="C32" s="10">
        <f ca="1">NPV(B32,Project_FCF!C18:J18)+Project_FCF!B18</f>
        <v>822.29237299019701</v>
      </c>
      <c r="D32" s="4"/>
      <c r="E32" s="4"/>
    </row>
    <row r="33" spans="1:5" x14ac:dyDescent="0.3">
      <c r="A33" s="9">
        <v>25</v>
      </c>
      <c r="B33" s="10">
        <f t="shared" ca="1" si="0"/>
        <v>7.5527572126254355E-2</v>
      </c>
      <c r="C33" s="10">
        <f ca="1">NPV(B33,Project_FCF!C18:J18)+Project_FCF!B18</f>
        <v>976.6614632344083</v>
      </c>
      <c r="D33" s="4"/>
      <c r="E33" s="4"/>
    </row>
    <row r="34" spans="1:5" x14ac:dyDescent="0.3">
      <c r="A34" s="9">
        <v>26</v>
      </c>
      <c r="B34" s="10">
        <f t="shared" ca="1" si="0"/>
        <v>7.3291491800182448E-2</v>
      </c>
      <c r="C34" s="10">
        <f ca="1">NPV(B34,Project_FCF!C18:J18)+Project_FCF!B18</f>
        <v>996.33671267562613</v>
      </c>
      <c r="D34" s="4"/>
      <c r="E34" s="4"/>
    </row>
    <row r="35" spans="1:5" x14ac:dyDescent="0.3">
      <c r="A35" s="9">
        <v>27</v>
      </c>
      <c r="B35" s="10">
        <f t="shared" ca="1" si="0"/>
        <v>8.5296192204120158E-2</v>
      </c>
      <c r="C35" s="10">
        <f ca="1">NPV(B35,Project_FCF!C18:J18)+Project_FCF!B18</f>
        <v>894.69782860922373</v>
      </c>
      <c r="D35" s="4"/>
      <c r="E35" s="4"/>
    </row>
    <row r="36" spans="1:5" x14ac:dyDescent="0.3">
      <c r="A36" s="9">
        <v>28</v>
      </c>
      <c r="B36" s="10">
        <f t="shared" ca="1" si="0"/>
        <v>7.0011810933544819E-2</v>
      </c>
      <c r="C36" s="10">
        <f ca="1">NPV(B36,Project_FCF!C18:J18)+Project_FCF!B18</f>
        <v>1025.8391004509169</v>
      </c>
      <c r="D36" s="4"/>
      <c r="E36" s="4"/>
    </row>
    <row r="37" spans="1:5" x14ac:dyDescent="0.3">
      <c r="A37" s="9">
        <v>29</v>
      </c>
      <c r="B37" s="10">
        <f t="shared" ca="1" si="0"/>
        <v>8.7837462982083211E-2</v>
      </c>
      <c r="C37" s="10">
        <f ca="1">NPV(B37,Project_FCF!C18:J18)+Project_FCF!B18</f>
        <v>874.39418770717475</v>
      </c>
      <c r="D37" s="4"/>
      <c r="E37" s="4"/>
    </row>
    <row r="38" spans="1:5" x14ac:dyDescent="0.3">
      <c r="A38" s="9">
        <v>30</v>
      </c>
      <c r="B38" s="10">
        <f t="shared" ca="1" si="0"/>
        <v>7.937779360159751E-2</v>
      </c>
      <c r="C38" s="10">
        <f ca="1">NPV(B38,Project_FCF!C18:J18)+Project_FCF!B18</f>
        <v>943.59496795509904</v>
      </c>
      <c r="D38" s="4"/>
      <c r="E38" s="4"/>
    </row>
    <row r="39" spans="1:5" x14ac:dyDescent="0.3">
      <c r="A39" s="9">
        <v>31</v>
      </c>
      <c r="B39" s="10">
        <f t="shared" ca="1" si="0"/>
        <v>8.1114354658236618E-2</v>
      </c>
      <c r="C39" s="10">
        <f ca="1">NPV(B39,Project_FCF!C18:J18)+Project_FCF!B18</f>
        <v>929.00917885766944</v>
      </c>
      <c r="D39" s="4"/>
      <c r="E39" s="4"/>
    </row>
    <row r="40" spans="1:5" x14ac:dyDescent="0.3">
      <c r="A40" s="9">
        <v>32</v>
      </c>
      <c r="B40" s="10">
        <f t="shared" ca="1" si="0"/>
        <v>8.9493200817329449E-2</v>
      </c>
      <c r="C40" s="10">
        <f ca="1">NPV(B40,Project_FCF!C18:J18)+Project_FCF!B18</f>
        <v>861.38257331653813</v>
      </c>
      <c r="D40" s="4"/>
      <c r="E40" s="4"/>
    </row>
    <row r="41" spans="1:5" x14ac:dyDescent="0.3">
      <c r="A41" s="9">
        <v>33</v>
      </c>
      <c r="B41" s="10">
        <f t="shared" ca="1" si="0"/>
        <v>9.2652322190630909E-2</v>
      </c>
      <c r="C41" s="10">
        <f ca="1">NPV(B41,Project_FCF!C18:J18)+Project_FCF!B18</f>
        <v>837.02130971445149</v>
      </c>
      <c r="D41" s="4"/>
      <c r="E41" s="4"/>
    </row>
    <row r="42" spans="1:5" x14ac:dyDescent="0.3">
      <c r="A42" s="9">
        <v>34</v>
      </c>
      <c r="B42" s="10">
        <f t="shared" ca="1" si="0"/>
        <v>8.7832638628307272E-2</v>
      </c>
      <c r="C42" s="10">
        <f ca="1">NPV(B42,Project_FCF!C18:J18)+Project_FCF!B18</f>
        <v>874.43234816262702</v>
      </c>
      <c r="D42" s="4"/>
      <c r="E42" s="4"/>
    </row>
    <row r="43" spans="1:5" x14ac:dyDescent="0.3">
      <c r="A43" s="9">
        <v>35</v>
      </c>
      <c r="B43" s="10">
        <f t="shared" ca="1" si="0"/>
        <v>7.292798193367156E-2</v>
      </c>
      <c r="C43" s="10">
        <f ca="1">NPV(B43,Project_FCF!C18:J18)+Project_FCF!B18</f>
        <v>999.56860245719349</v>
      </c>
      <c r="D43" s="4"/>
      <c r="E43" s="4"/>
    </row>
    <row r="44" spans="1:5" x14ac:dyDescent="0.3">
      <c r="A44" s="9">
        <v>36</v>
      </c>
      <c r="B44" s="10">
        <f t="shared" ca="1" si="0"/>
        <v>6.4631872525288403E-2</v>
      </c>
      <c r="C44" s="10">
        <f ca="1">NPV(B44,Project_FCF!C18:J18)+Project_FCF!B18</f>
        <v>1075.9502041162727</v>
      </c>
      <c r="D44" s="4"/>
      <c r="E44" s="4"/>
    </row>
    <row r="45" spans="1:5" x14ac:dyDescent="0.3">
      <c r="A45" s="9">
        <v>37</v>
      </c>
      <c r="B45" s="10">
        <f t="shared" ca="1" si="0"/>
        <v>8.4593744074814431E-2</v>
      </c>
      <c r="C45" s="10">
        <f ca="1">NPV(B45,Project_FCF!C18:J18)+Project_FCF!B18</f>
        <v>900.3822845299062</v>
      </c>
      <c r="D45" s="4"/>
      <c r="E45" s="4"/>
    </row>
    <row r="46" spans="1:5" x14ac:dyDescent="0.3">
      <c r="A46" s="9">
        <v>38</v>
      </c>
      <c r="B46" s="10">
        <f t="shared" ca="1" si="0"/>
        <v>8.6373311263485769E-2</v>
      </c>
      <c r="C46" s="10">
        <f ca="1">NPV(B46,Project_FCF!C18:J18)+Project_FCF!B18</f>
        <v>886.04241037866814</v>
      </c>
      <c r="D46" s="4"/>
      <c r="E46" s="4"/>
    </row>
    <row r="47" spans="1:5" x14ac:dyDescent="0.3">
      <c r="A47" s="9">
        <v>39</v>
      </c>
      <c r="B47" s="10">
        <f t="shared" ca="1" si="0"/>
        <v>9.5681464370160618E-2</v>
      </c>
      <c r="C47" s="10">
        <f ca="1">NPV(B47,Project_FCF!C18:J18)+Project_FCF!B18</f>
        <v>814.22183368561241</v>
      </c>
      <c r="D47" s="4"/>
      <c r="E47" s="4"/>
    </row>
    <row r="48" spans="1:5" x14ac:dyDescent="0.3">
      <c r="A48" s="9">
        <v>40</v>
      </c>
      <c r="B48" s="10">
        <f t="shared" ca="1" si="0"/>
        <v>0.10163497405333791</v>
      </c>
      <c r="C48" s="10">
        <f ca="1">NPV(B48,Project_FCF!C18:J18)+Project_FCF!B18</f>
        <v>770.95125793527677</v>
      </c>
      <c r="D48" s="4"/>
      <c r="E48" s="4"/>
    </row>
    <row r="49" spans="1:5" x14ac:dyDescent="0.3">
      <c r="A49" s="9">
        <v>41</v>
      </c>
      <c r="B49" s="10">
        <f t="shared" ca="1" si="0"/>
        <v>9.1361715953737266E-2</v>
      </c>
      <c r="C49" s="10">
        <f ca="1">NPV(B49,Project_FCF!C18:J18)+Project_FCF!B18</f>
        <v>846.90079586295292</v>
      </c>
      <c r="D49" s="4"/>
      <c r="E49" s="4"/>
    </row>
    <row r="50" spans="1:5" x14ac:dyDescent="0.3">
      <c r="A50" s="9">
        <v>42</v>
      </c>
      <c r="B50" s="10">
        <f t="shared" ca="1" si="0"/>
        <v>8.4211783511461663E-2</v>
      </c>
      <c r="C50" s="10">
        <f ca="1">NPV(B50,Project_FCF!C18:J18)+Project_FCF!B18</f>
        <v>903.48651127609833</v>
      </c>
      <c r="D50" s="4"/>
      <c r="E50" s="4"/>
    </row>
    <row r="51" spans="1:5" x14ac:dyDescent="0.3">
      <c r="A51" s="9">
        <v>43</v>
      </c>
      <c r="B51" s="10">
        <f t="shared" ca="1" si="0"/>
        <v>6.4593400200739587E-2</v>
      </c>
      <c r="C51" s="10">
        <f ca="1">NPV(B51,Project_FCF!C18:J18)+Project_FCF!B18</f>
        <v>1076.3164353402533</v>
      </c>
      <c r="D51" s="4"/>
      <c r="E51" s="4"/>
    </row>
    <row r="52" spans="1:5" x14ac:dyDescent="0.3">
      <c r="A52" s="9">
        <v>44</v>
      </c>
      <c r="B52" s="10">
        <f t="shared" ca="1" si="0"/>
        <v>0.10073308820406263</v>
      </c>
      <c r="C52" s="10">
        <f ca="1">NPV(B52,Project_FCF!C18:J18)+Project_FCF!B18</f>
        <v>777.37816417643489</v>
      </c>
      <c r="D52" s="4"/>
      <c r="E52" s="4"/>
    </row>
    <row r="53" spans="1:5" x14ac:dyDescent="0.3">
      <c r="A53" s="9">
        <v>45</v>
      </c>
      <c r="B53" s="10">
        <f t="shared" ca="1" si="0"/>
        <v>8.1806429851605245E-2</v>
      </c>
      <c r="C53" s="10">
        <f ca="1">NPV(B53,Project_FCF!C18:J18)+Project_FCF!B18</f>
        <v>923.2520589592466</v>
      </c>
      <c r="D53" s="4"/>
      <c r="E53" s="4"/>
    </row>
    <row r="54" spans="1:5" x14ac:dyDescent="0.3">
      <c r="A54" s="9">
        <v>46</v>
      </c>
      <c r="B54" s="10">
        <f t="shared" ca="1" si="0"/>
        <v>7.9174727502664369E-2</v>
      </c>
      <c r="C54" s="10">
        <f ca="1">NPV(B54,Project_FCF!C18:J18)+Project_FCF!B18</f>
        <v>945.31374454022784</v>
      </c>
      <c r="D54" s="4"/>
      <c r="E54" s="4"/>
    </row>
    <row r="55" spans="1:5" x14ac:dyDescent="0.3">
      <c r="A55" s="9">
        <v>47</v>
      </c>
      <c r="B55" s="10">
        <f t="shared" ca="1" si="0"/>
        <v>8.7502000065173974E-2</v>
      </c>
      <c r="C55" s="10">
        <f ca="1">NPV(B55,Project_FCF!C18:J18)+Project_FCF!B18</f>
        <v>877.05114459441006</v>
      </c>
      <c r="D55" s="4"/>
      <c r="E55" s="4"/>
    </row>
    <row r="56" spans="1:5" x14ac:dyDescent="0.3">
      <c r="A56" s="9">
        <v>48</v>
      </c>
      <c r="B56" s="10">
        <f t="shared" ca="1" si="0"/>
        <v>0.10383249551042451</v>
      </c>
      <c r="C56" s="10">
        <f ca="1">NPV(B56,Project_FCF!C18:J18)+Project_FCF!B18</f>
        <v>755.47845832853432</v>
      </c>
      <c r="D56" s="4"/>
      <c r="E56" s="4"/>
    </row>
    <row r="57" spans="1:5" x14ac:dyDescent="0.3">
      <c r="A57" s="9">
        <v>49</v>
      </c>
      <c r="B57" s="10">
        <f t="shared" ca="1" si="0"/>
        <v>9.8173984476009543E-2</v>
      </c>
      <c r="C57" s="10">
        <f ca="1">NPV(B57,Project_FCF!C18:J18)+Project_FCF!B18</f>
        <v>795.86166694603867</v>
      </c>
      <c r="D57" s="4"/>
      <c r="E57" s="4"/>
    </row>
    <row r="58" spans="1:5" x14ac:dyDescent="0.3">
      <c r="A58" s="9">
        <v>50</v>
      </c>
      <c r="B58" s="10">
        <f t="shared" ca="1" si="0"/>
        <v>6.5167506852705226E-2</v>
      </c>
      <c r="C58" s="10">
        <f ca="1">NPV(B58,Project_FCF!C18:J18)+Project_FCF!B18</f>
        <v>1070.8631190095241</v>
      </c>
      <c r="D58" s="4"/>
      <c r="E58" s="4"/>
    </row>
    <row r="59" spans="1:5" x14ac:dyDescent="0.3">
      <c r="A59" s="9">
        <v>51</v>
      </c>
      <c r="B59" s="10">
        <f t="shared" ca="1" si="0"/>
        <v>8.5416251622996708E-2</v>
      </c>
      <c r="C59" s="10">
        <f ca="1">NPV(B59,Project_FCF!C18:J18)+Project_FCF!B18</f>
        <v>893.72941770425632</v>
      </c>
      <c r="D59" s="4"/>
      <c r="E59" s="4"/>
    </row>
    <row r="60" spans="1:5" x14ac:dyDescent="0.3">
      <c r="A60" s="9">
        <v>52</v>
      </c>
      <c r="B60" s="10">
        <f t="shared" ca="1" si="0"/>
        <v>7.1781951316184103E-2</v>
      </c>
      <c r="C60" s="10">
        <f ca="1">NPV(B60,Project_FCF!C18:J18)+Project_FCF!B18</f>
        <v>1009.8195071339862</v>
      </c>
      <c r="D60" s="4"/>
      <c r="E60" s="4"/>
    </row>
    <row r="61" spans="1:5" x14ac:dyDescent="0.3">
      <c r="A61" s="9">
        <v>53</v>
      </c>
      <c r="B61" s="10">
        <f t="shared" ca="1" si="0"/>
        <v>8.0381017430050369E-2</v>
      </c>
      <c r="C61" s="10">
        <f ca="1">NPV(B61,Project_FCF!C18:J18)+Project_FCF!B18</f>
        <v>935.14413052097461</v>
      </c>
      <c r="D61" s="4"/>
      <c r="E61" s="4"/>
    </row>
    <row r="62" spans="1:5" x14ac:dyDescent="0.3">
      <c r="A62" s="9">
        <v>54</v>
      </c>
      <c r="B62" s="10">
        <f t="shared" ca="1" si="0"/>
        <v>6.694124263852938E-2</v>
      </c>
      <c r="C62" s="10">
        <f ca="1">NPV(B62,Project_FCF!C18:J18)+Project_FCF!B18</f>
        <v>1054.1734794170893</v>
      </c>
      <c r="D62" s="4"/>
      <c r="E62" s="4"/>
    </row>
    <row r="63" spans="1:5" x14ac:dyDescent="0.3">
      <c r="A63" s="9">
        <v>55</v>
      </c>
      <c r="B63" s="10">
        <f t="shared" ca="1" si="0"/>
        <v>6.842478991077397E-2</v>
      </c>
      <c r="C63" s="10">
        <f ca="1">NPV(B63,Project_FCF!C18:J18)+Project_FCF!B18</f>
        <v>1040.3963246293295</v>
      </c>
      <c r="D63" s="4"/>
      <c r="E63" s="4"/>
    </row>
    <row r="64" spans="1:5" x14ac:dyDescent="0.3">
      <c r="A64" s="9">
        <v>56</v>
      </c>
      <c r="B64" s="10">
        <f t="shared" ca="1" si="0"/>
        <v>9.849349065653859E-2</v>
      </c>
      <c r="C64" s="10">
        <f ca="1">NPV(B64,Project_FCF!C18:J18)+Project_FCF!B18</f>
        <v>793.53383437634284</v>
      </c>
      <c r="D64" s="4"/>
      <c r="E64" s="4"/>
    </row>
    <row r="65" spans="1:5" x14ac:dyDescent="0.3">
      <c r="A65" s="9">
        <v>57</v>
      </c>
      <c r="B65" s="10">
        <f t="shared" ca="1" si="0"/>
        <v>9.7199954107902858E-2</v>
      </c>
      <c r="C65" s="10">
        <f ca="1">NPV(B65,Project_FCF!C18:J18)+Project_FCF!B18</f>
        <v>802.99403487741802</v>
      </c>
      <c r="D65" s="4"/>
      <c r="E65" s="4"/>
    </row>
    <row r="66" spans="1:5" x14ac:dyDescent="0.3">
      <c r="A66" s="9">
        <v>58</v>
      </c>
      <c r="B66" s="10">
        <f t="shared" ca="1" si="0"/>
        <v>6.4349214578576938E-2</v>
      </c>
      <c r="C66" s="10">
        <f ca="1">NPV(B66,Project_FCF!C18:J18)+Project_FCF!B18</f>
        <v>1078.6435773006071</v>
      </c>
      <c r="D66" s="4"/>
      <c r="E66" s="4"/>
    </row>
    <row r="67" spans="1:5" x14ac:dyDescent="0.3">
      <c r="A67" s="9">
        <v>59</v>
      </c>
      <c r="B67" s="10">
        <f t="shared" ca="1" si="0"/>
        <v>6.9729749773612681E-2</v>
      </c>
      <c r="C67" s="10">
        <f ca="1">NPV(B67,Project_FCF!C18:J18)+Project_FCF!B18</f>
        <v>1028.4128102894331</v>
      </c>
      <c r="D67" s="4"/>
      <c r="E67" s="4"/>
    </row>
    <row r="68" spans="1:5" x14ac:dyDescent="0.3">
      <c r="A68" s="9">
        <v>60</v>
      </c>
      <c r="B68" s="10">
        <f t="shared" ca="1" si="0"/>
        <v>7.9942188185611121E-2</v>
      </c>
      <c r="C68" s="10">
        <f ca="1">NPV(B68,Project_FCF!C18:J18)+Project_FCF!B18</f>
        <v>938.83240360783316</v>
      </c>
      <c r="D68" s="4"/>
      <c r="E68" s="4"/>
    </row>
    <row r="69" spans="1:5" x14ac:dyDescent="0.3">
      <c r="A69" s="9">
        <v>61</v>
      </c>
      <c r="B69" s="10">
        <f t="shared" ca="1" si="0"/>
        <v>8.989643199885107E-2</v>
      </c>
      <c r="C69" s="10">
        <f ca="1">NPV(B69,Project_FCF!C18:J18)+Project_FCF!B18</f>
        <v>858.23935370438176</v>
      </c>
      <c r="D69" s="4"/>
      <c r="E69" s="4"/>
    </row>
    <row r="70" spans="1:5" x14ac:dyDescent="0.3">
      <c r="A70" s="9">
        <v>62</v>
      </c>
      <c r="B70" s="10">
        <f t="shared" ca="1" si="0"/>
        <v>0.10030814082002543</v>
      </c>
      <c r="C70" s="10">
        <f ca="1">NPV(B70,Project_FCF!C18:J18)+Project_FCF!B18</f>
        <v>780.42200475481786</v>
      </c>
      <c r="D70" s="4"/>
      <c r="E70" s="4"/>
    </row>
    <row r="71" spans="1:5" x14ac:dyDescent="0.3">
      <c r="A71" s="9">
        <v>63</v>
      </c>
      <c r="B71" s="10">
        <f t="shared" ca="1" si="0"/>
        <v>9.0195165029507071E-2</v>
      </c>
      <c r="C71" s="10">
        <f ca="1">NPV(B71,Project_FCF!C18:J18)+Project_FCF!B18</f>
        <v>855.91711929506982</v>
      </c>
      <c r="D71" s="4"/>
      <c r="E71" s="4"/>
    </row>
    <row r="72" spans="1:5" x14ac:dyDescent="0.3">
      <c r="A72" s="9">
        <v>64</v>
      </c>
      <c r="B72" s="10">
        <f t="shared" ca="1" si="0"/>
        <v>8.5049335038399176E-2</v>
      </c>
      <c r="C72" s="10">
        <f ca="1">NPV(B72,Project_FCF!C18:J18)+Project_FCF!B18</f>
        <v>896.69188948854071</v>
      </c>
      <c r="D72" s="4"/>
      <c r="E72" s="4"/>
    </row>
    <row r="73" spans="1:5" x14ac:dyDescent="0.3">
      <c r="A73" s="9">
        <v>65</v>
      </c>
      <c r="B73" s="10">
        <f t="shared" ref="B73:B136" ca="1" si="1">$B$4+RAND()*($B$5-$B$4)</f>
        <v>8.7737259665000997E-2</v>
      </c>
      <c r="C73" s="10">
        <f ca="1">NPV(B73,Project_FCF!C18:J18)+Project_FCF!B18</f>
        <v>875.18708989352285</v>
      </c>
      <c r="D73" s="4"/>
      <c r="E73" s="4"/>
    </row>
    <row r="74" spans="1:5" x14ac:dyDescent="0.3">
      <c r="A74" s="9">
        <v>66</v>
      </c>
      <c r="B74" s="10">
        <f t="shared" ca="1" si="1"/>
        <v>6.859299762709202E-2</v>
      </c>
      <c r="C74" s="10">
        <f ca="1">NPV(B74,Project_FCF!C18:J18)+Project_FCF!B18</f>
        <v>1038.844597679142</v>
      </c>
      <c r="D74" s="4"/>
      <c r="E74" s="4"/>
    </row>
    <row r="75" spans="1:5" x14ac:dyDescent="0.3">
      <c r="A75" s="9">
        <v>67</v>
      </c>
      <c r="B75" s="10">
        <f t="shared" ca="1" si="1"/>
        <v>6.4108099774990213E-2</v>
      </c>
      <c r="C75" s="10">
        <f ca="1">NPV(B75,Project_FCF!C18:J18)+Project_FCF!B18</f>
        <v>1080.9459627707527</v>
      </c>
      <c r="D75" s="4"/>
      <c r="E75" s="4"/>
    </row>
    <row r="76" spans="1:5" x14ac:dyDescent="0.3">
      <c r="A76" s="9">
        <v>68</v>
      </c>
      <c r="B76" s="10">
        <f t="shared" ca="1" si="1"/>
        <v>6.8959415722416331E-2</v>
      </c>
      <c r="C76" s="10">
        <f ca="1">NPV(B76,Project_FCF!C18:J18)+Project_FCF!B18</f>
        <v>1035.4716241930528</v>
      </c>
      <c r="D76" s="4"/>
      <c r="E76" s="4"/>
    </row>
    <row r="77" spans="1:5" x14ac:dyDescent="0.3">
      <c r="A77" s="9">
        <v>69</v>
      </c>
      <c r="B77" s="10">
        <f t="shared" ca="1" si="1"/>
        <v>7.2530338686156118E-2</v>
      </c>
      <c r="C77" s="10">
        <f ca="1">NPV(B77,Project_FCF!C18:J18)+Project_FCF!B18</f>
        <v>1003.1147503930918</v>
      </c>
      <c r="D77" s="4"/>
      <c r="E77" s="4"/>
    </row>
    <row r="78" spans="1:5" x14ac:dyDescent="0.3">
      <c r="A78" s="9">
        <v>70</v>
      </c>
      <c r="B78" s="10">
        <f t="shared" ca="1" si="1"/>
        <v>9.8366515625458617E-2</v>
      </c>
      <c r="C78" s="10">
        <f ca="1">NPV(B78,Project_FCF!C18:J18)+Project_FCF!B18</f>
        <v>794.45824559596076</v>
      </c>
      <c r="D78" s="4"/>
      <c r="E78" s="4"/>
    </row>
    <row r="79" spans="1:5" x14ac:dyDescent="0.3">
      <c r="A79" s="9">
        <v>71</v>
      </c>
      <c r="B79" s="10">
        <f t="shared" ca="1" si="1"/>
        <v>9.794812581579132E-2</v>
      </c>
      <c r="C79" s="10">
        <f ca="1">NPV(B79,Project_FCF!C18:J18)+Project_FCF!B18</f>
        <v>797.51070746594451</v>
      </c>
      <c r="D79" s="4"/>
      <c r="E79" s="4"/>
    </row>
    <row r="80" spans="1:5" x14ac:dyDescent="0.3">
      <c r="A80" s="9">
        <v>72</v>
      </c>
      <c r="B80" s="10">
        <f t="shared" ca="1" si="1"/>
        <v>6.4872589873581521E-2</v>
      </c>
      <c r="C80" s="10">
        <f ca="1">NPV(B80,Project_FCF!C18:J18)+Project_FCF!B18</f>
        <v>1073.6613147794262</v>
      </c>
      <c r="D80" s="4"/>
      <c r="E80" s="4"/>
    </row>
    <row r="81" spans="1:5" x14ac:dyDescent="0.3">
      <c r="A81" s="9">
        <v>73</v>
      </c>
      <c r="B81" s="10">
        <f t="shared" ca="1" si="1"/>
        <v>8.9665581439119901E-2</v>
      </c>
      <c r="C81" s="10">
        <f ca="1">NPV(B81,Project_FCF!C18:J18)+Project_FCF!B18</f>
        <v>860.03763342528441</v>
      </c>
      <c r="D81" s="4"/>
      <c r="E81" s="4"/>
    </row>
    <row r="82" spans="1:5" x14ac:dyDescent="0.3">
      <c r="A82" s="9">
        <v>74</v>
      </c>
      <c r="B82" s="10">
        <f t="shared" ca="1" si="1"/>
        <v>8.390463453758365E-2</v>
      </c>
      <c r="C82" s="10">
        <f ca="1">NPV(B82,Project_FCF!C18:J18)+Project_FCF!B18</f>
        <v>905.98954621822077</v>
      </c>
      <c r="D82" s="4"/>
      <c r="E82" s="4"/>
    </row>
    <row r="83" spans="1:5" x14ac:dyDescent="0.3">
      <c r="A83" s="9">
        <v>75</v>
      </c>
      <c r="B83" s="10">
        <f t="shared" ca="1" si="1"/>
        <v>9.4647283222361628E-2</v>
      </c>
      <c r="C83" s="10">
        <f ca="1">NPV(B83,Project_FCF!C18:J18)+Project_FCF!B18</f>
        <v>821.94517771450273</v>
      </c>
      <c r="D83" s="4"/>
      <c r="E83" s="4"/>
    </row>
    <row r="84" spans="1:5" x14ac:dyDescent="0.3">
      <c r="A84" s="9">
        <v>76</v>
      </c>
      <c r="B84" s="10">
        <f t="shared" ca="1" si="1"/>
        <v>9.8373010946056591E-2</v>
      </c>
      <c r="C84" s="10">
        <f ca="1">NPV(B84,Project_FCF!C18:J18)+Project_FCF!B18</f>
        <v>794.41093579416838</v>
      </c>
      <c r="D84" s="4"/>
      <c r="E84" s="4"/>
    </row>
    <row r="85" spans="1:5" x14ac:dyDescent="0.3">
      <c r="A85" s="9">
        <v>77</v>
      </c>
      <c r="B85" s="10">
        <f t="shared" ca="1" si="1"/>
        <v>9.4834014693534904E-2</v>
      </c>
      <c r="C85" s="10">
        <f ca="1">NPV(B85,Project_FCF!C18:J18)+Project_FCF!B18</f>
        <v>820.54603186827035</v>
      </c>
      <c r="D85" s="4"/>
      <c r="E85" s="4"/>
    </row>
    <row r="86" spans="1:5" x14ac:dyDescent="0.3">
      <c r="A86" s="9">
        <v>78</v>
      </c>
      <c r="B86" s="10">
        <f t="shared" ca="1" si="1"/>
        <v>8.6900031080359263E-2</v>
      </c>
      <c r="C86" s="10">
        <f ca="1">NPV(B86,Project_FCF!C18:J18)+Project_FCF!B18</f>
        <v>881.83654331075377</v>
      </c>
      <c r="D86" s="4"/>
      <c r="E86" s="4"/>
    </row>
    <row r="87" spans="1:5" x14ac:dyDescent="0.3">
      <c r="A87" s="9">
        <v>79</v>
      </c>
      <c r="B87" s="10">
        <f t="shared" ca="1" si="1"/>
        <v>7.8764865239898812E-2</v>
      </c>
      <c r="C87" s="10">
        <f ca="1">NPV(B87,Project_FCF!C18:J18)+Project_FCF!B18</f>
        <v>948.79133294227017</v>
      </c>
      <c r="D87" s="4"/>
      <c r="E87" s="4"/>
    </row>
    <row r="88" spans="1:5" x14ac:dyDescent="0.3">
      <c r="A88" s="9">
        <v>80</v>
      </c>
      <c r="B88" s="10">
        <f t="shared" ca="1" si="1"/>
        <v>8.7781919029686878E-2</v>
      </c>
      <c r="C88" s="10">
        <f ca="1">NPV(B88,Project_FCF!C18:J18)+Project_FCF!B18</f>
        <v>874.83362601889417</v>
      </c>
      <c r="D88" s="4"/>
      <c r="E88" s="4"/>
    </row>
    <row r="89" spans="1:5" x14ac:dyDescent="0.3">
      <c r="A89" s="9">
        <v>81</v>
      </c>
      <c r="B89" s="10">
        <f t="shared" ca="1" si="1"/>
        <v>7.8436424039167688E-2</v>
      </c>
      <c r="C89" s="10">
        <f ca="1">NPV(B89,Project_FCF!C18:J18)+Project_FCF!B18</f>
        <v>951.58627478584117</v>
      </c>
      <c r="D89" s="4"/>
      <c r="E89" s="4"/>
    </row>
    <row r="90" spans="1:5" x14ac:dyDescent="0.3">
      <c r="A90" s="9">
        <v>82</v>
      </c>
      <c r="B90" s="10">
        <f t="shared" ca="1" si="1"/>
        <v>9.2561070312866617E-2</v>
      </c>
      <c r="C90" s="10">
        <f ca="1">NPV(B90,Project_FCF!C18:J18)+Project_FCF!B18</f>
        <v>837.71655704631507</v>
      </c>
      <c r="D90" s="4"/>
      <c r="E90" s="4"/>
    </row>
    <row r="91" spans="1:5" x14ac:dyDescent="0.3">
      <c r="A91" s="9">
        <v>83</v>
      </c>
      <c r="B91" s="10">
        <f t="shared" ca="1" si="1"/>
        <v>9.5606710400656644E-2</v>
      </c>
      <c r="C91" s="10">
        <f ca="1">NPV(B91,Project_FCF!C18:J18)+Project_FCF!B18</f>
        <v>814.77801252857626</v>
      </c>
      <c r="D91" s="4"/>
      <c r="E91" s="4"/>
    </row>
    <row r="92" spans="1:5" x14ac:dyDescent="0.3">
      <c r="A92" s="9">
        <v>84</v>
      </c>
      <c r="B92" s="10">
        <f t="shared" ca="1" si="1"/>
        <v>9.3223130238657151E-2</v>
      </c>
      <c r="C92" s="10">
        <f ca="1">NPV(B92,Project_FCF!C18:J18)+Project_FCF!B18</f>
        <v>832.68358557281249</v>
      </c>
      <c r="D92" s="4"/>
      <c r="E92" s="4"/>
    </row>
    <row r="93" spans="1:5" x14ac:dyDescent="0.3">
      <c r="A93" s="9">
        <v>85</v>
      </c>
      <c r="B93" s="10">
        <f t="shared" ca="1" si="1"/>
        <v>8.6627520973321104E-2</v>
      </c>
      <c r="C93" s="10">
        <f ca="1">NPV(B93,Project_FCF!C18:J18)+Project_FCF!B18</f>
        <v>884.01036042498117</v>
      </c>
      <c r="D93" s="4"/>
      <c r="E93" s="4"/>
    </row>
    <row r="94" spans="1:5" x14ac:dyDescent="0.3">
      <c r="A94" s="9">
        <v>86</v>
      </c>
      <c r="B94" s="10">
        <f t="shared" ca="1" si="1"/>
        <v>8.781787879679212E-2</v>
      </c>
      <c r="C94" s="10">
        <f ca="1">NPV(B94,Project_FCF!C18:J18)+Project_FCF!B18</f>
        <v>874.54910687346705</v>
      </c>
      <c r="D94" s="4"/>
      <c r="E94" s="4"/>
    </row>
    <row r="95" spans="1:5" x14ac:dyDescent="0.3">
      <c r="A95" s="9">
        <v>87</v>
      </c>
      <c r="B95" s="10">
        <f t="shared" ca="1" si="1"/>
        <v>7.9763517628495068E-2</v>
      </c>
      <c r="C95" s="10">
        <f ca="1">NPV(B95,Project_FCF!C18:J18)+Project_FCF!B18</f>
        <v>940.33778046332554</v>
      </c>
      <c r="D95" s="4"/>
      <c r="E95" s="4"/>
    </row>
    <row r="96" spans="1:5" x14ac:dyDescent="0.3">
      <c r="A96" s="9">
        <v>88</v>
      </c>
      <c r="B96" s="10">
        <f t="shared" ca="1" si="1"/>
        <v>7.7076710377470284E-2</v>
      </c>
      <c r="C96" s="10">
        <f ca="1">NPV(B96,Project_FCF!C18:J18)+Project_FCF!B18</f>
        <v>963.23509864388097</v>
      </c>
      <c r="D96" s="4"/>
      <c r="E96" s="4"/>
    </row>
    <row r="97" spans="1:5" x14ac:dyDescent="0.3">
      <c r="A97" s="9">
        <v>89</v>
      </c>
      <c r="B97" s="10">
        <f t="shared" ca="1" si="1"/>
        <v>9.817930723906404E-2</v>
      </c>
      <c r="C97" s="10">
        <f ca="1">NPV(B97,Project_FCF!C18:J18)+Project_FCF!B18</f>
        <v>795.82283933164922</v>
      </c>
      <c r="D97" s="4"/>
      <c r="E97" s="4"/>
    </row>
    <row r="98" spans="1:5" x14ac:dyDescent="0.3">
      <c r="A98" s="9">
        <v>90</v>
      </c>
      <c r="B98" s="10">
        <f t="shared" ca="1" si="1"/>
        <v>7.635264907167516E-2</v>
      </c>
      <c r="C98" s="10">
        <f ca="1">NPV(B98,Project_FCF!C18:J18)+Project_FCF!B18</f>
        <v>969.48988933087799</v>
      </c>
      <c r="D98" s="4"/>
      <c r="E98" s="4"/>
    </row>
    <row r="99" spans="1:5" x14ac:dyDescent="0.3">
      <c r="A99" s="9">
        <v>91</v>
      </c>
      <c r="B99" s="10">
        <f t="shared" ca="1" si="1"/>
        <v>7.202442011001936E-2</v>
      </c>
      <c r="C99" s="10">
        <f ca="1">NPV(B99,Project_FCF!C18:J18)+Project_FCF!B18</f>
        <v>1007.6428406291745</v>
      </c>
      <c r="D99" s="4"/>
      <c r="E99" s="4"/>
    </row>
    <row r="100" spans="1:5" x14ac:dyDescent="0.3">
      <c r="A100" s="9">
        <v>92</v>
      </c>
      <c r="B100" s="10">
        <f t="shared" ca="1" si="1"/>
        <v>9.2947594327319111E-2</v>
      </c>
      <c r="C100" s="10">
        <f ca="1">NPV(B100,Project_FCF!C18:J18)+Project_FCF!B18</f>
        <v>834.7750363380103</v>
      </c>
      <c r="D100" s="4"/>
      <c r="E100" s="4"/>
    </row>
    <row r="101" spans="1:5" x14ac:dyDescent="0.3">
      <c r="A101" s="9">
        <v>93</v>
      </c>
      <c r="B101" s="10">
        <f t="shared" ca="1" si="1"/>
        <v>8.80701168086373E-2</v>
      </c>
      <c r="C101" s="10">
        <f ca="1">NPV(B101,Project_FCF!C18:J18)+Project_FCF!B18</f>
        <v>872.55562431326985</v>
      </c>
      <c r="D101" s="4"/>
      <c r="E101" s="4"/>
    </row>
    <row r="102" spans="1:5" x14ac:dyDescent="0.3">
      <c r="A102" s="9">
        <v>94</v>
      </c>
      <c r="B102" s="10">
        <f t="shared" ca="1" si="1"/>
        <v>9.6402974925259441E-2</v>
      </c>
      <c r="C102" s="10">
        <f ca="1">NPV(B102,Project_FCF!C18:J18)+Project_FCF!B18</f>
        <v>808.87035634984773</v>
      </c>
      <c r="D102" s="4"/>
      <c r="E102" s="4"/>
    </row>
    <row r="103" spans="1:5" x14ac:dyDescent="0.3">
      <c r="A103" s="9">
        <v>95</v>
      </c>
      <c r="B103" s="10">
        <f t="shared" ca="1" si="1"/>
        <v>8.8080794936184467E-2</v>
      </c>
      <c r="C103" s="10">
        <f ca="1">NPV(B103,Project_FCF!C18:J18)+Project_FCF!B18</f>
        <v>872.47132045961871</v>
      </c>
      <c r="D103" s="4"/>
      <c r="E103" s="4"/>
    </row>
    <row r="104" spans="1:5" x14ac:dyDescent="0.3">
      <c r="A104" s="9">
        <v>96</v>
      </c>
      <c r="B104" s="10">
        <f t="shared" ca="1" si="1"/>
        <v>8.3779838353437011E-2</v>
      </c>
      <c r="C104" s="10">
        <f ca="1">NPV(B104,Project_FCF!C18:J18)+Project_FCF!B18</f>
        <v>907.0082802095435</v>
      </c>
      <c r="D104" s="4"/>
      <c r="E104" s="4"/>
    </row>
    <row r="105" spans="1:5" x14ac:dyDescent="0.3">
      <c r="A105" s="9">
        <v>97</v>
      </c>
      <c r="B105" s="10">
        <f t="shared" ca="1" si="1"/>
        <v>7.4903871010846348E-2</v>
      </c>
      <c r="C105" s="10">
        <f ca="1">NPV(B105,Project_FCF!C18:J18)+Project_FCF!B18</f>
        <v>982.11410313326178</v>
      </c>
      <c r="D105" s="4"/>
      <c r="E105" s="4"/>
    </row>
    <row r="106" spans="1:5" x14ac:dyDescent="0.3">
      <c r="A106" s="9">
        <v>98</v>
      </c>
      <c r="B106" s="10">
        <f t="shared" ca="1" si="1"/>
        <v>6.4352761869177114E-2</v>
      </c>
      <c r="C106" s="10">
        <f ca="1">NPV(B106,Project_FCF!C18:J18)+Project_FCF!B18</f>
        <v>1078.6097379822895</v>
      </c>
      <c r="D106" s="4"/>
      <c r="E106" s="4"/>
    </row>
    <row r="107" spans="1:5" x14ac:dyDescent="0.3">
      <c r="A107" s="9">
        <v>99</v>
      </c>
      <c r="B107" s="10">
        <f t="shared" ca="1" si="1"/>
        <v>9.8575447547080183E-2</v>
      </c>
      <c r="C107" s="10">
        <f ca="1">NPV(B107,Project_FCF!C18:J18)+Project_FCF!B18</f>
        <v>792.93765195927745</v>
      </c>
      <c r="D107" s="4"/>
      <c r="E107" s="4"/>
    </row>
    <row r="108" spans="1:5" x14ac:dyDescent="0.3">
      <c r="A108" s="9">
        <v>100</v>
      </c>
      <c r="B108" s="10">
        <f t="shared" ca="1" si="1"/>
        <v>8.9484820917877378E-2</v>
      </c>
      <c r="C108" s="10">
        <f ca="1">NPV(B108,Project_FCF!C18:J18)+Project_FCF!B18</f>
        <v>861.4480010285904</v>
      </c>
      <c r="D108" s="4"/>
      <c r="E108" s="4"/>
    </row>
    <row r="109" spans="1:5" x14ac:dyDescent="0.3">
      <c r="A109" s="9">
        <v>101</v>
      </c>
      <c r="B109" s="10">
        <f t="shared" ca="1" si="1"/>
        <v>9.4350422335798101E-2</v>
      </c>
      <c r="C109" s="10">
        <f ca="1">NPV(B109,Project_FCF!C18:J18)+Project_FCF!B18</f>
        <v>824.17371241763249</v>
      </c>
      <c r="D109" s="4"/>
      <c r="E109" s="4"/>
    </row>
    <row r="110" spans="1:5" x14ac:dyDescent="0.3">
      <c r="A110" s="9">
        <v>102</v>
      </c>
      <c r="B110" s="10">
        <f t="shared" ca="1" si="1"/>
        <v>9.7666401131580732E-2</v>
      </c>
      <c r="C110" s="10">
        <f ca="1">NPV(B110,Project_FCF!C18:J18)+Project_FCF!B18</f>
        <v>799.57170770142488</v>
      </c>
      <c r="D110" s="4"/>
      <c r="E110" s="4"/>
    </row>
    <row r="111" spans="1:5" x14ac:dyDescent="0.3">
      <c r="A111" s="9">
        <v>103</v>
      </c>
      <c r="B111" s="10">
        <f t="shared" ca="1" si="1"/>
        <v>9.5046014373873638E-2</v>
      </c>
      <c r="C111" s="10">
        <f ca="1">NPV(B111,Project_FCF!C18:J18)+Project_FCF!B18</f>
        <v>818.96002883657684</v>
      </c>
      <c r="D111" s="4"/>
      <c r="E111" s="4"/>
    </row>
    <row r="112" spans="1:5" x14ac:dyDescent="0.3">
      <c r="A112" s="9">
        <v>104</v>
      </c>
      <c r="B112" s="10">
        <f t="shared" ca="1" si="1"/>
        <v>7.105960315125133E-2</v>
      </c>
      <c r="C112" s="10">
        <f ca="1">NPV(B112,Project_FCF!C18:J18)+Project_FCF!B18</f>
        <v>1016.3292278601318</v>
      </c>
      <c r="D112" s="4"/>
      <c r="E112" s="4"/>
    </row>
    <row r="113" spans="1:5" x14ac:dyDescent="0.3">
      <c r="A113" s="9">
        <v>105</v>
      </c>
      <c r="B113" s="10">
        <f t="shared" ca="1" si="1"/>
        <v>9.4605930876142441E-2</v>
      </c>
      <c r="C113" s="10">
        <f ca="1">NPV(B113,Project_FCF!C18:J18)+Project_FCF!B18</f>
        <v>822.25529981854288</v>
      </c>
      <c r="D113" s="4"/>
      <c r="E113" s="4"/>
    </row>
    <row r="114" spans="1:5" x14ac:dyDescent="0.3">
      <c r="A114" s="9">
        <v>106</v>
      </c>
      <c r="B114" s="10">
        <f t="shared" ca="1" si="1"/>
        <v>7.7229001168584957E-2</v>
      </c>
      <c r="C114" s="10">
        <f ca="1">NPV(B114,Project_FCF!C18:J18)+Project_FCF!B18</f>
        <v>961.92412487454749</v>
      </c>
      <c r="D114" s="4"/>
      <c r="E114" s="4"/>
    </row>
    <row r="115" spans="1:5" x14ac:dyDescent="0.3">
      <c r="A115" s="9">
        <v>107</v>
      </c>
      <c r="B115" s="10">
        <f t="shared" ca="1" si="1"/>
        <v>6.5036054820116207E-2</v>
      </c>
      <c r="C115" s="10">
        <f ca="1">NPV(B115,Project_FCF!C18:J18)+Project_FCF!B18</f>
        <v>1072.1095234396989</v>
      </c>
      <c r="D115" s="4"/>
      <c r="E115" s="4"/>
    </row>
    <row r="116" spans="1:5" x14ac:dyDescent="0.3">
      <c r="A116" s="9">
        <v>108</v>
      </c>
      <c r="B116" s="10">
        <f t="shared" ca="1" si="1"/>
        <v>9.2656287841594132E-2</v>
      </c>
      <c r="C116" s="10">
        <f ca="1">NPV(B116,Project_FCF!C18:J18)+Project_FCF!B18</f>
        <v>836.99110671883545</v>
      </c>
      <c r="D116" s="4"/>
      <c r="E116" s="4"/>
    </row>
    <row r="117" spans="1:5" x14ac:dyDescent="0.3">
      <c r="A117" s="9">
        <v>109</v>
      </c>
      <c r="B117" s="10">
        <f t="shared" ca="1" si="1"/>
        <v>7.3671673394726064E-2</v>
      </c>
      <c r="C117" s="10">
        <f ca="1">NPV(B117,Project_FCF!C18:J18)+Project_FCF!B18</f>
        <v>992.96663853017731</v>
      </c>
      <c r="D117" s="4"/>
      <c r="E117" s="4"/>
    </row>
    <row r="118" spans="1:5" x14ac:dyDescent="0.3">
      <c r="A118" s="9">
        <v>110</v>
      </c>
      <c r="B118" s="10">
        <f t="shared" ca="1" si="1"/>
        <v>9.9742474308521512E-2</v>
      </c>
      <c r="C118" s="10">
        <f ca="1">NPV(B118,Project_FCF!C18:J18)+Project_FCF!B18</f>
        <v>784.48942154328051</v>
      </c>
      <c r="D118" s="4"/>
      <c r="E118" s="4"/>
    </row>
    <row r="119" spans="1:5" x14ac:dyDescent="0.3">
      <c r="A119" s="9">
        <v>111</v>
      </c>
      <c r="B119" s="10">
        <f t="shared" ca="1" si="1"/>
        <v>8.1785464471406735E-2</v>
      </c>
      <c r="C119" s="10">
        <f ca="1">NPV(B119,Project_FCF!C18:J18)+Project_FCF!B18</f>
        <v>923.42599867398962</v>
      </c>
      <c r="D119" s="4"/>
      <c r="E119" s="4"/>
    </row>
    <row r="120" spans="1:5" x14ac:dyDescent="0.3">
      <c r="A120" s="9">
        <v>112</v>
      </c>
      <c r="B120" s="10">
        <f t="shared" ca="1" si="1"/>
        <v>6.5796652451727389E-2</v>
      </c>
      <c r="C120" s="10">
        <f ca="1">NPV(B120,Project_FCF!C18:J18)+Project_FCF!B18</f>
        <v>1064.915948539187</v>
      </c>
      <c r="D120" s="4"/>
      <c r="E120" s="4"/>
    </row>
    <row r="121" spans="1:5" x14ac:dyDescent="0.3">
      <c r="A121" s="9">
        <v>113</v>
      </c>
      <c r="B121" s="10">
        <f t="shared" ca="1" si="1"/>
        <v>7.8863477809594948E-2</v>
      </c>
      <c r="C121" s="10">
        <f ca="1">NPV(B121,Project_FCF!C18:J18)+Project_FCF!B18</f>
        <v>947.95359198130836</v>
      </c>
      <c r="D121" s="4"/>
      <c r="E121" s="4"/>
    </row>
    <row r="122" spans="1:5" x14ac:dyDescent="0.3">
      <c r="A122" s="9">
        <v>114</v>
      </c>
      <c r="B122" s="10">
        <f t="shared" ca="1" si="1"/>
        <v>7.6254529782167707E-2</v>
      </c>
      <c r="C122" s="10">
        <f ca="1">NPV(B122,Project_FCF!C18:J18)+Project_FCF!B18</f>
        <v>970.34027221804263</v>
      </c>
      <c r="D122" s="4"/>
      <c r="E122" s="4"/>
    </row>
    <row r="123" spans="1:5" x14ac:dyDescent="0.3">
      <c r="A123" s="9">
        <v>115</v>
      </c>
      <c r="B123" s="10">
        <f t="shared" ca="1" si="1"/>
        <v>8.7099967242793203E-2</v>
      </c>
      <c r="C123" s="10">
        <f ca="1">NPV(B123,Project_FCF!C18:J18)+Project_FCF!B18</f>
        <v>880.24461693759713</v>
      </c>
      <c r="D123" s="4"/>
      <c r="E123" s="4"/>
    </row>
    <row r="124" spans="1:5" x14ac:dyDescent="0.3">
      <c r="A124" s="9">
        <v>116</v>
      </c>
      <c r="B124" s="10">
        <f t="shared" ca="1" si="1"/>
        <v>9.8603621351268655E-2</v>
      </c>
      <c r="C124" s="10">
        <f ca="1">NPV(B124,Project_FCF!C18:J18)+Project_FCF!B18</f>
        <v>792.73279391296683</v>
      </c>
      <c r="D124" s="4"/>
      <c r="E124" s="4"/>
    </row>
    <row r="125" spans="1:5" x14ac:dyDescent="0.3">
      <c r="A125" s="9">
        <v>117</v>
      </c>
      <c r="B125" s="10">
        <f t="shared" ca="1" si="1"/>
        <v>7.5865482551499983E-2</v>
      </c>
      <c r="C125" s="10">
        <f ca="1">NPV(B125,Project_FCF!C18:J18)+Project_FCF!B18</f>
        <v>973.71863518604118</v>
      </c>
      <c r="D125" s="4"/>
      <c r="E125" s="4"/>
    </row>
    <row r="126" spans="1:5" x14ac:dyDescent="0.3">
      <c r="A126" s="9">
        <v>118</v>
      </c>
      <c r="B126" s="10">
        <f t="shared" ca="1" si="1"/>
        <v>7.5512891680486097E-2</v>
      </c>
      <c r="C126" s="10">
        <f ca="1">NPV(B126,Project_FCF!C18:J18)+Project_FCF!B18</f>
        <v>976.78949371907811</v>
      </c>
      <c r="D126" s="4"/>
      <c r="E126" s="4"/>
    </row>
    <row r="127" spans="1:5" x14ac:dyDescent="0.3">
      <c r="A127" s="9">
        <v>119</v>
      </c>
      <c r="B127" s="10">
        <f t="shared" ca="1" si="1"/>
        <v>8.7361070339123617E-2</v>
      </c>
      <c r="C127" s="10">
        <f ca="1">NPV(B127,Project_FCF!C18:J18)+Project_FCF!B18</f>
        <v>878.16944211312489</v>
      </c>
      <c r="D127" s="4"/>
      <c r="E127" s="4"/>
    </row>
    <row r="128" spans="1:5" x14ac:dyDescent="0.3">
      <c r="A128" s="9">
        <v>120</v>
      </c>
      <c r="B128" s="10">
        <f t="shared" ca="1" si="1"/>
        <v>8.4635751820012831E-2</v>
      </c>
      <c r="C128" s="10">
        <f ca="1">NPV(B128,Project_FCF!C18:J18)+Project_FCF!B18</f>
        <v>900.04145557096945</v>
      </c>
      <c r="D128" s="4"/>
      <c r="E128" s="4"/>
    </row>
    <row r="129" spans="1:5" x14ac:dyDescent="0.3">
      <c r="A129" s="9">
        <v>121</v>
      </c>
      <c r="B129" s="10">
        <f t="shared" ca="1" si="1"/>
        <v>8.2495592380480876E-2</v>
      </c>
      <c r="C129" s="10">
        <f ca="1">NPV(B129,Project_FCF!C18:J18)+Project_FCF!B18</f>
        <v>917.55046605666689</v>
      </c>
      <c r="D129" s="4"/>
      <c r="E129" s="4"/>
    </row>
    <row r="130" spans="1:5" x14ac:dyDescent="0.3">
      <c r="A130" s="9">
        <v>122</v>
      </c>
      <c r="B130" s="10">
        <f t="shared" ca="1" si="1"/>
        <v>7.9157507125937401E-2</v>
      </c>
      <c r="C130" s="10">
        <f ca="1">NPV(B130,Project_FCF!C18:J18)+Project_FCF!B18</f>
        <v>945.45962758882274</v>
      </c>
      <c r="D130" s="4"/>
      <c r="E130" s="4"/>
    </row>
    <row r="131" spans="1:5" x14ac:dyDescent="0.3">
      <c r="A131" s="9">
        <v>123</v>
      </c>
      <c r="B131" s="10">
        <f t="shared" ca="1" si="1"/>
        <v>9.2267418354814557E-2</v>
      </c>
      <c r="C131" s="10">
        <f ca="1">NPV(B131,Project_FCF!C18:J18)+Project_FCF!B18</f>
        <v>839.95726563440553</v>
      </c>
      <c r="D131" s="4"/>
      <c r="E131" s="4"/>
    </row>
    <row r="132" spans="1:5" x14ac:dyDescent="0.3">
      <c r="A132" s="9">
        <v>124</v>
      </c>
      <c r="B132" s="10">
        <f t="shared" ca="1" si="1"/>
        <v>7.4060101248219254E-2</v>
      </c>
      <c r="C132" s="10">
        <f ca="1">NPV(B132,Project_FCF!C18:J18)+Project_FCF!B18</f>
        <v>989.53403206475514</v>
      </c>
      <c r="D132" s="4"/>
      <c r="E132" s="4"/>
    </row>
    <row r="133" spans="1:5" x14ac:dyDescent="0.3">
      <c r="A133" s="9">
        <v>125</v>
      </c>
      <c r="B133" s="10">
        <f t="shared" ca="1" si="1"/>
        <v>8.0305388260265176E-2</v>
      </c>
      <c r="C133" s="10">
        <f ca="1">NPV(B133,Project_FCF!C18:J18)+Project_FCF!B18</f>
        <v>935.77886251246537</v>
      </c>
      <c r="D133" s="4"/>
      <c r="E133" s="4"/>
    </row>
    <row r="134" spans="1:5" x14ac:dyDescent="0.3">
      <c r="A134" s="9">
        <v>126</v>
      </c>
      <c r="B134" s="10">
        <f t="shared" ca="1" si="1"/>
        <v>0.10334487631010048</v>
      </c>
      <c r="C134" s="10">
        <f ca="1">NPV(B134,Project_FCF!C18:J18)+Project_FCF!B18</f>
        <v>758.88909180865653</v>
      </c>
      <c r="D134" s="4"/>
      <c r="E134" s="4"/>
    </row>
    <row r="135" spans="1:5" x14ac:dyDescent="0.3">
      <c r="A135" s="9">
        <v>127</v>
      </c>
      <c r="B135" s="10">
        <f t="shared" ca="1" si="1"/>
        <v>9.8322184548416319E-2</v>
      </c>
      <c r="C135" s="10">
        <f ca="1">NPV(B135,Project_FCF!C18:J18)+Project_FCF!B18</f>
        <v>794.78120263163464</v>
      </c>
      <c r="D135" s="4"/>
      <c r="E135" s="4"/>
    </row>
    <row r="136" spans="1:5" x14ac:dyDescent="0.3">
      <c r="A136" s="9">
        <v>128</v>
      </c>
      <c r="B136" s="10">
        <f t="shared" ca="1" si="1"/>
        <v>9.5707877643306377E-2</v>
      </c>
      <c r="C136" s="10">
        <f ca="1">NPV(B136,Project_FCF!C18:J18)+Project_FCF!B18</f>
        <v>814.02539325031671</v>
      </c>
      <c r="D136" s="4"/>
      <c r="E136" s="4"/>
    </row>
    <row r="137" spans="1:5" x14ac:dyDescent="0.3">
      <c r="A137" s="9">
        <v>129</v>
      </c>
      <c r="B137" s="10">
        <f t="shared" ref="B137:B200" ca="1" si="2">$B$4+RAND()*($B$5-$B$4)</f>
        <v>9.8636626788250831E-2</v>
      </c>
      <c r="C137" s="10">
        <f ca="1">NPV(B137,Project_FCF!C18:J18)+Project_FCF!B18</f>
        <v>792.49286111490574</v>
      </c>
      <c r="D137" s="4"/>
      <c r="E137" s="4"/>
    </row>
    <row r="138" spans="1:5" x14ac:dyDescent="0.3">
      <c r="A138" s="9">
        <v>130</v>
      </c>
      <c r="B138" s="10">
        <f t="shared" ca="1" si="2"/>
        <v>8.5987233575153171E-2</v>
      </c>
      <c r="C138" s="10">
        <f ca="1">NPV(B138,Project_FCF!C18:J18)+Project_FCF!B18</f>
        <v>889.13636348621026</v>
      </c>
      <c r="D138" s="4"/>
      <c r="E138" s="4"/>
    </row>
    <row r="139" spans="1:5" x14ac:dyDescent="0.3">
      <c r="A139" s="9">
        <v>131</v>
      </c>
      <c r="B139" s="10">
        <f t="shared" ca="1" si="2"/>
        <v>7.7577757642704109E-2</v>
      </c>
      <c r="C139" s="10">
        <f ca="1">NPV(B139,Project_FCF!C18:J18)+Project_FCF!B18</f>
        <v>958.92788840291701</v>
      </c>
      <c r="D139" s="4"/>
      <c r="E139" s="4"/>
    </row>
    <row r="140" spans="1:5" x14ac:dyDescent="0.3">
      <c r="A140" s="9">
        <v>132</v>
      </c>
      <c r="B140" s="10">
        <f t="shared" ca="1" si="2"/>
        <v>7.4008176536836681E-2</v>
      </c>
      <c r="C140" s="10">
        <f ca="1">NPV(B140,Project_FCF!C18:J18)+Project_FCF!B18</f>
        <v>989.9922830114981</v>
      </c>
      <c r="D140" s="4"/>
      <c r="E140" s="4"/>
    </row>
    <row r="141" spans="1:5" x14ac:dyDescent="0.3">
      <c r="A141" s="9">
        <v>133</v>
      </c>
      <c r="B141" s="10">
        <f t="shared" ca="1" si="2"/>
        <v>8.4624456306971796E-2</v>
      </c>
      <c r="C141" s="10">
        <f ca="1">NPV(B141,Project_FCF!C18:J18)+Project_FCF!B18</f>
        <v>900.13309035798193</v>
      </c>
      <c r="D141" s="4"/>
      <c r="E141" s="4"/>
    </row>
    <row r="142" spans="1:5" x14ac:dyDescent="0.3">
      <c r="A142" s="9">
        <v>134</v>
      </c>
      <c r="B142" s="10">
        <f t="shared" ca="1" si="2"/>
        <v>7.5924789498276288E-2</v>
      </c>
      <c r="C142" s="10">
        <f ca="1">NPV(B142,Project_FCF!C18:J18)+Project_FCF!B18</f>
        <v>973.20295490453577</v>
      </c>
      <c r="D142" s="4"/>
      <c r="E142" s="4"/>
    </row>
    <row r="143" spans="1:5" x14ac:dyDescent="0.3">
      <c r="A143" s="9">
        <v>135</v>
      </c>
      <c r="B143" s="10">
        <f t="shared" ca="1" si="2"/>
        <v>8.8070756507631173E-2</v>
      </c>
      <c r="C143" s="10">
        <f ca="1">NPV(B143,Project_FCF!C18:J18)+Project_FCF!B18</f>
        <v>872.5505736879461</v>
      </c>
      <c r="D143" s="4"/>
      <c r="E143" s="4"/>
    </row>
    <row r="144" spans="1:5" x14ac:dyDescent="0.3">
      <c r="A144" s="9">
        <v>136</v>
      </c>
      <c r="B144" s="10">
        <f t="shared" ca="1" si="2"/>
        <v>9.685312476302263E-2</v>
      </c>
      <c r="C144" s="10">
        <f ca="1">NPV(B144,Project_FCF!C18:J18)+Project_FCF!B18</f>
        <v>805.54680398709115</v>
      </c>
      <c r="D144" s="4"/>
      <c r="E144" s="4"/>
    </row>
    <row r="145" spans="1:5" x14ac:dyDescent="0.3">
      <c r="A145" s="9">
        <v>137</v>
      </c>
      <c r="B145" s="10">
        <f t="shared" ca="1" si="2"/>
        <v>0.10349545875439739</v>
      </c>
      <c r="C145" s="10">
        <f ca="1">NPV(B145,Project_FCF!C18:J18)+Project_FCF!B18</f>
        <v>757.83447431044033</v>
      </c>
      <c r="D145" s="4"/>
      <c r="E145" s="4"/>
    </row>
    <row r="146" spans="1:5" x14ac:dyDescent="0.3">
      <c r="A146" s="9">
        <v>138</v>
      </c>
      <c r="B146" s="10">
        <f t="shared" ca="1" si="2"/>
        <v>0.10153999513438765</v>
      </c>
      <c r="C146" s="10">
        <f ca="1">NPV(B146,Project_FCF!C18:J18)+Project_FCF!B18</f>
        <v>771.62596754387755</v>
      </c>
      <c r="D146" s="4"/>
      <c r="E146" s="4"/>
    </row>
    <row r="147" spans="1:5" x14ac:dyDescent="0.3">
      <c r="A147" s="9">
        <v>139</v>
      </c>
      <c r="B147" s="10">
        <f t="shared" ca="1" si="2"/>
        <v>8.062378622537654E-2</v>
      </c>
      <c r="C147" s="10">
        <f ca="1">NPV(B147,Project_FCF!C18:J18)+Project_FCF!B18</f>
        <v>933.1092209035728</v>
      </c>
      <c r="D147" s="4"/>
      <c r="E147" s="4"/>
    </row>
    <row r="148" spans="1:5" x14ac:dyDescent="0.3">
      <c r="A148" s="9">
        <v>140</v>
      </c>
      <c r="B148" s="10">
        <f t="shared" ca="1" si="2"/>
        <v>9.1139376008533363E-2</v>
      </c>
      <c r="C148" s="10">
        <f ca="1">NPV(B148,Project_FCF!C18:J18)+Project_FCF!B18</f>
        <v>848.61290941730454</v>
      </c>
      <c r="D148" s="4"/>
      <c r="E148" s="4"/>
    </row>
    <row r="149" spans="1:5" x14ac:dyDescent="0.3">
      <c r="A149" s="9">
        <v>141</v>
      </c>
      <c r="B149" s="10">
        <f t="shared" ca="1" si="2"/>
        <v>7.4982203521721608E-2</v>
      </c>
      <c r="C149" s="10">
        <f ca="1">NPV(B149,Project_FCF!C18:J18)+Project_FCF!B18</f>
        <v>981.42779768100536</v>
      </c>
      <c r="D149" s="4"/>
      <c r="E149" s="4"/>
    </row>
    <row r="150" spans="1:5" x14ac:dyDescent="0.3">
      <c r="A150" s="9">
        <v>142</v>
      </c>
      <c r="B150" s="10">
        <f t="shared" ca="1" si="2"/>
        <v>8.2803713906333037E-2</v>
      </c>
      <c r="C150" s="10">
        <f ca="1">NPV(B150,Project_FCF!C18:J18)+Project_FCF!B18</f>
        <v>915.01136114221094</v>
      </c>
      <c r="D150" s="4"/>
      <c r="E150" s="4"/>
    </row>
    <row r="151" spans="1:5" x14ac:dyDescent="0.3">
      <c r="A151" s="9">
        <v>143</v>
      </c>
      <c r="B151" s="10">
        <f t="shared" ca="1" si="2"/>
        <v>0.10065211451717455</v>
      </c>
      <c r="C151" s="10">
        <f ca="1">NPV(B151,Project_FCF!C18:J18)+Project_FCF!B18</f>
        <v>777.95739320865187</v>
      </c>
      <c r="D151" s="4"/>
      <c r="E151" s="4"/>
    </row>
    <row r="152" spans="1:5" x14ac:dyDescent="0.3">
      <c r="A152" s="9">
        <v>144</v>
      </c>
      <c r="B152" s="10">
        <f t="shared" ca="1" si="2"/>
        <v>8.5307133895055454E-2</v>
      </c>
      <c r="C152" s="10">
        <f ca="1">NPV(B152,Project_FCF!C18:J18)+Project_FCF!B18</f>
        <v>894.60953384340996</v>
      </c>
      <c r="D152" s="4"/>
      <c r="E152" s="4"/>
    </row>
    <row r="153" spans="1:5" x14ac:dyDescent="0.3">
      <c r="A153" s="9">
        <v>145</v>
      </c>
      <c r="B153" s="10">
        <f t="shared" ca="1" si="2"/>
        <v>0.10209229111472375</v>
      </c>
      <c r="C153" s="10">
        <f ca="1">NPV(B153,Project_FCF!C18:J18)+Project_FCF!B18</f>
        <v>767.70952679948641</v>
      </c>
      <c r="D153" s="4"/>
      <c r="E153" s="4"/>
    </row>
    <row r="154" spans="1:5" x14ac:dyDescent="0.3">
      <c r="A154" s="9">
        <v>146</v>
      </c>
      <c r="B154" s="10">
        <f t="shared" ca="1" si="2"/>
        <v>9.869660964084051E-2</v>
      </c>
      <c r="C154" s="10">
        <f ca="1">NPV(B154,Project_FCF!C18:J18)+Project_FCF!B18</f>
        <v>792.05697394030267</v>
      </c>
      <c r="D154" s="4"/>
      <c r="E154" s="4"/>
    </row>
    <row r="155" spans="1:5" x14ac:dyDescent="0.3">
      <c r="A155" s="9">
        <v>147</v>
      </c>
      <c r="B155" s="10">
        <f t="shared" ca="1" si="2"/>
        <v>0.10259571395893821</v>
      </c>
      <c r="C155" s="10">
        <f ca="1">NPV(B155,Project_FCF!C18:J18)+Project_FCF!B18</f>
        <v>764.15423809470508</v>
      </c>
      <c r="D155" s="4"/>
      <c r="E155" s="4"/>
    </row>
    <row r="156" spans="1:5" x14ac:dyDescent="0.3">
      <c r="A156" s="9">
        <v>148</v>
      </c>
      <c r="B156" s="10">
        <f t="shared" ca="1" si="2"/>
        <v>6.6617112084992325E-2</v>
      </c>
      <c r="C156" s="10">
        <f ca="1">NPV(B156,Project_FCF!C18:J18)+Project_FCF!B18</f>
        <v>1057.2055311229435</v>
      </c>
      <c r="D156" s="4"/>
      <c r="E156" s="4"/>
    </row>
    <row r="157" spans="1:5" x14ac:dyDescent="0.3">
      <c r="A157" s="9">
        <v>149</v>
      </c>
      <c r="B157" s="10">
        <f t="shared" ca="1" si="2"/>
        <v>7.1474851043262663E-2</v>
      </c>
      <c r="C157" s="10">
        <f ca="1">NPV(B157,Project_FCF!C18:J18)+Project_FCF!B18</f>
        <v>1012.5824546261067</v>
      </c>
      <c r="D157" s="4"/>
      <c r="E157" s="4"/>
    </row>
    <row r="158" spans="1:5" x14ac:dyDescent="0.3">
      <c r="A158" s="9">
        <v>150</v>
      </c>
      <c r="B158" s="10">
        <f t="shared" ca="1" si="2"/>
        <v>0.10383469288639578</v>
      </c>
      <c r="C158" s="10">
        <f ca="1">NPV(B158,Project_FCF!C18:J18)+Project_FCF!B18</f>
        <v>755.46311798767124</v>
      </c>
      <c r="D158" s="4"/>
      <c r="E158" s="4"/>
    </row>
    <row r="159" spans="1:5" x14ac:dyDescent="0.3">
      <c r="A159" s="9">
        <v>151</v>
      </c>
      <c r="B159" s="10">
        <f t="shared" ca="1" si="2"/>
        <v>9.062727868237791E-2</v>
      </c>
      <c r="C159" s="10">
        <f ca="1">NPV(B159,Project_FCF!C18:J18)+Project_FCF!B18</f>
        <v>852.5676622373735</v>
      </c>
      <c r="D159" s="4"/>
      <c r="E159" s="4"/>
    </row>
    <row r="160" spans="1:5" x14ac:dyDescent="0.3">
      <c r="A160" s="9">
        <v>152</v>
      </c>
      <c r="B160" s="10">
        <f t="shared" ca="1" si="2"/>
        <v>0.10169264380627716</v>
      </c>
      <c r="C160" s="10">
        <f ca="1">NPV(B160,Project_FCF!C18:J18)+Project_FCF!B18</f>
        <v>770.54182705517633</v>
      </c>
      <c r="D160" s="4"/>
      <c r="E160" s="4"/>
    </row>
    <row r="161" spans="1:5" x14ac:dyDescent="0.3">
      <c r="A161" s="9">
        <v>153</v>
      </c>
      <c r="B161" s="10">
        <f t="shared" ca="1" si="2"/>
        <v>7.4092584753176954E-2</v>
      </c>
      <c r="C161" s="10">
        <f ca="1">NPV(B161,Project_FCF!C18:J18)+Project_FCF!B18</f>
        <v>989.24745221999046</v>
      </c>
      <c r="D161" s="4"/>
      <c r="E161" s="4"/>
    </row>
    <row r="162" spans="1:5" x14ac:dyDescent="0.3">
      <c r="A162" s="9">
        <v>154</v>
      </c>
      <c r="B162" s="10">
        <f t="shared" ca="1" si="2"/>
        <v>9.200430613026786E-2</v>
      </c>
      <c r="C162" s="10">
        <f ca="1">NPV(B162,Project_FCF!C18:J18)+Project_FCF!B18</f>
        <v>841.96932587013703</v>
      </c>
      <c r="D162" s="4"/>
      <c r="E162" s="4"/>
    </row>
    <row r="163" spans="1:5" x14ac:dyDescent="0.3">
      <c r="A163" s="9">
        <v>155</v>
      </c>
      <c r="B163" s="10">
        <f t="shared" ca="1" si="2"/>
        <v>7.8175523007103925E-2</v>
      </c>
      <c r="C163" s="10">
        <f ca="1">NPV(B163,Project_FCF!C18:J18)+Project_FCF!B18</f>
        <v>953.81167944690492</v>
      </c>
      <c r="D163" s="4"/>
      <c r="E163" s="4"/>
    </row>
    <row r="164" spans="1:5" x14ac:dyDescent="0.3">
      <c r="A164" s="9">
        <v>156</v>
      </c>
      <c r="B164" s="10">
        <f t="shared" ca="1" si="2"/>
        <v>8.0520463431333178E-2</v>
      </c>
      <c r="C164" s="10">
        <f ca="1">NPV(B164,Project_FCF!C18:J18)+Project_FCF!B18</f>
        <v>933.97480245100792</v>
      </c>
      <c r="D164" s="4"/>
      <c r="E164" s="4"/>
    </row>
    <row r="165" spans="1:5" x14ac:dyDescent="0.3">
      <c r="A165" s="9">
        <v>157</v>
      </c>
      <c r="B165" s="10">
        <f t="shared" ca="1" si="2"/>
        <v>0.10087261198441758</v>
      </c>
      <c r="C165" s="10">
        <f ca="1">NPV(B165,Project_FCF!C18:J18)+Project_FCF!B18</f>
        <v>776.3809628632107</v>
      </c>
      <c r="D165" s="4"/>
      <c r="E165" s="4"/>
    </row>
    <row r="166" spans="1:5" x14ac:dyDescent="0.3">
      <c r="A166" s="9">
        <v>158</v>
      </c>
      <c r="B166" s="10">
        <f t="shared" ca="1" si="2"/>
        <v>7.4211542935727681E-2</v>
      </c>
      <c r="C166" s="10">
        <f ca="1">NPV(B166,Project_FCF!C18:J18)+Project_FCF!B18</f>
        <v>988.19860015316249</v>
      </c>
      <c r="D166" s="4"/>
      <c r="E166" s="4"/>
    </row>
    <row r="167" spans="1:5" x14ac:dyDescent="0.3">
      <c r="A167" s="9">
        <v>159</v>
      </c>
      <c r="B167" s="10">
        <f t="shared" ca="1" si="2"/>
        <v>9.3290410415374378E-2</v>
      </c>
      <c r="C167" s="10">
        <f ca="1">NPV(B167,Project_FCF!C18:J18)+Project_FCF!B18</f>
        <v>832.17358151203416</v>
      </c>
      <c r="D167" s="4"/>
      <c r="E167" s="4"/>
    </row>
    <row r="168" spans="1:5" x14ac:dyDescent="0.3">
      <c r="A168" s="9">
        <v>160</v>
      </c>
      <c r="B168" s="10">
        <f t="shared" ca="1" si="2"/>
        <v>6.7197495332835103E-2</v>
      </c>
      <c r="C168" s="10">
        <f ca="1">NPV(B168,Project_FCF!C18:J18)+Project_FCF!B18</f>
        <v>1051.7819831749441</v>
      </c>
      <c r="D168" s="4"/>
      <c r="E168" s="4"/>
    </row>
    <row r="169" spans="1:5" x14ac:dyDescent="0.3">
      <c r="A169" s="9">
        <v>161</v>
      </c>
      <c r="B169" s="10">
        <f t="shared" ca="1" si="2"/>
        <v>6.9842368277439518E-2</v>
      </c>
      <c r="C169" s="10">
        <f ca="1">NPV(B169,Project_FCF!C18:J18)+Project_FCF!B18</f>
        <v>1027.3845064862203</v>
      </c>
      <c r="D169" s="4"/>
      <c r="E169" s="4"/>
    </row>
    <row r="170" spans="1:5" x14ac:dyDescent="0.3">
      <c r="A170" s="9">
        <v>162</v>
      </c>
      <c r="B170" s="10">
        <f t="shared" ca="1" si="2"/>
        <v>9.5033549802415546E-2</v>
      </c>
      <c r="C170" s="10">
        <f ca="1">NPV(B170,Project_FCF!C18:J18)+Project_FCF!B18</f>
        <v>819.05320558104199</v>
      </c>
      <c r="D170" s="4"/>
      <c r="E170" s="4"/>
    </row>
    <row r="171" spans="1:5" x14ac:dyDescent="0.3">
      <c r="A171" s="9">
        <v>163</v>
      </c>
      <c r="B171" s="10">
        <f t="shared" ca="1" si="2"/>
        <v>9.1141795796962466E-2</v>
      </c>
      <c r="C171" s="10">
        <f ca="1">NPV(B171,Project_FCF!C18:J18)+Project_FCF!B18</f>
        <v>848.59425992128149</v>
      </c>
      <c r="D171" s="4"/>
      <c r="E171" s="4"/>
    </row>
    <row r="172" spans="1:5" x14ac:dyDescent="0.3">
      <c r="A172" s="9">
        <v>164</v>
      </c>
      <c r="B172" s="10">
        <f t="shared" ca="1" si="2"/>
        <v>6.8899729359550091E-2</v>
      </c>
      <c r="C172" s="10">
        <f ca="1">NPV(B172,Project_FCF!C18:J18)+Project_FCF!B18</f>
        <v>1036.0203754043744</v>
      </c>
      <c r="D172" s="4"/>
      <c r="E172" s="4"/>
    </row>
    <row r="173" spans="1:5" x14ac:dyDescent="0.3">
      <c r="A173" s="9">
        <v>165</v>
      </c>
      <c r="B173" s="10">
        <f t="shared" ca="1" si="2"/>
        <v>9.3047432403691316E-2</v>
      </c>
      <c r="C173" s="10">
        <f ca="1">NPV(B173,Project_FCF!C18:J18)+Project_FCF!B18</f>
        <v>834.01669573478966</v>
      </c>
      <c r="D173" s="4"/>
      <c r="E173" s="4"/>
    </row>
    <row r="174" spans="1:5" x14ac:dyDescent="0.3">
      <c r="A174" s="9">
        <v>166</v>
      </c>
      <c r="B174" s="10">
        <f t="shared" ca="1" si="2"/>
        <v>8.3073944337547639E-2</v>
      </c>
      <c r="C174" s="10">
        <f ca="1">NPV(B174,Project_FCF!C18:J18)+Project_FCF!B18</f>
        <v>912.78959460675583</v>
      </c>
      <c r="D174" s="4"/>
      <c r="E174" s="4"/>
    </row>
    <row r="175" spans="1:5" x14ac:dyDescent="0.3">
      <c r="A175" s="9">
        <v>167</v>
      </c>
      <c r="B175" s="10">
        <f t="shared" ca="1" si="2"/>
        <v>8.7406087993891199E-2</v>
      </c>
      <c r="C175" s="10">
        <f ca="1">NPV(B175,Project_FCF!C18:J18)+Project_FCF!B18</f>
        <v>877.81208561559333</v>
      </c>
      <c r="D175" s="4"/>
      <c r="E175" s="4"/>
    </row>
    <row r="176" spans="1:5" x14ac:dyDescent="0.3">
      <c r="A176" s="9">
        <v>168</v>
      </c>
      <c r="B176" s="10">
        <f t="shared" ca="1" si="2"/>
        <v>6.5000887186845185E-2</v>
      </c>
      <c r="C176" s="10">
        <f ca="1">NPV(B176,Project_FCF!C18:J18)+Project_FCF!B18</f>
        <v>1072.4432009039438</v>
      </c>
      <c r="D176" s="4"/>
      <c r="E176" s="4"/>
    </row>
    <row r="177" spans="1:5" x14ac:dyDescent="0.3">
      <c r="A177" s="9">
        <v>169</v>
      </c>
      <c r="B177" s="10">
        <f t="shared" ca="1" si="2"/>
        <v>7.5965460971510093E-2</v>
      </c>
      <c r="C177" s="10">
        <f ca="1">NPV(B177,Project_FCF!C18:J18)+Project_FCF!B18</f>
        <v>972.84945307316957</v>
      </c>
      <c r="D177" s="4"/>
      <c r="E177" s="4"/>
    </row>
    <row r="178" spans="1:5" x14ac:dyDescent="0.3">
      <c r="A178" s="9">
        <v>170</v>
      </c>
      <c r="B178" s="10">
        <f t="shared" ca="1" si="2"/>
        <v>6.5437058389638925E-2</v>
      </c>
      <c r="C178" s="10">
        <f ca="1">NPV(B178,Project_FCF!C18:J18)+Project_FCF!B18</f>
        <v>1068.3114124500378</v>
      </c>
      <c r="D178" s="4"/>
      <c r="E178" s="4"/>
    </row>
    <row r="179" spans="1:5" x14ac:dyDescent="0.3">
      <c r="A179" s="9">
        <v>171</v>
      </c>
      <c r="B179" s="10">
        <f t="shared" ca="1" si="2"/>
        <v>9.3738814081281541E-2</v>
      </c>
      <c r="C179" s="10">
        <f ca="1">NPV(B179,Project_FCF!C18:J18)+Project_FCF!B18</f>
        <v>828.78139765794253</v>
      </c>
      <c r="D179" s="4"/>
      <c r="E179" s="4"/>
    </row>
    <row r="180" spans="1:5" x14ac:dyDescent="0.3">
      <c r="A180" s="9">
        <v>172</v>
      </c>
      <c r="B180" s="10">
        <f t="shared" ca="1" si="2"/>
        <v>8.0588714113379784E-2</v>
      </c>
      <c r="C180" s="10">
        <f ca="1">NPV(B180,Project_FCF!C18:J18)+Project_FCF!B18</f>
        <v>933.40295619153721</v>
      </c>
      <c r="D180" s="4"/>
      <c r="E180" s="4"/>
    </row>
    <row r="181" spans="1:5" x14ac:dyDescent="0.3">
      <c r="A181" s="9">
        <v>173</v>
      </c>
      <c r="B181" s="10">
        <f t="shared" ca="1" si="2"/>
        <v>8.311298985811634E-2</v>
      </c>
      <c r="C181" s="10">
        <f ca="1">NPV(B181,Project_FCF!C18:J18)+Project_FCF!B18</f>
        <v>912.46896497586613</v>
      </c>
      <c r="D181" s="4"/>
      <c r="E181" s="4"/>
    </row>
    <row r="182" spans="1:5" x14ac:dyDescent="0.3">
      <c r="A182" s="9">
        <v>174</v>
      </c>
      <c r="B182" s="10">
        <f t="shared" ca="1" si="2"/>
        <v>6.7447423336979492E-2</v>
      </c>
      <c r="C182" s="10">
        <f ca="1">NPV(B182,Project_FCF!C18:J18)+Project_FCF!B18</f>
        <v>1049.4542621239439</v>
      </c>
      <c r="D182" s="4"/>
      <c r="E182" s="4"/>
    </row>
    <row r="183" spans="1:5" x14ac:dyDescent="0.3">
      <c r="A183" s="9">
        <v>175</v>
      </c>
      <c r="B183" s="10">
        <f t="shared" ca="1" si="2"/>
        <v>8.5544348553539401E-2</v>
      </c>
      <c r="C183" s="10">
        <f ca="1">NPV(B183,Project_FCF!C18:J18)+Project_FCF!B18</f>
        <v>892.69718717901924</v>
      </c>
      <c r="D183" s="4"/>
      <c r="E183" s="4"/>
    </row>
    <row r="184" spans="1:5" x14ac:dyDescent="0.3">
      <c r="A184" s="9">
        <v>176</v>
      </c>
      <c r="B184" s="10">
        <f t="shared" ca="1" si="2"/>
        <v>9.2677131551686096E-2</v>
      </c>
      <c r="C184" s="10">
        <f ca="1">NPV(B184,Project_FCF!C18:J18)+Project_FCF!B18</f>
        <v>836.83237330580619</v>
      </c>
      <c r="D184" s="4"/>
      <c r="E184" s="4"/>
    </row>
    <row r="185" spans="1:5" x14ac:dyDescent="0.3">
      <c r="A185" s="9">
        <v>177</v>
      </c>
      <c r="B185" s="10">
        <f t="shared" ca="1" si="2"/>
        <v>8.6523589395006706E-2</v>
      </c>
      <c r="C185" s="10">
        <f ca="1">NPV(B185,Project_FCF!C18:J18)+Project_FCF!B18</f>
        <v>884.84065530707403</v>
      </c>
      <c r="D185" s="4"/>
      <c r="E185" s="4"/>
    </row>
    <row r="186" spans="1:5" x14ac:dyDescent="0.3">
      <c r="A186" s="9">
        <v>178</v>
      </c>
      <c r="B186" s="10">
        <f t="shared" ca="1" si="2"/>
        <v>9.9676256740079489E-2</v>
      </c>
      <c r="C186" s="10">
        <f ca="1">NPV(B186,Project_FCF!C18:J18)+Project_FCF!B18</f>
        <v>784.96672829881663</v>
      </c>
      <c r="D186" s="4"/>
      <c r="E186" s="4"/>
    </row>
    <row r="187" spans="1:5" x14ac:dyDescent="0.3">
      <c r="A187" s="9">
        <v>179</v>
      </c>
      <c r="B187" s="10">
        <f t="shared" ca="1" si="2"/>
        <v>8.5735912884322585E-2</v>
      </c>
      <c r="C187" s="10">
        <f ca="1">NPV(B187,Project_FCF!C18:J18)+Project_FCF!B18</f>
        <v>891.15547013038963</v>
      </c>
      <c r="D187" s="4"/>
      <c r="E187" s="4"/>
    </row>
    <row r="188" spans="1:5" x14ac:dyDescent="0.3">
      <c r="A188" s="9">
        <v>180</v>
      </c>
      <c r="B188" s="10">
        <f t="shared" ca="1" si="2"/>
        <v>9.5302751463911248E-2</v>
      </c>
      <c r="C188" s="10">
        <f ca="1">NPV(B188,Project_FCF!C18:J18)+Project_FCF!B18</f>
        <v>817.04285207615135</v>
      </c>
      <c r="D188" s="4"/>
      <c r="E188" s="4"/>
    </row>
    <row r="189" spans="1:5" x14ac:dyDescent="0.3">
      <c r="A189" s="9">
        <v>181</v>
      </c>
      <c r="B189" s="10">
        <f t="shared" ca="1" si="2"/>
        <v>9.0569811532504332E-2</v>
      </c>
      <c r="C189" s="10">
        <f ca="1">NPV(B189,Project_FCF!C18:J18)+Project_FCF!B18</f>
        <v>853.01245432985411</v>
      </c>
      <c r="D189" s="4"/>
      <c r="E189" s="4"/>
    </row>
    <row r="190" spans="1:5" x14ac:dyDescent="0.3">
      <c r="A190" s="9">
        <v>182</v>
      </c>
      <c r="B190" s="10">
        <f t="shared" ca="1" si="2"/>
        <v>8.191432812315412E-2</v>
      </c>
      <c r="C190" s="10">
        <f ca="1">NPV(B190,Project_FCF!C18:J18)+Project_FCF!B18</f>
        <v>922.35733572817662</v>
      </c>
      <c r="D190" s="4"/>
      <c r="E190" s="4"/>
    </row>
    <row r="191" spans="1:5" x14ac:dyDescent="0.3">
      <c r="A191" s="9">
        <v>183</v>
      </c>
      <c r="B191" s="10">
        <f t="shared" ca="1" si="2"/>
        <v>9.2847774645940503E-2</v>
      </c>
      <c r="C191" s="10">
        <f ca="1">NPV(B191,Project_FCF!C18:J18)+Project_FCF!B18</f>
        <v>835.53383020562615</v>
      </c>
      <c r="D191" s="4"/>
      <c r="E191" s="4"/>
    </row>
    <row r="192" spans="1:5" x14ac:dyDescent="0.3">
      <c r="A192" s="9">
        <v>184</v>
      </c>
      <c r="B192" s="10">
        <f t="shared" ca="1" si="2"/>
        <v>0.10230215649924251</v>
      </c>
      <c r="C192" s="10">
        <f ca="1">NPV(B192,Project_FCF!C18:J18)+Project_FCF!B18</f>
        <v>766.22572221868472</v>
      </c>
      <c r="D192" s="4"/>
      <c r="E192" s="4"/>
    </row>
    <row r="193" spans="1:5" x14ac:dyDescent="0.3">
      <c r="A193" s="9">
        <v>185</v>
      </c>
      <c r="B193" s="10">
        <f t="shared" ca="1" si="2"/>
        <v>8.1020046136847323E-2</v>
      </c>
      <c r="C193" s="10">
        <f ca="1">NPV(B193,Project_FCF!C18:J18)+Project_FCF!B18</f>
        <v>929.79614612501359</v>
      </c>
      <c r="D193" s="4"/>
      <c r="E193" s="4"/>
    </row>
    <row r="194" spans="1:5" x14ac:dyDescent="0.3">
      <c r="A194" s="9">
        <v>186</v>
      </c>
      <c r="B194" s="10">
        <f t="shared" ca="1" si="2"/>
        <v>9.8592530955105229E-2</v>
      </c>
      <c r="C194" s="10">
        <f ca="1">NPV(B194,Project_FCF!C18:J18)+Project_FCF!B18</f>
        <v>792.81342930832602</v>
      </c>
      <c r="D194" s="4"/>
      <c r="E194" s="4"/>
    </row>
    <row r="195" spans="1:5" x14ac:dyDescent="0.3">
      <c r="A195" s="9">
        <v>187</v>
      </c>
      <c r="B195" s="10">
        <f t="shared" ca="1" si="2"/>
        <v>7.8603572941199712E-2</v>
      </c>
      <c r="C195" s="10">
        <f ca="1">NPV(B195,Project_FCF!C18:J18)+Project_FCF!B18</f>
        <v>950.16297241552729</v>
      </c>
      <c r="D195" s="4"/>
      <c r="E195" s="4"/>
    </row>
    <row r="196" spans="1:5" x14ac:dyDescent="0.3">
      <c r="A196" s="9">
        <v>188</v>
      </c>
      <c r="B196" s="10">
        <f t="shared" ca="1" si="2"/>
        <v>8.0776844273120346E-2</v>
      </c>
      <c r="C196" s="10">
        <f ca="1">NPV(B196,Project_FCF!C18:J18)+Project_FCF!B18</f>
        <v>931.82828859373444</v>
      </c>
      <c r="D196" s="4"/>
      <c r="E196" s="4"/>
    </row>
    <row r="197" spans="1:5" x14ac:dyDescent="0.3">
      <c r="A197" s="9">
        <v>189</v>
      </c>
      <c r="B197" s="10">
        <f t="shared" ca="1" si="2"/>
        <v>0.10380078073963572</v>
      </c>
      <c r="C197" s="10">
        <f ca="1">NPV(B197,Project_FCF!C18:J18)+Project_FCF!B18</f>
        <v>755.69989483031304</v>
      </c>
      <c r="D197" s="4"/>
      <c r="E197" s="4"/>
    </row>
    <row r="198" spans="1:5" x14ac:dyDescent="0.3">
      <c r="A198" s="9">
        <v>190</v>
      </c>
      <c r="B198" s="10">
        <f t="shared" ca="1" si="2"/>
        <v>9.2800514053875474E-2</v>
      </c>
      <c r="C198" s="10">
        <f ca="1">NPV(B198,Project_FCF!C18:J18)+Project_FCF!B18</f>
        <v>835.89329546335875</v>
      </c>
      <c r="D198" s="4"/>
      <c r="E198" s="4"/>
    </row>
    <row r="199" spans="1:5" x14ac:dyDescent="0.3">
      <c r="A199" s="9">
        <v>191</v>
      </c>
      <c r="B199" s="10">
        <f t="shared" ca="1" si="2"/>
        <v>9.9530443318133183E-2</v>
      </c>
      <c r="C199" s="10">
        <f ca="1">NPV(B199,Project_FCF!C18:J18)+Project_FCF!B18</f>
        <v>786.01864133433719</v>
      </c>
      <c r="D199" s="4"/>
      <c r="E199" s="4"/>
    </row>
    <row r="200" spans="1:5" x14ac:dyDescent="0.3">
      <c r="A200" s="9">
        <v>192</v>
      </c>
      <c r="B200" s="10">
        <f t="shared" ca="1" si="2"/>
        <v>9.9436554613033773E-2</v>
      </c>
      <c r="C200" s="10">
        <f ca="1">NPV(B200,Project_FCF!C18:J18)+Project_FCF!B18</f>
        <v>786.69659559718048</v>
      </c>
      <c r="D200" s="4"/>
      <c r="E200" s="4"/>
    </row>
    <row r="201" spans="1:5" x14ac:dyDescent="0.3">
      <c r="A201" s="9">
        <v>193</v>
      </c>
      <c r="B201" s="10">
        <f t="shared" ref="B201:B264" ca="1" si="3">$B$4+RAND()*($B$5-$B$4)</f>
        <v>7.6700964627759008E-2</v>
      </c>
      <c r="C201" s="10">
        <f ca="1">NPV(B201,Project_FCF!C18:J18)+Project_FCF!B18</f>
        <v>966.47646567667834</v>
      </c>
      <c r="D201" s="4"/>
      <c r="E201" s="4"/>
    </row>
    <row r="202" spans="1:5" x14ac:dyDescent="0.3">
      <c r="A202" s="9">
        <v>194</v>
      </c>
      <c r="B202" s="10">
        <f t="shared" ca="1" si="3"/>
        <v>9.3173871907973091E-2</v>
      </c>
      <c r="C202" s="10">
        <f ca="1">NPV(B202,Project_FCF!C18:J18)+Project_FCF!B18</f>
        <v>833.05714897097937</v>
      </c>
      <c r="D202" s="4"/>
      <c r="E202" s="4"/>
    </row>
    <row r="203" spans="1:5" x14ac:dyDescent="0.3">
      <c r="A203" s="9">
        <v>195</v>
      </c>
      <c r="B203" s="10">
        <f t="shared" ca="1" si="3"/>
        <v>7.984597144120209E-2</v>
      </c>
      <c r="C203" s="10">
        <f ca="1">NPV(B203,Project_FCF!C18:J18)+Project_FCF!B18</f>
        <v>939.6428058811332</v>
      </c>
      <c r="D203" s="4"/>
      <c r="E203" s="4"/>
    </row>
    <row r="204" spans="1:5" x14ac:dyDescent="0.3">
      <c r="A204" s="9">
        <v>196</v>
      </c>
      <c r="B204" s="10">
        <f t="shared" ca="1" si="3"/>
        <v>6.9069330313020746E-2</v>
      </c>
      <c r="C204" s="10">
        <f ca="1">NPV(B204,Project_FCF!C18:J18)+Project_FCF!B18</f>
        <v>1034.4617676123767</v>
      </c>
      <c r="D204" s="4"/>
      <c r="E204" s="4"/>
    </row>
    <row r="205" spans="1:5" x14ac:dyDescent="0.3">
      <c r="A205" s="9">
        <v>197</v>
      </c>
      <c r="B205" s="10">
        <f t="shared" ca="1" si="3"/>
        <v>8.5059351608385902E-2</v>
      </c>
      <c r="C205" s="10">
        <f ca="1">NPV(B205,Project_FCF!C18:J18)+Project_FCF!B18</f>
        <v>896.61090202031187</v>
      </c>
      <c r="D205" s="4"/>
      <c r="E205" s="4"/>
    </row>
    <row r="206" spans="1:5" x14ac:dyDescent="0.3">
      <c r="A206" s="9">
        <v>198</v>
      </c>
      <c r="B206" s="10">
        <f t="shared" ca="1" si="3"/>
        <v>9.3251927798233825E-2</v>
      </c>
      <c r="C206" s="10">
        <f ca="1">NPV(B206,Project_FCF!C18:J18)+Project_FCF!B18</f>
        <v>832.4652584901221</v>
      </c>
      <c r="D206" s="4"/>
      <c r="E206" s="4"/>
    </row>
    <row r="207" spans="1:5" x14ac:dyDescent="0.3">
      <c r="A207" s="9">
        <v>199</v>
      </c>
      <c r="B207" s="10">
        <f t="shared" ca="1" si="3"/>
        <v>0.10344741721915536</v>
      </c>
      <c r="C207" s="10">
        <f ca="1">NPV(B207,Project_FCF!C18:J18)+Project_FCF!B18</f>
        <v>758.17080389814055</v>
      </c>
      <c r="D207" s="4"/>
      <c r="E207" s="4"/>
    </row>
    <row r="208" spans="1:5" x14ac:dyDescent="0.3">
      <c r="A208" s="9">
        <v>200</v>
      </c>
      <c r="B208" s="10">
        <f t="shared" ca="1" si="3"/>
        <v>6.5114378339399953E-2</v>
      </c>
      <c r="C208" s="10">
        <f ca="1">NPV(B208,Project_FCF!C18:J18)+Project_FCF!B18</f>
        <v>1071.3667147326266</v>
      </c>
      <c r="D208" s="4"/>
      <c r="E208" s="4"/>
    </row>
    <row r="209" spans="1:5" x14ac:dyDescent="0.3">
      <c r="A209" s="9">
        <v>201</v>
      </c>
      <c r="B209" s="10">
        <f t="shared" ca="1" si="3"/>
        <v>9.509226654086711E-2</v>
      </c>
      <c r="C209" s="10">
        <f ca="1">NPV(B209,Project_FCF!C18:J18)+Project_FCF!B18</f>
        <v>818.61435807622138</v>
      </c>
      <c r="D209" s="4"/>
      <c r="E209" s="4"/>
    </row>
    <row r="210" spans="1:5" x14ac:dyDescent="0.3">
      <c r="A210" s="9">
        <v>202</v>
      </c>
      <c r="B210" s="10">
        <f t="shared" ca="1" si="3"/>
        <v>8.5885270499017174E-2</v>
      </c>
      <c r="C210" s="10">
        <f ca="1">NPV(B210,Project_FCF!C18:J18)+Project_FCF!B18</f>
        <v>889.9550505644404</v>
      </c>
      <c r="D210" s="4"/>
      <c r="E210" s="4"/>
    </row>
    <row r="211" spans="1:5" x14ac:dyDescent="0.3">
      <c r="A211" s="9">
        <v>203</v>
      </c>
      <c r="B211" s="10">
        <f t="shared" ca="1" si="3"/>
        <v>9.2784992881557685E-2</v>
      </c>
      <c r="C211" s="10">
        <f ca="1">NPV(B211,Project_FCF!C18:J18)+Project_FCF!B18</f>
        <v>836.01137892113138</v>
      </c>
      <c r="D211" s="4"/>
      <c r="E211" s="4"/>
    </row>
    <row r="212" spans="1:5" x14ac:dyDescent="0.3">
      <c r="A212" s="9">
        <v>204</v>
      </c>
      <c r="B212" s="10">
        <f t="shared" ca="1" si="3"/>
        <v>8.918051971220986E-2</v>
      </c>
      <c r="C212" s="10">
        <f ca="1">NPV(B212,Project_FCF!C18:J18)+Project_FCF!B18</f>
        <v>863.82681504492848</v>
      </c>
      <c r="D212" s="4"/>
      <c r="E212" s="4"/>
    </row>
    <row r="213" spans="1:5" x14ac:dyDescent="0.3">
      <c r="A213" s="9">
        <v>205</v>
      </c>
      <c r="B213" s="10">
        <f t="shared" ca="1" si="3"/>
        <v>6.7732283167717677E-2</v>
      </c>
      <c r="C213" s="10">
        <f ca="1">NPV(B213,Project_FCF!C18:J18)+Project_FCF!B18</f>
        <v>1046.8069067681686</v>
      </c>
      <c r="D213" s="4"/>
      <c r="E213" s="4"/>
    </row>
    <row r="214" spans="1:5" x14ac:dyDescent="0.3">
      <c r="A214" s="9">
        <v>206</v>
      </c>
      <c r="B214" s="10">
        <f t="shared" ca="1" si="3"/>
        <v>8.5810910631847023E-2</v>
      </c>
      <c r="C214" s="10">
        <f ca="1">NPV(B214,Project_FCF!C18:J18)+Project_FCF!B18</f>
        <v>890.55252008425009</v>
      </c>
      <c r="D214" s="4"/>
      <c r="E214" s="4"/>
    </row>
    <row r="215" spans="1:5" x14ac:dyDescent="0.3">
      <c r="A215" s="9">
        <v>207</v>
      </c>
      <c r="B215" s="10">
        <f t="shared" ca="1" si="3"/>
        <v>7.4435762012338799E-2</v>
      </c>
      <c r="C215" s="10">
        <f ca="1">NPV(B215,Project_FCF!C18:J18)+Project_FCF!B18</f>
        <v>986.22437378205655</v>
      </c>
      <c r="D215" s="4"/>
      <c r="E215" s="4"/>
    </row>
    <row r="216" spans="1:5" x14ac:dyDescent="0.3">
      <c r="A216" s="9">
        <v>208</v>
      </c>
      <c r="B216" s="10">
        <f t="shared" ca="1" si="3"/>
        <v>9.2477559819709773E-2</v>
      </c>
      <c r="C216" s="10">
        <f ca="1">NPV(B216,Project_FCF!C18:J18)+Project_FCF!B18</f>
        <v>838.35325856164854</v>
      </c>
      <c r="D216" s="4"/>
      <c r="E216" s="4"/>
    </row>
    <row r="217" spans="1:5" x14ac:dyDescent="0.3">
      <c r="A217" s="9">
        <v>209</v>
      </c>
      <c r="B217" s="10">
        <f t="shared" ca="1" si="3"/>
        <v>7.0222439103021228E-2</v>
      </c>
      <c r="C217" s="10">
        <f ca="1">NPV(B217,Project_FCF!C18:J18)+Project_FCF!B18</f>
        <v>1023.9209896893524</v>
      </c>
      <c r="D217" s="4"/>
      <c r="E217" s="4"/>
    </row>
    <row r="218" spans="1:5" x14ac:dyDescent="0.3">
      <c r="A218" s="9">
        <v>210</v>
      </c>
      <c r="B218" s="10">
        <f t="shared" ca="1" si="3"/>
        <v>8.4692175800189062E-2</v>
      </c>
      <c r="C218" s="10">
        <f ca="1">NPV(B218,Project_FCF!C18:J18)+Project_FCF!B18</f>
        <v>899.58383879849976</v>
      </c>
      <c r="D218" s="4"/>
      <c r="E218" s="4"/>
    </row>
    <row r="219" spans="1:5" x14ac:dyDescent="0.3">
      <c r="A219" s="9">
        <v>211</v>
      </c>
      <c r="B219" s="10">
        <f t="shared" ca="1" si="3"/>
        <v>8.1903406589828157E-2</v>
      </c>
      <c r="C219" s="10">
        <f ca="1">NPV(B219,Project_FCF!C18:J18)+Project_FCF!B18</f>
        <v>922.44786539477718</v>
      </c>
      <c r="D219" s="4"/>
      <c r="E219" s="4"/>
    </row>
    <row r="220" spans="1:5" x14ac:dyDescent="0.3">
      <c r="A220" s="9">
        <v>212</v>
      </c>
      <c r="B220" s="10">
        <f t="shared" ca="1" si="3"/>
        <v>9.5870682714758154E-2</v>
      </c>
      <c r="C220" s="10">
        <f ca="1">NPV(B220,Project_FCF!C18:J18)+Project_FCF!B18</f>
        <v>812.81547556856094</v>
      </c>
      <c r="D220" s="4"/>
      <c r="E220" s="4"/>
    </row>
    <row r="221" spans="1:5" x14ac:dyDescent="0.3">
      <c r="A221" s="9">
        <v>213</v>
      </c>
      <c r="B221" s="10">
        <f t="shared" ca="1" si="3"/>
        <v>7.1178595765793079E-2</v>
      </c>
      <c r="C221" s="10">
        <f ca="1">NPV(B221,Project_FCF!C18:J18)+Project_FCF!B18</f>
        <v>1015.2542843911287</v>
      </c>
      <c r="D221" s="4"/>
      <c r="E221" s="4"/>
    </row>
    <row r="222" spans="1:5" x14ac:dyDescent="0.3">
      <c r="A222" s="9">
        <v>214</v>
      </c>
      <c r="B222" s="10">
        <f t="shared" ca="1" si="3"/>
        <v>0.10096814141943924</v>
      </c>
      <c r="C222" s="10">
        <f ca="1">NPV(B222,Project_FCF!C18:J18)+Project_FCF!B18</f>
        <v>775.69881976302077</v>
      </c>
      <c r="D222" s="4"/>
      <c r="E222" s="4"/>
    </row>
    <row r="223" spans="1:5" x14ac:dyDescent="0.3">
      <c r="A223" s="9">
        <v>215</v>
      </c>
      <c r="B223" s="10">
        <f t="shared" ca="1" si="3"/>
        <v>9.5889090394942866E-2</v>
      </c>
      <c r="C223" s="10">
        <f ca="1">NPV(B223,Project_FCF!C18:J18)+Project_FCF!B18</f>
        <v>812.6787720408422</v>
      </c>
      <c r="D223" s="4"/>
      <c r="E223" s="4"/>
    </row>
    <row r="224" spans="1:5" x14ac:dyDescent="0.3">
      <c r="A224" s="9">
        <v>216</v>
      </c>
      <c r="B224" s="10">
        <f t="shared" ca="1" si="3"/>
        <v>8.7370420951074432E-2</v>
      </c>
      <c r="C224" s="10">
        <f ca="1">NPV(B224,Project_FCF!C18:J18)+Project_FCF!B18</f>
        <v>878.09520520606884</v>
      </c>
      <c r="D224" s="4"/>
      <c r="E224" s="4"/>
    </row>
    <row r="225" spans="1:5" x14ac:dyDescent="0.3">
      <c r="A225" s="9">
        <v>217</v>
      </c>
      <c r="B225" s="10">
        <f t="shared" ca="1" si="3"/>
        <v>6.9549687686233874E-2</v>
      </c>
      <c r="C225" s="10">
        <f ca="1">NPV(B225,Project_FCF!C18:J18)+Project_FCF!B18</f>
        <v>1030.0588656984323</v>
      </c>
      <c r="D225" s="4"/>
      <c r="E225" s="4"/>
    </row>
    <row r="226" spans="1:5" x14ac:dyDescent="0.3">
      <c r="A226" s="9">
        <v>218</v>
      </c>
      <c r="B226" s="10">
        <f t="shared" ca="1" si="3"/>
        <v>9.908304701904902E-2</v>
      </c>
      <c r="C226" s="10">
        <f ca="1">NPV(B226,Project_FCF!C18:J18)+Project_FCF!B18</f>
        <v>789.25365895687446</v>
      </c>
      <c r="D226" s="4"/>
      <c r="E226" s="4"/>
    </row>
    <row r="227" spans="1:5" x14ac:dyDescent="0.3">
      <c r="A227" s="9">
        <v>219</v>
      </c>
      <c r="B227" s="10">
        <f t="shared" ca="1" si="3"/>
        <v>7.3814876276252855E-2</v>
      </c>
      <c r="C227" s="10">
        <f ca="1">NPV(B227,Project_FCF!C18:J18)+Project_FCF!B18</f>
        <v>991.69988821705351</v>
      </c>
      <c r="D227" s="4"/>
      <c r="E227" s="4"/>
    </row>
    <row r="228" spans="1:5" x14ac:dyDescent="0.3">
      <c r="A228" s="9">
        <v>220</v>
      </c>
      <c r="B228" s="10">
        <f t="shared" ca="1" si="3"/>
        <v>9.478750364126913E-2</v>
      </c>
      <c r="C228" s="10">
        <f ca="1">NPV(B228,Project_FCF!C18:J18)+Project_FCF!B18</f>
        <v>820.89433999875723</v>
      </c>
      <c r="D228" s="4"/>
      <c r="E228" s="4"/>
    </row>
    <row r="229" spans="1:5" x14ac:dyDescent="0.3">
      <c r="A229" s="9">
        <v>221</v>
      </c>
      <c r="B229" s="10">
        <f t="shared" ca="1" si="3"/>
        <v>9.3470469854086496E-2</v>
      </c>
      <c r="C229" s="10">
        <f ca="1">NPV(B229,Project_FCF!C18:J18)+Project_FCF!B18</f>
        <v>830.80999720866362</v>
      </c>
      <c r="D229" s="4"/>
      <c r="E229" s="4"/>
    </row>
    <row r="230" spans="1:5" x14ac:dyDescent="0.3">
      <c r="A230" s="9">
        <v>222</v>
      </c>
      <c r="B230" s="10">
        <f t="shared" ca="1" si="3"/>
        <v>6.5087023967529342E-2</v>
      </c>
      <c r="C230" s="10">
        <f ca="1">NPV(B230,Project_FCF!C18:J18)+Project_FCF!B18</f>
        <v>1071.6260861932979</v>
      </c>
      <c r="D230" s="4"/>
      <c r="E230" s="4"/>
    </row>
    <row r="231" spans="1:5" x14ac:dyDescent="0.3">
      <c r="A231" s="9">
        <v>223</v>
      </c>
      <c r="B231" s="10">
        <f t="shared" ca="1" si="3"/>
        <v>8.1971892139880015E-2</v>
      </c>
      <c r="C231" s="10">
        <f ca="1">NPV(B231,Project_FCF!C18:J18)+Project_FCF!B18</f>
        <v>921.88031139171449</v>
      </c>
      <c r="D231" s="4"/>
      <c r="E231" s="4"/>
    </row>
    <row r="232" spans="1:5" x14ac:dyDescent="0.3">
      <c r="A232" s="9">
        <v>224</v>
      </c>
      <c r="B232" s="10">
        <f t="shared" ca="1" si="3"/>
        <v>9.8177540019547441E-2</v>
      </c>
      <c r="C232" s="10">
        <f ca="1">NPV(B232,Project_FCF!C18:J18)+Project_FCF!B18</f>
        <v>795.83573037476185</v>
      </c>
      <c r="D232" s="4"/>
      <c r="E232" s="4"/>
    </row>
    <row r="233" spans="1:5" x14ac:dyDescent="0.3">
      <c r="A233" s="9">
        <v>225</v>
      </c>
      <c r="B233" s="10">
        <f t="shared" ca="1" si="3"/>
        <v>6.7704234526920037E-2</v>
      </c>
      <c r="C233" s="10">
        <f ca="1">NPV(B233,Project_FCF!C18:J18)+Project_FCF!B18</f>
        <v>1047.067308481691</v>
      </c>
      <c r="D233" s="4"/>
      <c r="E233" s="4"/>
    </row>
    <row r="234" spans="1:5" x14ac:dyDescent="0.3">
      <c r="A234" s="9">
        <v>226</v>
      </c>
      <c r="B234" s="10">
        <f t="shared" ca="1" si="3"/>
        <v>9.1078921666038828E-2</v>
      </c>
      <c r="C234" s="10">
        <f ca="1">NPV(B234,Project_FCF!C18:J18)+Project_FCF!B18</f>
        <v>849.07895065083699</v>
      </c>
      <c r="D234" s="4"/>
      <c r="E234" s="4"/>
    </row>
    <row r="235" spans="1:5" x14ac:dyDescent="0.3">
      <c r="A235" s="9">
        <v>227</v>
      </c>
      <c r="B235" s="10">
        <f t="shared" ca="1" si="3"/>
        <v>6.9750290124851677E-2</v>
      </c>
      <c r="C235" s="10">
        <f ca="1">NPV(B235,Project_FCF!C18:J18)+Project_FCF!B18</f>
        <v>1028.225189862444</v>
      </c>
      <c r="D235" s="4"/>
      <c r="E235" s="4"/>
    </row>
    <row r="236" spans="1:5" x14ac:dyDescent="0.3">
      <c r="A236" s="9">
        <v>228</v>
      </c>
      <c r="B236" s="10">
        <f t="shared" ca="1" si="3"/>
        <v>8.5428844724440206E-2</v>
      </c>
      <c r="C236" s="10">
        <f ca="1">NPV(B236,Project_FCF!C18:J18)+Project_FCF!B18</f>
        <v>893.62789371395274</v>
      </c>
      <c r="D236" s="4"/>
      <c r="E236" s="4"/>
    </row>
    <row r="237" spans="1:5" x14ac:dyDescent="0.3">
      <c r="A237" s="9">
        <v>229</v>
      </c>
      <c r="B237" s="10">
        <f t="shared" ca="1" si="3"/>
        <v>7.0599906091675421E-2</v>
      </c>
      <c r="C237" s="10">
        <f ca="1">NPV(B237,Project_FCF!C18:J18)+Project_FCF!B18</f>
        <v>1020.4916439322633</v>
      </c>
      <c r="D237" s="4"/>
      <c r="E237" s="4"/>
    </row>
    <row r="238" spans="1:5" x14ac:dyDescent="0.3">
      <c r="A238" s="9">
        <v>230</v>
      </c>
      <c r="B238" s="10">
        <f t="shared" ca="1" si="3"/>
        <v>8.3494894307632392E-2</v>
      </c>
      <c r="C238" s="10">
        <f ca="1">NPV(B238,Project_FCF!C18:J18)+Project_FCF!B18</f>
        <v>909.33810327456536</v>
      </c>
      <c r="D238" s="4"/>
      <c r="E238" s="4"/>
    </row>
    <row r="239" spans="1:5" x14ac:dyDescent="0.3">
      <c r="A239" s="9">
        <v>231</v>
      </c>
      <c r="B239" s="10">
        <f t="shared" ca="1" si="3"/>
        <v>9.4535704175414723E-2</v>
      </c>
      <c r="C239" s="10">
        <f ca="1">NPV(B239,Project_FCF!C18:J18)+Project_FCF!B18</f>
        <v>822.78219501960325</v>
      </c>
      <c r="D239" s="4"/>
      <c r="E239" s="4"/>
    </row>
    <row r="240" spans="1:5" x14ac:dyDescent="0.3">
      <c r="A240" s="9">
        <v>232</v>
      </c>
      <c r="B240" s="10">
        <f t="shared" ca="1" si="3"/>
        <v>9.5307390741428799E-2</v>
      </c>
      <c r="C240" s="10">
        <f ca="1">NPV(B240,Project_FCF!C18:J18)+Project_FCF!B18</f>
        <v>817.00824376321884</v>
      </c>
      <c r="D240" s="4"/>
      <c r="E240" s="4"/>
    </row>
    <row r="241" spans="1:5" x14ac:dyDescent="0.3">
      <c r="A241" s="9">
        <v>233</v>
      </c>
      <c r="B241" s="10">
        <f t="shared" ca="1" si="3"/>
        <v>8.3694920485054003E-2</v>
      </c>
      <c r="C241" s="10">
        <f ca="1">NPV(B241,Project_FCF!C18:J18)+Project_FCF!B18</f>
        <v>907.70205538168011</v>
      </c>
      <c r="D241" s="4"/>
      <c r="E241" s="4"/>
    </row>
    <row r="242" spans="1:5" x14ac:dyDescent="0.3">
      <c r="A242" s="9">
        <v>234</v>
      </c>
      <c r="B242" s="10">
        <f t="shared" ca="1" si="3"/>
        <v>9.9627410571282327E-2</v>
      </c>
      <c r="C242" s="10">
        <f ca="1">NPV(B242,Project_FCF!C18:J18)+Project_FCF!B18</f>
        <v>785.31897676201879</v>
      </c>
      <c r="D242" s="4"/>
      <c r="E242" s="4"/>
    </row>
    <row r="243" spans="1:5" x14ac:dyDescent="0.3">
      <c r="A243" s="9">
        <v>235</v>
      </c>
      <c r="B243" s="10">
        <f t="shared" ca="1" si="3"/>
        <v>8.0895640264092877E-2</v>
      </c>
      <c r="C243" s="10">
        <f ca="1">NPV(B243,Project_FCF!C18:J18)+Project_FCF!B18</f>
        <v>930.83516493013212</v>
      </c>
      <c r="D243" s="4"/>
      <c r="E243" s="4"/>
    </row>
    <row r="244" spans="1:5" x14ac:dyDescent="0.3">
      <c r="A244" s="9">
        <v>236</v>
      </c>
      <c r="B244" s="10">
        <f t="shared" ca="1" si="3"/>
        <v>9.9640314372249988E-2</v>
      </c>
      <c r="C244" s="10">
        <f ca="1">NPV(B244,Project_FCF!C18:J18)+Project_FCF!B18</f>
        <v>785.22590950057065</v>
      </c>
      <c r="D244" s="4"/>
      <c r="E244" s="4"/>
    </row>
    <row r="245" spans="1:5" x14ac:dyDescent="0.3">
      <c r="A245" s="9">
        <v>237</v>
      </c>
      <c r="B245" s="10">
        <f t="shared" ca="1" si="3"/>
        <v>9.3017019600558332E-2</v>
      </c>
      <c r="C245" s="10">
        <f ca="1">NPV(B245,Project_FCF!C18:J18)+Project_FCF!B18</f>
        <v>834.24763963275063</v>
      </c>
      <c r="D245" s="4"/>
      <c r="E245" s="4"/>
    </row>
    <row r="246" spans="1:5" x14ac:dyDescent="0.3">
      <c r="A246" s="9">
        <v>238</v>
      </c>
      <c r="B246" s="10">
        <f t="shared" ca="1" si="3"/>
        <v>7.3622920444350343E-2</v>
      </c>
      <c r="C246" s="10">
        <f ca="1">NPV(B246,Project_FCF!C18:J18)+Project_FCF!B18</f>
        <v>993.39823061827383</v>
      </c>
      <c r="D246" s="4"/>
      <c r="E246" s="4"/>
    </row>
    <row r="247" spans="1:5" x14ac:dyDescent="0.3">
      <c r="A247" s="9">
        <v>239</v>
      </c>
      <c r="B247" s="10">
        <f t="shared" ca="1" si="3"/>
        <v>9.3192794713075136E-2</v>
      </c>
      <c r="C247" s="10">
        <f ca="1">NPV(B247,Project_FCF!C18:J18)+Project_FCF!B18</f>
        <v>832.91362590126573</v>
      </c>
      <c r="D247" s="4"/>
      <c r="E247" s="4"/>
    </row>
    <row r="248" spans="1:5" x14ac:dyDescent="0.3">
      <c r="A248" s="9">
        <v>240</v>
      </c>
      <c r="B248" s="10">
        <f t="shared" ca="1" si="3"/>
        <v>9.2175864895586865E-2</v>
      </c>
      <c r="C248" s="10">
        <f ca="1">NPV(B248,Project_FCF!C18:J18)+Project_FCF!B18</f>
        <v>840.65691854562624</v>
      </c>
      <c r="D248" s="4"/>
      <c r="E248" s="4"/>
    </row>
    <row r="249" spans="1:5" x14ac:dyDescent="0.3">
      <c r="A249" s="9">
        <v>241</v>
      </c>
      <c r="B249" s="10">
        <f t="shared" ca="1" si="3"/>
        <v>7.9627015301997534E-2</v>
      </c>
      <c r="C249" s="10">
        <f ca="1">NPV(B249,Project_FCF!C18:J18)+Project_FCF!B18</f>
        <v>941.48931234439215</v>
      </c>
      <c r="D249" s="4"/>
      <c r="E249" s="4"/>
    </row>
    <row r="250" spans="1:5" x14ac:dyDescent="0.3">
      <c r="A250" s="9">
        <v>242</v>
      </c>
      <c r="B250" s="10">
        <f t="shared" ca="1" si="3"/>
        <v>6.4444970399083784E-2</v>
      </c>
      <c r="C250" s="10">
        <f ca="1">NPV(B250,Project_FCF!C18:J18)+Project_FCF!B18</f>
        <v>1077.7304564232122</v>
      </c>
      <c r="D250" s="4"/>
      <c r="E250" s="4"/>
    </row>
    <row r="251" spans="1:5" x14ac:dyDescent="0.3">
      <c r="A251" s="9">
        <v>243</v>
      </c>
      <c r="B251" s="10">
        <f t="shared" ca="1" si="3"/>
        <v>9.0304204724477505E-2</v>
      </c>
      <c r="C251" s="10">
        <f ca="1">NPV(B251,Project_FCF!C18:J18)+Project_FCF!B18</f>
        <v>855.07084374147485</v>
      </c>
      <c r="D251" s="4"/>
      <c r="E251" s="4"/>
    </row>
    <row r="252" spans="1:5" x14ac:dyDescent="0.3">
      <c r="A252" s="9">
        <v>244</v>
      </c>
      <c r="B252" s="10">
        <f t="shared" ca="1" si="3"/>
        <v>6.5842071919645334E-2</v>
      </c>
      <c r="C252" s="10">
        <f ca="1">NPV(B252,Project_FCF!C18:J18)+Project_FCF!B18</f>
        <v>1064.4877757963404</v>
      </c>
      <c r="D252" s="4"/>
      <c r="E252" s="4"/>
    </row>
    <row r="253" spans="1:5" x14ac:dyDescent="0.3">
      <c r="A253" s="9">
        <v>245</v>
      </c>
      <c r="B253" s="10">
        <f t="shared" ca="1" si="3"/>
        <v>7.872501618309341E-2</v>
      </c>
      <c r="C253" s="10">
        <f ca="1">NPV(B253,Project_FCF!C18:J18)+Project_FCF!B18</f>
        <v>949.13004809174959</v>
      </c>
      <c r="D253" s="4"/>
      <c r="E253" s="4"/>
    </row>
    <row r="254" spans="1:5" x14ac:dyDescent="0.3">
      <c r="A254" s="9">
        <v>246</v>
      </c>
      <c r="B254" s="10">
        <f t="shared" ca="1" si="3"/>
        <v>0.1028724518602858</v>
      </c>
      <c r="C254" s="10">
        <f ca="1">NPV(B254,Project_FCF!C18:J18)+Project_FCF!B18</f>
        <v>762.20575175779095</v>
      </c>
      <c r="D254" s="4"/>
      <c r="E254" s="4"/>
    </row>
    <row r="255" spans="1:5" x14ac:dyDescent="0.3">
      <c r="A255" s="9">
        <v>247</v>
      </c>
      <c r="B255" s="10">
        <f t="shared" ca="1" si="3"/>
        <v>9.8351092428900416E-2</v>
      </c>
      <c r="C255" s="10">
        <f ca="1">NPV(B255,Project_FCF!C18:J18)+Project_FCF!B18</f>
        <v>794.57059272685592</v>
      </c>
      <c r="D255" s="4"/>
      <c r="E255" s="4"/>
    </row>
    <row r="256" spans="1:5" x14ac:dyDescent="0.3">
      <c r="A256" s="9">
        <v>248</v>
      </c>
      <c r="B256" s="10">
        <f t="shared" ca="1" si="3"/>
        <v>6.9892408882335083E-2</v>
      </c>
      <c r="C256" s="10">
        <f ca="1">NPV(B256,Project_FCF!C18:J18)+Project_FCF!B18</f>
        <v>1026.9278910670469</v>
      </c>
      <c r="D256" s="4"/>
      <c r="E256" s="4"/>
    </row>
    <row r="257" spans="1:5" x14ac:dyDescent="0.3">
      <c r="A257" s="9">
        <v>249</v>
      </c>
      <c r="B257" s="10">
        <f t="shared" ca="1" si="3"/>
        <v>9.8437719399358151E-2</v>
      </c>
      <c r="C257" s="10">
        <f ca="1">NPV(B257,Project_FCF!C18:J18)+Project_FCF!B18</f>
        <v>793.93975108748714</v>
      </c>
      <c r="D257" s="4"/>
      <c r="E257" s="4"/>
    </row>
    <row r="258" spans="1:5" x14ac:dyDescent="0.3">
      <c r="A258" s="9">
        <v>250</v>
      </c>
      <c r="B258" s="10">
        <f t="shared" ca="1" si="3"/>
        <v>7.8951538900111029E-2</v>
      </c>
      <c r="C258" s="10">
        <f ca="1">NPV(B258,Project_FCF!C18:J18)+Project_FCF!B18</f>
        <v>947.20604379716588</v>
      </c>
      <c r="D258" s="4"/>
      <c r="E258" s="4"/>
    </row>
    <row r="259" spans="1:5" x14ac:dyDescent="0.3">
      <c r="A259" s="9">
        <v>251</v>
      </c>
      <c r="B259" s="10">
        <f t="shared" ca="1" si="3"/>
        <v>0.10102540681385665</v>
      </c>
      <c r="C259" s="10">
        <f ca="1">NPV(B259,Project_FCF!C18:J18)+Project_FCF!B18</f>
        <v>775.29014959452661</v>
      </c>
      <c r="D259" s="4"/>
      <c r="E259" s="4"/>
    </row>
    <row r="260" spans="1:5" x14ac:dyDescent="0.3">
      <c r="A260" s="9">
        <v>252</v>
      </c>
      <c r="B260" s="10">
        <f t="shared" ca="1" si="3"/>
        <v>8.1872452848185132E-2</v>
      </c>
      <c r="C260" s="10">
        <f ca="1">NPV(B260,Project_FCF!C18:J18)+Project_FCF!B18</f>
        <v>922.70448659397653</v>
      </c>
      <c r="D260" s="4"/>
      <c r="E260" s="4"/>
    </row>
    <row r="261" spans="1:5" x14ac:dyDescent="0.3">
      <c r="A261" s="9">
        <v>253</v>
      </c>
      <c r="B261" s="10">
        <f t="shared" ca="1" si="3"/>
        <v>0.1006942404411659</v>
      </c>
      <c r="C261" s="10">
        <f ca="1">NPV(B261,Project_FCF!C18:J18)+Project_FCF!B18</f>
        <v>777.65600840300976</v>
      </c>
      <c r="D261" s="4"/>
      <c r="E261" s="4"/>
    </row>
    <row r="262" spans="1:5" x14ac:dyDescent="0.3">
      <c r="A262" s="9">
        <v>254</v>
      </c>
      <c r="B262" s="10">
        <f t="shared" ca="1" si="3"/>
        <v>6.4448625532673193E-2</v>
      </c>
      <c r="C262" s="10">
        <f ca="1">NPV(B262,Project_FCF!C18:J18)+Project_FCF!B18</f>
        <v>1077.6956153160511</v>
      </c>
      <c r="D262" s="4"/>
      <c r="E262" s="4"/>
    </row>
    <row r="263" spans="1:5" x14ac:dyDescent="0.3">
      <c r="A263" s="9">
        <v>255</v>
      </c>
      <c r="B263" s="10">
        <f t="shared" ca="1" si="3"/>
        <v>8.9898804097261795E-2</v>
      </c>
      <c r="C263" s="10">
        <f ca="1">NPV(B263,Project_FCF!C18:J18)+Project_FCF!B18</f>
        <v>858.22089245858388</v>
      </c>
      <c r="D263" s="4"/>
      <c r="E263" s="4"/>
    </row>
    <row r="264" spans="1:5" x14ac:dyDescent="0.3">
      <c r="A264" s="9">
        <v>256</v>
      </c>
      <c r="B264" s="10">
        <f t="shared" ca="1" si="3"/>
        <v>9.9180062562081478E-2</v>
      </c>
      <c r="C264" s="10">
        <f ca="1">NPV(B264,Project_FCF!C18:J18)+Project_FCF!B18</f>
        <v>788.55120614487555</v>
      </c>
      <c r="D264" s="4"/>
      <c r="E264" s="4"/>
    </row>
    <row r="265" spans="1:5" x14ac:dyDescent="0.3">
      <c r="A265" s="9">
        <v>257</v>
      </c>
      <c r="B265" s="10">
        <f t="shared" ref="B265:B328" ca="1" si="4">$B$4+RAND()*($B$5-$B$4)</f>
        <v>7.5342343495520658E-2</v>
      </c>
      <c r="C265" s="10">
        <f ca="1">NPV(B265,Project_FCF!C18:J18)+Project_FCF!B18</f>
        <v>978.27797135358696</v>
      </c>
      <c r="D265" s="4"/>
      <c r="E265" s="4"/>
    </row>
    <row r="266" spans="1:5" x14ac:dyDescent="0.3">
      <c r="A266" s="9">
        <v>258</v>
      </c>
      <c r="B266" s="10">
        <f t="shared" ca="1" si="4"/>
        <v>6.9600344505932776E-2</v>
      </c>
      <c r="C266" s="10">
        <f ca="1">NPV(B266,Project_FCF!C18:J18)+Project_FCF!B18</f>
        <v>1029.5955406620394</v>
      </c>
      <c r="D266" s="4"/>
      <c r="E266" s="4"/>
    </row>
    <row r="267" spans="1:5" x14ac:dyDescent="0.3">
      <c r="A267" s="9">
        <v>259</v>
      </c>
      <c r="B267" s="10">
        <f t="shared" ca="1" si="4"/>
        <v>7.0871178318489228E-2</v>
      </c>
      <c r="C267" s="10">
        <f ca="1">NPV(B267,Project_FCF!C18:J18)+Project_FCF!B18</f>
        <v>1018.0335008623463</v>
      </c>
      <c r="D267" s="4"/>
      <c r="E267" s="4"/>
    </row>
    <row r="268" spans="1:5" x14ac:dyDescent="0.3">
      <c r="A268" s="9">
        <v>260</v>
      </c>
      <c r="B268" s="10">
        <f t="shared" ca="1" si="4"/>
        <v>8.3273115612277293E-2</v>
      </c>
      <c r="C268" s="10">
        <f ca="1">NPV(B268,Project_FCF!C18:J18)+Project_FCF!B18</f>
        <v>911.15509818894907</v>
      </c>
      <c r="D268" s="4"/>
      <c r="E268" s="4"/>
    </row>
    <row r="269" spans="1:5" x14ac:dyDescent="0.3">
      <c r="A269" s="9">
        <v>261</v>
      </c>
      <c r="B269" s="10">
        <f t="shared" ca="1" si="4"/>
        <v>0.10322962796830512</v>
      </c>
      <c r="C269" s="10">
        <f ca="1">NPV(B269,Project_FCF!C18:J18)+Project_FCF!B18</f>
        <v>759.69707496079786</v>
      </c>
      <c r="D269" s="4"/>
      <c r="E269" s="4"/>
    </row>
    <row r="270" spans="1:5" x14ac:dyDescent="0.3">
      <c r="A270" s="9">
        <v>262</v>
      </c>
      <c r="B270" s="10">
        <f t="shared" ca="1" si="4"/>
        <v>9.7649988539885491E-2</v>
      </c>
      <c r="C270" s="10">
        <f ca="1">NPV(B270,Project_FCF!C18:J18)+Project_FCF!B18</f>
        <v>799.69191603755485</v>
      </c>
      <c r="D270" s="4"/>
      <c r="E270" s="4"/>
    </row>
    <row r="271" spans="1:5" x14ac:dyDescent="0.3">
      <c r="A271" s="9">
        <v>263</v>
      </c>
      <c r="B271" s="10">
        <f t="shared" ca="1" si="4"/>
        <v>9.4274194197788722E-2</v>
      </c>
      <c r="C271" s="10">
        <f ca="1">NPV(B271,Project_FCF!C18:J18)+Project_FCF!B18</f>
        <v>824.7467921970001</v>
      </c>
      <c r="D271" s="4"/>
      <c r="E271" s="4"/>
    </row>
    <row r="272" spans="1:5" x14ac:dyDescent="0.3">
      <c r="A272" s="9">
        <v>264</v>
      </c>
      <c r="B272" s="10">
        <f t="shared" ca="1" si="4"/>
        <v>9.9067738147344264E-2</v>
      </c>
      <c r="C272" s="10">
        <f ca="1">NPV(B272,Project_FCF!C18:J18)+Project_FCF!B18</f>
        <v>789.36455313684132</v>
      </c>
      <c r="D272" s="4"/>
      <c r="E272" s="4"/>
    </row>
    <row r="273" spans="1:5" x14ac:dyDescent="0.3">
      <c r="A273" s="9">
        <v>265</v>
      </c>
      <c r="B273" s="10">
        <f t="shared" ca="1" si="4"/>
        <v>7.2060340961196123E-2</v>
      </c>
      <c r="C273" s="10">
        <f ca="1">NPV(B273,Project_FCF!C18:J18)+Project_FCF!B18</f>
        <v>1007.3207350469709</v>
      </c>
      <c r="D273" s="4"/>
      <c r="E273" s="4"/>
    </row>
    <row r="274" spans="1:5" x14ac:dyDescent="0.3">
      <c r="A274" s="9">
        <v>266</v>
      </c>
      <c r="B274" s="10">
        <f t="shared" ca="1" si="4"/>
        <v>7.9113972284747577E-2</v>
      </c>
      <c r="C274" s="10">
        <f ca="1">NPV(B274,Project_FCF!C18:J18)+Project_FCF!B18</f>
        <v>945.82852365610643</v>
      </c>
      <c r="D274" s="4"/>
      <c r="E274" s="4"/>
    </row>
    <row r="275" spans="1:5" x14ac:dyDescent="0.3">
      <c r="A275" s="9">
        <v>267</v>
      </c>
      <c r="B275" s="10">
        <f t="shared" ca="1" si="4"/>
        <v>8.7621481848321914E-2</v>
      </c>
      <c r="C275" s="10">
        <f ca="1">NPV(B275,Project_FCF!C18:J18)+Project_FCF!B18</f>
        <v>876.10401158188438</v>
      </c>
      <c r="D275" s="4"/>
      <c r="E275" s="4"/>
    </row>
    <row r="276" spans="1:5" x14ac:dyDescent="0.3">
      <c r="A276" s="9">
        <v>268</v>
      </c>
      <c r="B276" s="10">
        <f t="shared" ca="1" si="4"/>
        <v>8.6863500845966238E-2</v>
      </c>
      <c r="C276" s="10">
        <f ca="1">NPV(B276,Project_FCF!C18:J18)+Project_FCF!B18</f>
        <v>882.12767453417246</v>
      </c>
      <c r="D276" s="4"/>
      <c r="E276" s="4"/>
    </row>
    <row r="277" spans="1:5" x14ac:dyDescent="0.3">
      <c r="A277" s="9">
        <v>269</v>
      </c>
      <c r="B277" s="10">
        <f t="shared" ca="1" si="4"/>
        <v>7.7518221865245512E-2</v>
      </c>
      <c r="C277" s="10">
        <f ca="1">NPV(B277,Project_FCF!C18:J18)+Project_FCF!B18</f>
        <v>959.43878324115462</v>
      </c>
      <c r="D277" s="4"/>
      <c r="E277" s="4"/>
    </row>
    <row r="278" spans="1:5" x14ac:dyDescent="0.3">
      <c r="A278" s="9">
        <v>270</v>
      </c>
      <c r="B278" s="10">
        <f t="shared" ca="1" si="4"/>
        <v>7.6952858298097351E-2</v>
      </c>
      <c r="C278" s="10">
        <f ca="1">NPV(B278,Project_FCF!C18:J18)+Project_FCF!B18</f>
        <v>964.30243525674541</v>
      </c>
      <c r="D278" s="4"/>
      <c r="E278" s="4"/>
    </row>
    <row r="279" spans="1:5" x14ac:dyDescent="0.3">
      <c r="A279" s="9">
        <v>271</v>
      </c>
      <c r="B279" s="10">
        <f t="shared" ca="1" si="4"/>
        <v>8.5887180875828584E-2</v>
      </c>
      <c r="C279" s="10">
        <f ca="1">NPV(B279,Project_FCF!C18:J18)+Project_FCF!B18</f>
        <v>889.93970561439642</v>
      </c>
      <c r="D279" s="4"/>
      <c r="E279" s="4"/>
    </row>
    <row r="280" spans="1:5" x14ac:dyDescent="0.3">
      <c r="A280" s="9">
        <v>272</v>
      </c>
      <c r="B280" s="10">
        <f t="shared" ca="1" si="4"/>
        <v>6.4356965167445795E-2</v>
      </c>
      <c r="C280" s="10">
        <f ca="1">NPV(B280,Project_FCF!C18:J18)+Project_FCF!B18</f>
        <v>1078.5696419453363</v>
      </c>
      <c r="D280" s="4"/>
      <c r="E280" s="4"/>
    </row>
    <row r="281" spans="1:5" x14ac:dyDescent="0.3">
      <c r="A281" s="9">
        <v>273</v>
      </c>
      <c r="B281" s="10">
        <f t="shared" ca="1" si="4"/>
        <v>8.4509373391739556E-2</v>
      </c>
      <c r="C281" s="10">
        <f ca="1">NPV(B281,Project_FCF!C18:J18)+Project_FCF!B18</f>
        <v>901.0671662276095</v>
      </c>
      <c r="D281" s="4"/>
      <c r="E281" s="4"/>
    </row>
    <row r="282" spans="1:5" x14ac:dyDescent="0.3">
      <c r="A282" s="9">
        <v>274</v>
      </c>
      <c r="B282" s="10">
        <f t="shared" ca="1" si="4"/>
        <v>8.138754670121652E-2</v>
      </c>
      <c r="C282" s="10">
        <f ca="1">NPV(B282,Project_FCF!C18:J18)+Project_FCF!B18</f>
        <v>926.73281928583697</v>
      </c>
      <c r="D282" s="4"/>
      <c r="E282" s="4"/>
    </row>
    <row r="283" spans="1:5" x14ac:dyDescent="0.3">
      <c r="A283" s="9">
        <v>275</v>
      </c>
      <c r="B283" s="10">
        <f t="shared" ca="1" si="4"/>
        <v>6.6338554049787418E-2</v>
      </c>
      <c r="C283" s="10">
        <f ca="1">NPV(B283,Project_FCF!C18:J18)+Project_FCF!B18</f>
        <v>1059.8176140771363</v>
      </c>
      <c r="D283" s="4"/>
      <c r="E283" s="4"/>
    </row>
    <row r="284" spans="1:5" x14ac:dyDescent="0.3">
      <c r="A284" s="9">
        <v>276</v>
      </c>
      <c r="B284" s="10">
        <f t="shared" ca="1" si="4"/>
        <v>6.8234956770085273E-2</v>
      </c>
      <c r="C284" s="10">
        <f ca="1">NPV(B284,Project_FCF!C18:J18)+Project_FCF!B18</f>
        <v>1042.1500709069944</v>
      </c>
      <c r="D284" s="4"/>
      <c r="E284" s="4"/>
    </row>
    <row r="285" spans="1:5" x14ac:dyDescent="0.3">
      <c r="A285" s="9">
        <v>277</v>
      </c>
      <c r="B285" s="10">
        <f t="shared" ca="1" si="4"/>
        <v>8.0349691928226649E-2</v>
      </c>
      <c r="C285" s="10">
        <f ca="1">NPV(B285,Project_FCF!C18:J18)+Project_FCF!B18</f>
        <v>935.40698943437906</v>
      </c>
      <c r="D285" s="4"/>
      <c r="E285" s="4"/>
    </row>
    <row r="286" spans="1:5" x14ac:dyDescent="0.3">
      <c r="A286" s="9">
        <v>278</v>
      </c>
      <c r="B286" s="10">
        <f t="shared" ca="1" si="4"/>
        <v>9.908121213083812E-2</v>
      </c>
      <c r="C286" s="10">
        <f ca="1">NPV(B286,Project_FCF!C18:J18)+Project_FCF!B18</f>
        <v>789.26694979653143</v>
      </c>
      <c r="D286" s="4"/>
      <c r="E286" s="4"/>
    </row>
    <row r="287" spans="1:5" x14ac:dyDescent="0.3">
      <c r="A287" s="9">
        <v>279</v>
      </c>
      <c r="B287" s="10">
        <f t="shared" ca="1" si="4"/>
        <v>9.0426799748097086E-2</v>
      </c>
      <c r="C287" s="10">
        <f ca="1">NPV(B287,Project_FCF!C18:J18)+Project_FCF!B18</f>
        <v>854.12022805090828</v>
      </c>
      <c r="D287" s="4"/>
      <c r="E287" s="4"/>
    </row>
    <row r="288" spans="1:5" x14ac:dyDescent="0.3">
      <c r="A288" s="9">
        <v>280</v>
      </c>
      <c r="B288" s="10">
        <f t="shared" ca="1" si="4"/>
        <v>0.10209457584083903</v>
      </c>
      <c r="C288" s="10">
        <f ca="1">NPV(B288,Project_FCF!C18:J18)+Project_FCF!B18</f>
        <v>767.69336016963189</v>
      </c>
      <c r="D288" s="4"/>
      <c r="E288" s="4"/>
    </row>
    <row r="289" spans="1:5" x14ac:dyDescent="0.3">
      <c r="A289" s="9">
        <v>281</v>
      </c>
      <c r="B289" s="10">
        <f t="shared" ca="1" si="4"/>
        <v>6.8538844201936108E-2</v>
      </c>
      <c r="C289" s="10">
        <f ca="1">NPV(B289,Project_FCF!C18:J18)+Project_FCF!B18</f>
        <v>1039.343937396545</v>
      </c>
      <c r="D289" s="4"/>
      <c r="E289" s="4"/>
    </row>
    <row r="290" spans="1:5" x14ac:dyDescent="0.3">
      <c r="A290" s="9">
        <v>282</v>
      </c>
      <c r="B290" s="10">
        <f t="shared" ca="1" si="4"/>
        <v>7.7420707454649212E-2</v>
      </c>
      <c r="C290" s="10">
        <f ca="1">NPV(B290,Project_FCF!C18:J18)+Project_FCF!B18</f>
        <v>960.276107899218</v>
      </c>
      <c r="D290" s="4"/>
      <c r="E290" s="4"/>
    </row>
    <row r="291" spans="1:5" x14ac:dyDescent="0.3">
      <c r="A291" s="9">
        <v>283</v>
      </c>
      <c r="B291" s="10">
        <f t="shared" ca="1" si="4"/>
        <v>9.5505679379774125E-2</v>
      </c>
      <c r="C291" s="10">
        <f ca="1">NPV(B291,Project_FCF!C18:J18)+Project_FCF!B18</f>
        <v>815.53021200446142</v>
      </c>
      <c r="D291" s="4"/>
      <c r="E291" s="4"/>
    </row>
    <row r="292" spans="1:5" x14ac:dyDescent="0.3">
      <c r="A292" s="9">
        <v>284</v>
      </c>
      <c r="B292" s="10">
        <f t="shared" ca="1" si="4"/>
        <v>9.1087207205083037E-2</v>
      </c>
      <c r="C292" s="10">
        <f ca="1">NPV(B292,Project_FCF!C18:J18)+Project_FCF!B18</f>
        <v>849.01506453296406</v>
      </c>
      <c r="D292" s="4"/>
      <c r="E292" s="4"/>
    </row>
    <row r="293" spans="1:5" x14ac:dyDescent="0.3">
      <c r="A293" s="9">
        <v>285</v>
      </c>
      <c r="B293" s="10">
        <f t="shared" ca="1" si="4"/>
        <v>7.7417831816090965E-2</v>
      </c>
      <c r="C293" s="10">
        <f ca="1">NPV(B293,Project_FCF!C18:J18)+Project_FCF!B18</f>
        <v>960.30080994847958</v>
      </c>
      <c r="D293" s="4"/>
      <c r="E293" s="4"/>
    </row>
    <row r="294" spans="1:5" x14ac:dyDescent="0.3">
      <c r="A294" s="9">
        <v>286</v>
      </c>
      <c r="B294" s="10">
        <f t="shared" ca="1" si="4"/>
        <v>9.1756192948993731E-2</v>
      </c>
      <c r="C294" s="10">
        <f ca="1">NPV(B294,Project_FCF!C18:J18)+Project_FCF!B18</f>
        <v>843.87049182740816</v>
      </c>
      <c r="D294" s="4"/>
      <c r="E294" s="4"/>
    </row>
    <row r="295" spans="1:5" x14ac:dyDescent="0.3">
      <c r="A295" s="9">
        <v>287</v>
      </c>
      <c r="B295" s="10">
        <f t="shared" ca="1" si="4"/>
        <v>7.1038672060003014E-2</v>
      </c>
      <c r="C295" s="10">
        <f ca="1">NPV(B295,Project_FCF!C18:J18)+Project_FCF!B18</f>
        <v>1016.5184191519115</v>
      </c>
      <c r="D295" s="4"/>
      <c r="E295" s="4"/>
    </row>
    <row r="296" spans="1:5" x14ac:dyDescent="0.3">
      <c r="A296" s="9">
        <v>288</v>
      </c>
      <c r="B296" s="10">
        <f t="shared" ca="1" si="4"/>
        <v>7.0825314451321272E-2</v>
      </c>
      <c r="C296" s="10">
        <f ca="1">NPV(B296,Project_FCF!C18:J18)+Project_FCF!B18</f>
        <v>1018.4487222692474</v>
      </c>
      <c r="D296" s="4"/>
      <c r="E296" s="4"/>
    </row>
    <row r="297" spans="1:5" x14ac:dyDescent="0.3">
      <c r="A297" s="9">
        <v>289</v>
      </c>
      <c r="B297" s="10">
        <f t="shared" ca="1" si="4"/>
        <v>0.10095954825786518</v>
      </c>
      <c r="C297" s="10">
        <f ca="1">NPV(B297,Project_FCF!C18:J18)+Project_FCF!B18</f>
        <v>775.76015989149869</v>
      </c>
      <c r="D297" s="4"/>
      <c r="E297" s="4"/>
    </row>
    <row r="298" spans="1:5" x14ac:dyDescent="0.3">
      <c r="A298" s="9">
        <v>290</v>
      </c>
      <c r="B298" s="10">
        <f t="shared" ca="1" si="4"/>
        <v>8.0935665361185585E-2</v>
      </c>
      <c r="C298" s="10">
        <f ca="1">NPV(B298,Project_FCF!C18:J18)+Project_FCF!B18</f>
        <v>930.50076954271321</v>
      </c>
      <c r="D298" s="4"/>
      <c r="E298" s="4"/>
    </row>
    <row r="299" spans="1:5" x14ac:dyDescent="0.3">
      <c r="A299" s="9">
        <v>291</v>
      </c>
      <c r="B299" s="10">
        <f t="shared" ca="1" si="4"/>
        <v>9.9457708587273777E-2</v>
      </c>
      <c r="C299" s="10">
        <f ca="1">NPV(B299,Project_FCF!C18:J18)+Project_FCF!B18</f>
        <v>786.5438031709823</v>
      </c>
      <c r="D299" s="4"/>
      <c r="E299" s="4"/>
    </row>
    <row r="300" spans="1:5" x14ac:dyDescent="0.3">
      <c r="A300" s="9">
        <v>292</v>
      </c>
      <c r="B300" s="10">
        <f t="shared" ca="1" si="4"/>
        <v>9.4280671498731122E-2</v>
      </c>
      <c r="C300" s="10">
        <f ca="1">NPV(B300,Project_FCF!C18:J18)+Project_FCF!B18</f>
        <v>824.69808285269824</v>
      </c>
      <c r="D300" s="4"/>
      <c r="E300" s="4"/>
    </row>
    <row r="301" spans="1:5" x14ac:dyDescent="0.3">
      <c r="A301" s="9">
        <v>293</v>
      </c>
      <c r="B301" s="10">
        <f t="shared" ca="1" si="4"/>
        <v>7.6951385942136519E-2</v>
      </c>
      <c r="C301" s="10">
        <f ca="1">NPV(B301,Project_FCF!C18:J18)+Project_FCF!B18</f>
        <v>964.31513011194943</v>
      </c>
      <c r="D301" s="4"/>
      <c r="E301" s="4"/>
    </row>
    <row r="302" spans="1:5" x14ac:dyDescent="0.3">
      <c r="A302" s="9">
        <v>294</v>
      </c>
      <c r="B302" s="10">
        <f t="shared" ca="1" si="4"/>
        <v>9.0403584497194392E-2</v>
      </c>
      <c r="C302" s="10">
        <f ca="1">NPV(B302,Project_FCF!C18:J18)+Project_FCF!B18</f>
        <v>854.30017149592595</v>
      </c>
      <c r="D302" s="4"/>
      <c r="E302" s="4"/>
    </row>
    <row r="303" spans="1:5" x14ac:dyDescent="0.3">
      <c r="A303" s="9">
        <v>295</v>
      </c>
      <c r="B303" s="10">
        <f t="shared" ca="1" si="4"/>
        <v>6.5750051852811589E-2</v>
      </c>
      <c r="C303" s="10">
        <f ca="1">NPV(B303,Project_FCF!C18:J18)+Project_FCF!B18</f>
        <v>1065.3554189614258</v>
      </c>
      <c r="D303" s="4"/>
      <c r="E303" s="4"/>
    </row>
    <row r="304" spans="1:5" x14ac:dyDescent="0.3">
      <c r="A304" s="9">
        <v>296</v>
      </c>
      <c r="B304" s="10">
        <f t="shared" ca="1" si="4"/>
        <v>8.9283702048202185E-2</v>
      </c>
      <c r="C304" s="10">
        <f ca="1">NPV(B304,Project_FCF!C18:J18)+Project_FCF!B18</f>
        <v>863.0195699008616</v>
      </c>
      <c r="D304" s="4"/>
      <c r="E304" s="4"/>
    </row>
    <row r="305" spans="1:5" x14ac:dyDescent="0.3">
      <c r="A305" s="9">
        <v>297</v>
      </c>
      <c r="B305" s="10">
        <f t="shared" ca="1" si="4"/>
        <v>0.10231236351101396</v>
      </c>
      <c r="C305" s="10">
        <f ca="1">NPV(B305,Project_FCF!C18:J18)+Project_FCF!B18</f>
        <v>766.15361745464315</v>
      </c>
      <c r="D305" s="4"/>
      <c r="E305" s="4"/>
    </row>
    <row r="306" spans="1:5" x14ac:dyDescent="0.3">
      <c r="A306" s="9">
        <v>298</v>
      </c>
      <c r="B306" s="10">
        <f t="shared" ca="1" si="4"/>
        <v>0.10336037312457197</v>
      </c>
      <c r="C306" s="10">
        <f ca="1">NPV(B306,Project_FCF!C18:J18)+Project_FCF!B18</f>
        <v>758.78050172240796</v>
      </c>
      <c r="D306" s="4"/>
      <c r="E306" s="4"/>
    </row>
    <row r="307" spans="1:5" x14ac:dyDescent="0.3">
      <c r="A307" s="9">
        <v>299</v>
      </c>
      <c r="B307" s="10">
        <f t="shared" ca="1" si="4"/>
        <v>9.1764252092991092E-2</v>
      </c>
      <c r="C307" s="10">
        <f ca="1">NPV(B307,Project_FCF!C18:J18)+Project_FCF!B18</f>
        <v>843.80868054522671</v>
      </c>
      <c r="D307" s="4"/>
      <c r="E307" s="4"/>
    </row>
    <row r="308" spans="1:5" x14ac:dyDescent="0.3">
      <c r="A308" s="9">
        <v>300</v>
      </c>
      <c r="B308" s="10">
        <f t="shared" ca="1" si="4"/>
        <v>0.10361612756822211</v>
      </c>
      <c r="C308" s="10">
        <f ca="1">NPV(B308,Project_FCF!C18:J18)+Project_FCF!B18</f>
        <v>756.99024657753807</v>
      </c>
      <c r="D308" s="4"/>
      <c r="E308" s="4"/>
    </row>
    <row r="309" spans="1:5" x14ac:dyDescent="0.3">
      <c r="A309" s="9">
        <v>301</v>
      </c>
      <c r="B309" s="10">
        <f t="shared" ca="1" si="4"/>
        <v>8.1076445732296942E-2</v>
      </c>
      <c r="C309" s="10">
        <f ca="1">NPV(B309,Project_FCF!C18:J18)+Project_FCF!B18</f>
        <v>929.3254430691245</v>
      </c>
      <c r="D309" s="4"/>
      <c r="E309" s="4"/>
    </row>
    <row r="310" spans="1:5" x14ac:dyDescent="0.3">
      <c r="A310" s="9">
        <v>302</v>
      </c>
      <c r="B310" s="10">
        <f t="shared" ca="1" si="4"/>
        <v>6.5075240630835127E-2</v>
      </c>
      <c r="C310" s="10">
        <f ca="1">NPV(B310,Project_FCF!C18:J18)+Project_FCF!B18</f>
        <v>1071.7378322822965</v>
      </c>
      <c r="D310" s="4"/>
      <c r="E310" s="4"/>
    </row>
    <row r="311" spans="1:5" x14ac:dyDescent="0.3">
      <c r="A311" s="9">
        <v>303</v>
      </c>
      <c r="B311" s="10">
        <f t="shared" ca="1" si="4"/>
        <v>8.5391408435752256E-2</v>
      </c>
      <c r="C311" s="10">
        <f ca="1">NPV(B311,Project_FCF!C18:J18)+Project_FCF!B18</f>
        <v>893.92972993848457</v>
      </c>
      <c r="D311" s="4"/>
      <c r="E311" s="4"/>
    </row>
    <row r="312" spans="1:5" x14ac:dyDescent="0.3">
      <c r="A312" s="9">
        <v>304</v>
      </c>
      <c r="B312" s="10">
        <f t="shared" ca="1" si="4"/>
        <v>8.8868836537218443E-2</v>
      </c>
      <c r="C312" s="10">
        <f ca="1">NPV(B312,Project_FCF!C18:J18)+Project_FCF!B18</f>
        <v>866.26924422945149</v>
      </c>
      <c r="D312" s="4"/>
      <c r="E312" s="4"/>
    </row>
    <row r="313" spans="1:5" x14ac:dyDescent="0.3">
      <c r="A313" s="9">
        <v>305</v>
      </c>
      <c r="B313" s="10">
        <f t="shared" ca="1" si="4"/>
        <v>7.3887891908460943E-2</v>
      </c>
      <c r="C313" s="10">
        <f ca="1">NPV(B313,Project_FCF!C18:J18)+Project_FCF!B18</f>
        <v>991.05456146267102</v>
      </c>
      <c r="D313" s="4"/>
      <c r="E313" s="4"/>
    </row>
    <row r="314" spans="1:5" x14ac:dyDescent="0.3">
      <c r="A314" s="9">
        <v>306</v>
      </c>
      <c r="B314" s="10">
        <f t="shared" ca="1" si="4"/>
        <v>7.4334743974280665E-2</v>
      </c>
      <c r="C314" s="10">
        <f ca="1">NPV(B314,Project_FCF!C18:J18)+Project_FCF!B18</f>
        <v>987.11338958417582</v>
      </c>
      <c r="D314" s="4"/>
      <c r="E314" s="4"/>
    </row>
    <row r="315" spans="1:5" x14ac:dyDescent="0.3">
      <c r="A315" s="9">
        <v>307</v>
      </c>
      <c r="B315" s="10">
        <f t="shared" ca="1" si="4"/>
        <v>7.4439101231161611E-2</v>
      </c>
      <c r="C315" s="10">
        <f ca="1">NPV(B315,Project_FCF!C18:J18)+Project_FCF!B18</f>
        <v>986.19499902103689</v>
      </c>
      <c r="D315" s="4"/>
      <c r="E315" s="4"/>
    </row>
    <row r="316" spans="1:5" x14ac:dyDescent="0.3">
      <c r="A316" s="9">
        <v>308</v>
      </c>
      <c r="B316" s="10">
        <f t="shared" ca="1" si="4"/>
        <v>9.3390506556773931E-2</v>
      </c>
      <c r="C316" s="10">
        <f ca="1">NPV(B316,Project_FCF!C18:J18)+Project_FCF!B18</f>
        <v>831.41531944568101</v>
      </c>
      <c r="D316" s="4"/>
      <c r="E316" s="4"/>
    </row>
    <row r="317" spans="1:5" x14ac:dyDescent="0.3">
      <c r="A317" s="9">
        <v>309</v>
      </c>
      <c r="B317" s="10">
        <f t="shared" ca="1" si="4"/>
        <v>6.5625560409329445E-2</v>
      </c>
      <c r="C317" s="10">
        <f ca="1">NPV(B317,Project_FCF!C18:J18)+Project_FCF!B18</f>
        <v>1066.530255299592</v>
      </c>
      <c r="D317" s="4"/>
      <c r="E317" s="4"/>
    </row>
    <row r="318" spans="1:5" x14ac:dyDescent="0.3">
      <c r="A318" s="9">
        <v>310</v>
      </c>
      <c r="B318" s="10">
        <f t="shared" ca="1" si="4"/>
        <v>7.4309808876131547E-2</v>
      </c>
      <c r="C318" s="10">
        <f ca="1">NPV(B318,Project_FCF!C18:J18)+Project_FCF!B18</f>
        <v>987.33294299159706</v>
      </c>
      <c r="D318" s="4"/>
      <c r="E318" s="4"/>
    </row>
    <row r="319" spans="1:5" x14ac:dyDescent="0.3">
      <c r="A319" s="9">
        <v>311</v>
      </c>
      <c r="B319" s="10">
        <f t="shared" ca="1" si="4"/>
        <v>7.1380828923245779E-2</v>
      </c>
      <c r="C319" s="10">
        <f ca="1">NPV(B319,Project_FCF!C18:J18)+Project_FCF!B18</f>
        <v>1013.4297221407503</v>
      </c>
      <c r="D319" s="4"/>
      <c r="E319" s="4"/>
    </row>
    <row r="320" spans="1:5" x14ac:dyDescent="0.3">
      <c r="A320" s="9">
        <v>312</v>
      </c>
      <c r="B320" s="10">
        <f t="shared" ca="1" si="4"/>
        <v>8.7435707326324108E-2</v>
      </c>
      <c r="C320" s="10">
        <f ca="1">NPV(B320,Project_FCF!C18:J18)+Project_FCF!B18</f>
        <v>877.57703229440244</v>
      </c>
      <c r="D320" s="4"/>
      <c r="E320" s="4"/>
    </row>
    <row r="321" spans="1:5" x14ac:dyDescent="0.3">
      <c r="A321" s="9">
        <v>313</v>
      </c>
      <c r="B321" s="10">
        <f t="shared" ca="1" si="4"/>
        <v>0.10142612205025572</v>
      </c>
      <c r="C321" s="10">
        <f ca="1">NPV(B321,Project_FCF!C18:J18)+Project_FCF!B18</f>
        <v>772.43555289415895</v>
      </c>
      <c r="D321" s="4"/>
      <c r="E321" s="4"/>
    </row>
    <row r="322" spans="1:5" x14ac:dyDescent="0.3">
      <c r="A322" s="9">
        <v>314</v>
      </c>
      <c r="B322" s="10">
        <f t="shared" ca="1" si="4"/>
        <v>8.2861297973997147E-2</v>
      </c>
      <c r="C322" s="10">
        <f ca="1">NPV(B322,Project_FCF!C18:J18)+Project_FCF!B18</f>
        <v>914.53752083449103</v>
      </c>
      <c r="D322" s="4"/>
      <c r="E322" s="4"/>
    </row>
    <row r="323" spans="1:5" x14ac:dyDescent="0.3">
      <c r="A323" s="9">
        <v>315</v>
      </c>
      <c r="B323" s="10">
        <f t="shared" ca="1" si="4"/>
        <v>9.8465876477687481E-2</v>
      </c>
      <c r="C323" s="10">
        <f ca="1">NPV(B323,Project_FCF!C18:J18)+Project_FCF!B18</f>
        <v>793.73479502787154</v>
      </c>
      <c r="D323" s="4"/>
      <c r="E323" s="4"/>
    </row>
    <row r="324" spans="1:5" x14ac:dyDescent="0.3">
      <c r="A324" s="9">
        <v>316</v>
      </c>
      <c r="B324" s="10">
        <f t="shared" ca="1" si="4"/>
        <v>6.7643033744616693E-2</v>
      </c>
      <c r="C324" s="10">
        <f ca="1">NPV(B324,Project_FCF!C18:J18)+Project_FCF!B18</f>
        <v>1047.6356966054714</v>
      </c>
      <c r="D324" s="4"/>
      <c r="E324" s="4"/>
    </row>
    <row r="325" spans="1:5" x14ac:dyDescent="0.3">
      <c r="A325" s="9">
        <v>317</v>
      </c>
      <c r="B325" s="10">
        <f t="shared" ca="1" si="4"/>
        <v>7.9209737926527551E-2</v>
      </c>
      <c r="C325" s="10">
        <f ca="1">NPV(B325,Project_FCF!C18:J18)+Project_FCF!B18</f>
        <v>945.01721402419412</v>
      </c>
      <c r="D325" s="4"/>
      <c r="E325" s="4"/>
    </row>
    <row r="326" spans="1:5" x14ac:dyDescent="0.3">
      <c r="A326" s="9">
        <v>318</v>
      </c>
      <c r="B326" s="10">
        <f t="shared" ca="1" si="4"/>
        <v>8.0556607671696756E-2</v>
      </c>
      <c r="C326" s="10">
        <f ca="1">NPV(B326,Project_FCF!C18:J18)+Project_FCF!B18</f>
        <v>933.67192515125703</v>
      </c>
      <c r="D326" s="4"/>
      <c r="E326" s="4"/>
    </row>
    <row r="327" spans="1:5" x14ac:dyDescent="0.3">
      <c r="A327" s="9">
        <v>319</v>
      </c>
      <c r="B327" s="10">
        <f t="shared" ca="1" si="4"/>
        <v>9.1595312540393728E-2</v>
      </c>
      <c r="C327" s="10">
        <f ca="1">NPV(B327,Project_FCF!C18:J18)+Project_FCF!B18</f>
        <v>845.10521529703965</v>
      </c>
      <c r="D327" s="4"/>
      <c r="E327" s="4"/>
    </row>
    <row r="328" spans="1:5" x14ac:dyDescent="0.3">
      <c r="A328" s="9">
        <v>320</v>
      </c>
      <c r="B328" s="10">
        <f t="shared" ca="1" si="4"/>
        <v>0.10243524569343961</v>
      </c>
      <c r="C328" s="10">
        <f ca="1">NPV(B328,Project_FCF!C18:J18)+Project_FCF!B18</f>
        <v>765.28599608281047</v>
      </c>
      <c r="D328" s="4"/>
      <c r="E328" s="4"/>
    </row>
    <row r="329" spans="1:5" x14ac:dyDescent="0.3">
      <c r="A329" s="9">
        <v>321</v>
      </c>
      <c r="B329" s="10">
        <f t="shared" ref="B329:B392" ca="1" si="5">$B$4+RAND()*($B$5-$B$4)</f>
        <v>0.10323254450475186</v>
      </c>
      <c r="C329" s="10">
        <f ca="1">NPV(B329,Project_FCF!C18:J18)+Project_FCF!B18</f>
        <v>759.67661880987862</v>
      </c>
      <c r="D329" s="4"/>
      <c r="E329" s="4"/>
    </row>
    <row r="330" spans="1:5" x14ac:dyDescent="0.3">
      <c r="A330" s="9">
        <v>322</v>
      </c>
      <c r="B330" s="10">
        <f t="shared" ca="1" si="5"/>
        <v>7.0374469638515735E-2</v>
      </c>
      <c r="C330" s="10">
        <f ca="1">NPV(B330,Project_FCF!C18:J18)+Project_FCF!B18</f>
        <v>1022.5385192113863</v>
      </c>
      <c r="D330" s="4"/>
      <c r="E330" s="4"/>
    </row>
    <row r="331" spans="1:5" x14ac:dyDescent="0.3">
      <c r="A331" s="9">
        <v>323</v>
      </c>
      <c r="B331" s="10">
        <f t="shared" ca="1" si="5"/>
        <v>0.10169108248812814</v>
      </c>
      <c r="C331" s="10">
        <f ca="1">NPV(B331,Project_FCF!C18:J18)+Project_FCF!B18</f>
        <v>770.55290934208597</v>
      </c>
      <c r="D331" s="4"/>
      <c r="E331" s="4"/>
    </row>
    <row r="332" spans="1:5" x14ac:dyDescent="0.3">
      <c r="A332" s="9">
        <v>324</v>
      </c>
      <c r="B332" s="10">
        <f t="shared" ca="1" si="5"/>
        <v>7.2893288931356812E-2</v>
      </c>
      <c r="C332" s="10">
        <f ca="1">NPV(B332,Project_FCF!C18:J18)+Project_FCF!B18</f>
        <v>999.87754239080209</v>
      </c>
      <c r="D332" s="4"/>
      <c r="E332" s="4"/>
    </row>
    <row r="333" spans="1:5" x14ac:dyDescent="0.3">
      <c r="A333" s="9">
        <v>325</v>
      </c>
      <c r="B333" s="10">
        <f t="shared" ca="1" si="5"/>
        <v>0.10021929885327815</v>
      </c>
      <c r="C333" s="10">
        <f ca="1">NPV(B333,Project_FCF!C18:J18)+Project_FCF!B18</f>
        <v>781.05963866964044</v>
      </c>
      <c r="D333" s="4"/>
      <c r="E333" s="4"/>
    </row>
    <row r="334" spans="1:5" x14ac:dyDescent="0.3">
      <c r="A334" s="9">
        <v>326</v>
      </c>
      <c r="B334" s="10">
        <f t="shared" ca="1" si="5"/>
        <v>7.7545266023919271E-2</v>
      </c>
      <c r="C334" s="10">
        <f ca="1">NPV(B334,Project_FCF!C18:J18)+Project_FCF!B18</f>
        <v>959.20667896421196</v>
      </c>
      <c r="D334" s="4"/>
      <c r="E334" s="4"/>
    </row>
    <row r="335" spans="1:5" x14ac:dyDescent="0.3">
      <c r="A335" s="9">
        <v>327</v>
      </c>
      <c r="B335" s="10">
        <f t="shared" ca="1" si="5"/>
        <v>0.10116626745184717</v>
      </c>
      <c r="C335" s="10">
        <f ca="1">NPV(B335,Project_FCF!C18:J18)+Project_FCF!B18</f>
        <v>774.28568098909295</v>
      </c>
      <c r="D335" s="4"/>
      <c r="E335" s="4"/>
    </row>
    <row r="336" spans="1:5" x14ac:dyDescent="0.3">
      <c r="A336" s="9">
        <v>328</v>
      </c>
      <c r="B336" s="10">
        <f t="shared" ca="1" si="5"/>
        <v>9.0410802299258547E-2</v>
      </c>
      <c r="C336" s="10">
        <f ca="1">NPV(B336,Project_FCF!C18:J18)+Project_FCF!B18</f>
        <v>854.2442221651911</v>
      </c>
      <c r="D336" s="4"/>
      <c r="E336" s="4"/>
    </row>
    <row r="337" spans="1:5" x14ac:dyDescent="0.3">
      <c r="A337" s="9">
        <v>329</v>
      </c>
      <c r="B337" s="10">
        <f t="shared" ca="1" si="5"/>
        <v>9.9722024915472995E-2</v>
      </c>
      <c r="C337" s="10">
        <f ca="1">NPV(B337,Project_FCF!C18:J18)+Project_FCF!B18</f>
        <v>784.63679779497988</v>
      </c>
      <c r="D337" s="4"/>
      <c r="E337" s="4"/>
    </row>
    <row r="338" spans="1:5" x14ac:dyDescent="0.3">
      <c r="A338" s="9">
        <v>330</v>
      </c>
      <c r="B338" s="10">
        <f t="shared" ca="1" si="5"/>
        <v>7.9276663925578014E-2</v>
      </c>
      <c r="C338" s="10">
        <f ca="1">NPV(B338,Project_FCF!C18:J18)+Project_FCF!B18</f>
        <v>944.45059527569424</v>
      </c>
      <c r="D338" s="4"/>
      <c r="E338" s="4"/>
    </row>
    <row r="339" spans="1:5" x14ac:dyDescent="0.3">
      <c r="A339" s="9">
        <v>331</v>
      </c>
      <c r="B339" s="10">
        <f t="shared" ca="1" si="5"/>
        <v>6.4576655644180372E-2</v>
      </c>
      <c r="C339" s="10">
        <f ca="1">NPV(B339,Project_FCF!C18:J18)+Project_FCF!B18</f>
        <v>1076.4758680515599</v>
      </c>
      <c r="D339" s="4"/>
      <c r="E339" s="4"/>
    </row>
    <row r="340" spans="1:5" x14ac:dyDescent="0.3">
      <c r="A340" s="9">
        <v>332</v>
      </c>
      <c r="B340" s="10">
        <f t="shared" ca="1" si="5"/>
        <v>9.830462929566991E-2</v>
      </c>
      <c r="C340" s="10">
        <f ca="1">NPV(B340,Project_FCF!C18:J18)+Project_FCF!B18</f>
        <v>794.90912549783866</v>
      </c>
      <c r="D340" s="4"/>
      <c r="E340" s="4"/>
    </row>
    <row r="341" spans="1:5" x14ac:dyDescent="0.3">
      <c r="A341" s="9">
        <v>333</v>
      </c>
      <c r="B341" s="10">
        <f t="shared" ca="1" si="5"/>
        <v>7.8028287375712935E-2</v>
      </c>
      <c r="C341" s="10">
        <f ca="1">NPV(B341,Project_FCF!C18:J18)+Project_FCF!B18</f>
        <v>955.06959450726413</v>
      </c>
      <c r="D341" s="4"/>
      <c r="E341" s="4"/>
    </row>
    <row r="342" spans="1:5" x14ac:dyDescent="0.3">
      <c r="A342" s="9">
        <v>334</v>
      </c>
      <c r="B342" s="10">
        <f t="shared" ca="1" si="5"/>
        <v>8.2782117186422449E-2</v>
      </c>
      <c r="C342" s="10">
        <f ca="1">NPV(B342,Project_FCF!C18:J18)+Project_FCF!B18</f>
        <v>915.1891291453378</v>
      </c>
      <c r="D342" s="4"/>
      <c r="E342" s="4"/>
    </row>
    <row r="343" spans="1:5" x14ac:dyDescent="0.3">
      <c r="A343" s="9">
        <v>335</v>
      </c>
      <c r="B343" s="10">
        <f t="shared" ca="1" si="5"/>
        <v>8.1742579532320642E-2</v>
      </c>
      <c r="C343" s="10">
        <f ca="1">NPV(B343,Project_FCF!C18:J18)+Project_FCF!B18</f>
        <v>923.78188451908159</v>
      </c>
      <c r="D343" s="4"/>
      <c r="E343" s="4"/>
    </row>
    <row r="344" spans="1:5" x14ac:dyDescent="0.3">
      <c r="A344" s="9">
        <v>336</v>
      </c>
      <c r="B344" s="10">
        <f t="shared" ca="1" si="5"/>
        <v>0.10171502982845793</v>
      </c>
      <c r="C344" s="10">
        <f ca="1">NPV(B344,Project_FCF!C18:J18)+Project_FCF!B18</f>
        <v>770.38294510142191</v>
      </c>
      <c r="D344" s="4"/>
      <c r="E344" s="4"/>
    </row>
    <row r="345" spans="1:5" x14ac:dyDescent="0.3">
      <c r="A345" s="9">
        <v>337</v>
      </c>
      <c r="B345" s="10">
        <f t="shared" ca="1" si="5"/>
        <v>6.7448519396394707E-2</v>
      </c>
      <c r="C345" s="10">
        <f ca="1">NPV(B345,Project_FCF!C18:J18)+Project_FCF!B18</f>
        <v>1049.4440642154909</v>
      </c>
      <c r="D345" s="4"/>
      <c r="E345" s="4"/>
    </row>
    <row r="346" spans="1:5" x14ac:dyDescent="0.3">
      <c r="A346" s="9">
        <v>338</v>
      </c>
      <c r="B346" s="10">
        <f t="shared" ca="1" si="5"/>
        <v>6.6511310068472551E-2</v>
      </c>
      <c r="C346" s="10">
        <f ca="1">NPV(B346,Project_FCF!C18:J18)+Project_FCF!B18</f>
        <v>1058.1969627751928</v>
      </c>
      <c r="D346" s="4"/>
      <c r="E346" s="4"/>
    </row>
    <row r="347" spans="1:5" x14ac:dyDescent="0.3">
      <c r="A347" s="9">
        <v>339</v>
      </c>
      <c r="B347" s="10">
        <f t="shared" ca="1" si="5"/>
        <v>9.0435788880235582E-2</v>
      </c>
      <c r="C347" s="10">
        <f ca="1">NPV(B347,Project_FCF!C18:J18)+Project_FCF!B18</f>
        <v>854.05056130941944</v>
      </c>
      <c r="D347" s="4"/>
      <c r="E347" s="4"/>
    </row>
    <row r="348" spans="1:5" x14ac:dyDescent="0.3">
      <c r="A348" s="9">
        <v>340</v>
      </c>
      <c r="B348" s="10">
        <f t="shared" ca="1" si="5"/>
        <v>7.0119141733539406E-2</v>
      </c>
      <c r="C348" s="10">
        <f ca="1">NPV(B348,Project_FCF!C18:J18)+Project_FCF!B18</f>
        <v>1024.8612743297215</v>
      </c>
      <c r="D348" s="4"/>
      <c r="E348" s="4"/>
    </row>
    <row r="349" spans="1:5" x14ac:dyDescent="0.3">
      <c r="A349" s="9">
        <v>341</v>
      </c>
      <c r="B349" s="10">
        <f t="shared" ca="1" si="5"/>
        <v>9.8362660707569827E-2</v>
      </c>
      <c r="C349" s="10">
        <f ca="1">NPV(B349,Project_FCF!C18:J18)+Project_FCF!B18</f>
        <v>794.48632469486483</v>
      </c>
      <c r="D349" s="4"/>
      <c r="E349" s="4"/>
    </row>
    <row r="350" spans="1:5" x14ac:dyDescent="0.3">
      <c r="A350" s="9">
        <v>342</v>
      </c>
      <c r="B350" s="10">
        <f t="shared" ca="1" si="5"/>
        <v>8.3122753620216788E-2</v>
      </c>
      <c r="C350" s="10">
        <f ca="1">NPV(B350,Project_FCF!C18:J18)+Project_FCF!B18</f>
        <v>912.38880349505916</v>
      </c>
      <c r="D350" s="4"/>
      <c r="E350" s="4"/>
    </row>
    <row r="351" spans="1:5" x14ac:dyDescent="0.3">
      <c r="A351" s="9">
        <v>343</v>
      </c>
      <c r="B351" s="10">
        <f t="shared" ca="1" si="5"/>
        <v>9.7861766272426931E-2</v>
      </c>
      <c r="C351" s="10">
        <f ca="1">NPV(B351,Project_FCF!C18:J18)+Project_FCF!B18</f>
        <v>798.14200329482924</v>
      </c>
      <c r="D351" s="4"/>
      <c r="E351" s="4"/>
    </row>
    <row r="352" spans="1:5" x14ac:dyDescent="0.3">
      <c r="A352" s="9">
        <v>344</v>
      </c>
      <c r="B352" s="10">
        <f t="shared" ca="1" si="5"/>
        <v>8.5482581622390391E-2</v>
      </c>
      <c r="C352" s="10">
        <f ca="1">NPV(B352,Project_FCF!C18:J18)+Project_FCF!B18</f>
        <v>893.1947870626168</v>
      </c>
      <c r="D352" s="4"/>
      <c r="E352" s="4"/>
    </row>
    <row r="353" spans="1:5" x14ac:dyDescent="0.3">
      <c r="A353" s="9">
        <v>345</v>
      </c>
      <c r="B353" s="10">
        <f t="shared" ca="1" si="5"/>
        <v>6.9866460994762666E-2</v>
      </c>
      <c r="C353" s="10">
        <f ca="1">NPV(B353,Project_FCF!C18:J18)+Project_FCF!B18</f>
        <v>1027.1646399917443</v>
      </c>
      <c r="D353" s="4"/>
      <c r="E353" s="4"/>
    </row>
    <row r="354" spans="1:5" x14ac:dyDescent="0.3">
      <c r="A354" s="9">
        <v>346</v>
      </c>
      <c r="B354" s="10">
        <f t="shared" ca="1" si="5"/>
        <v>9.3902393275459295E-2</v>
      </c>
      <c r="C354" s="10">
        <f ca="1">NPV(B354,Project_FCF!C18:J18)+Project_FCF!B18</f>
        <v>827.54687752716859</v>
      </c>
      <c r="D354" s="4"/>
      <c r="E354" s="4"/>
    </row>
    <row r="355" spans="1:5" x14ac:dyDescent="0.3">
      <c r="A355" s="9">
        <v>347</v>
      </c>
      <c r="B355" s="10">
        <f t="shared" ca="1" si="5"/>
        <v>0.10323997108840366</v>
      </c>
      <c r="C355" s="10">
        <f ca="1">NPV(B355,Project_FCF!C18:J18)+Project_FCF!B18</f>
        <v>759.62453194787486</v>
      </c>
      <c r="D355" s="4"/>
      <c r="E355" s="4"/>
    </row>
    <row r="356" spans="1:5" x14ac:dyDescent="0.3">
      <c r="A356" s="9">
        <v>348</v>
      </c>
      <c r="B356" s="10">
        <f t="shared" ca="1" si="5"/>
        <v>6.4280817795765222E-2</v>
      </c>
      <c r="C356" s="10">
        <f ca="1">NPV(B356,Project_FCF!C18:J18)+Project_FCF!B18</f>
        <v>1079.2962369055222</v>
      </c>
      <c r="D356" s="4"/>
      <c r="E356" s="4"/>
    </row>
    <row r="357" spans="1:5" x14ac:dyDescent="0.3">
      <c r="A357" s="9">
        <v>349</v>
      </c>
      <c r="B357" s="10">
        <f t="shared" ca="1" si="5"/>
        <v>8.9577403462935301E-2</v>
      </c>
      <c r="C357" s="10">
        <f ca="1">NPV(B357,Project_FCF!C18:J18)+Project_FCF!B18</f>
        <v>860.72538377510114</v>
      </c>
      <c r="D357" s="4"/>
      <c r="E357" s="4"/>
    </row>
    <row r="358" spans="1:5" x14ac:dyDescent="0.3">
      <c r="A358" s="9">
        <v>350</v>
      </c>
      <c r="B358" s="10">
        <f t="shared" ca="1" si="5"/>
        <v>8.5740010994217047E-2</v>
      </c>
      <c r="C358" s="10">
        <f ca="1">NPV(B358,Project_FCF!C18:J18)+Project_FCF!B18</f>
        <v>891.1225138478012</v>
      </c>
      <c r="D358" s="4"/>
      <c r="E358" s="4"/>
    </row>
    <row r="359" spans="1:5" x14ac:dyDescent="0.3">
      <c r="A359" s="9">
        <v>351</v>
      </c>
      <c r="B359" s="10">
        <f t="shared" ca="1" si="5"/>
        <v>8.8837709083624969E-2</v>
      </c>
      <c r="C359" s="10">
        <f ca="1">NPV(B359,Project_FCF!C18:J18)+Project_FCF!B18</f>
        <v>866.5134959312627</v>
      </c>
      <c r="D359" s="4"/>
      <c r="E359" s="4"/>
    </row>
    <row r="360" spans="1:5" x14ac:dyDescent="0.3">
      <c r="A360" s="9">
        <v>352</v>
      </c>
      <c r="B360" s="10">
        <f t="shared" ca="1" si="5"/>
        <v>0.10146630848344008</v>
      </c>
      <c r="C360" s="10">
        <f ca="1">NPV(B360,Project_FCF!C18:J18)+Project_FCF!B18</f>
        <v>772.14976412121382</v>
      </c>
      <c r="D360" s="4"/>
      <c r="E360" s="4"/>
    </row>
    <row r="361" spans="1:5" x14ac:dyDescent="0.3">
      <c r="A361" s="9">
        <v>353</v>
      </c>
      <c r="B361" s="10">
        <f t="shared" ca="1" si="5"/>
        <v>9.6410414071907119E-2</v>
      </c>
      <c r="C361" s="10">
        <f ca="1">NPV(B361,Project_FCF!C18:J18)+Project_FCF!B18</f>
        <v>808.8153366468166</v>
      </c>
      <c r="D361" s="4"/>
      <c r="E361" s="4"/>
    </row>
    <row r="362" spans="1:5" x14ac:dyDescent="0.3">
      <c r="A362" s="9">
        <v>354</v>
      </c>
      <c r="B362" s="10">
        <f t="shared" ca="1" si="5"/>
        <v>7.2695242881794422E-2</v>
      </c>
      <c r="C362" s="10">
        <f ca="1">NPV(B362,Project_FCF!C18:J18)+Project_FCF!B18</f>
        <v>1001.6427789844556</v>
      </c>
      <c r="D362" s="4"/>
      <c r="E362" s="4"/>
    </row>
    <row r="363" spans="1:5" x14ac:dyDescent="0.3">
      <c r="A363" s="9">
        <v>355</v>
      </c>
      <c r="B363" s="10">
        <f t="shared" ca="1" si="5"/>
        <v>6.6081540801836605E-2</v>
      </c>
      <c r="C363" s="10">
        <f ca="1">NPV(B363,Project_FCF!C18:J18)+Project_FCF!B18</f>
        <v>1062.2328762936311</v>
      </c>
      <c r="D363" s="4"/>
      <c r="E363" s="4"/>
    </row>
    <row r="364" spans="1:5" x14ac:dyDescent="0.3">
      <c r="A364" s="9">
        <v>356</v>
      </c>
      <c r="B364" s="10">
        <f t="shared" ca="1" si="5"/>
        <v>8.0565772987844134E-2</v>
      </c>
      <c r="C364" s="10">
        <f ca="1">NPV(B364,Project_FCF!C18:J18)+Project_FCF!B18</f>
        <v>933.59513651114617</v>
      </c>
      <c r="D364" s="4"/>
      <c r="E364" s="4"/>
    </row>
    <row r="365" spans="1:5" x14ac:dyDescent="0.3">
      <c r="A365" s="9">
        <v>357</v>
      </c>
      <c r="B365" s="10">
        <f t="shared" ca="1" si="5"/>
        <v>6.8367182428591786E-2</v>
      </c>
      <c r="C365" s="10">
        <f ca="1">NPV(B365,Project_FCF!C18:J18)+Project_FCF!B18</f>
        <v>1040.9282401087717</v>
      </c>
      <c r="D365" s="4"/>
      <c r="E365" s="4"/>
    </row>
    <row r="366" spans="1:5" x14ac:dyDescent="0.3">
      <c r="A366" s="9">
        <v>358</v>
      </c>
      <c r="B366" s="10">
        <f t="shared" ca="1" si="5"/>
        <v>8.1655305144556337E-2</v>
      </c>
      <c r="C366" s="10">
        <f ca="1">NPV(B366,Project_FCF!C18:J18)+Project_FCF!B18</f>
        <v>924.5065153176472</v>
      </c>
      <c r="D366" s="4"/>
      <c r="E366" s="4"/>
    </row>
    <row r="367" spans="1:5" x14ac:dyDescent="0.3">
      <c r="A367" s="9">
        <v>359</v>
      </c>
      <c r="B367" s="10">
        <f t="shared" ca="1" si="5"/>
        <v>9.601244446119947E-2</v>
      </c>
      <c r="C367" s="10">
        <f ca="1">NPV(B367,Project_FCF!C18:J18)+Project_FCF!B18</f>
        <v>811.76319719863295</v>
      </c>
      <c r="D367" s="4"/>
      <c r="E367" s="4"/>
    </row>
    <row r="368" spans="1:5" x14ac:dyDescent="0.3">
      <c r="A368" s="9">
        <v>360</v>
      </c>
      <c r="B368" s="10">
        <f t="shared" ca="1" si="5"/>
        <v>6.6503044476032572E-2</v>
      </c>
      <c r="C368" s="10">
        <f ca="1">NPV(B368,Project_FCF!C18:J18)+Project_FCF!B18</f>
        <v>1058.2744522006572</v>
      </c>
      <c r="D368" s="4"/>
      <c r="E368" s="4"/>
    </row>
    <row r="369" spans="1:5" x14ac:dyDescent="0.3">
      <c r="A369" s="9">
        <v>361</v>
      </c>
      <c r="B369" s="10">
        <f t="shared" ca="1" si="5"/>
        <v>6.8544477780612886E-2</v>
      </c>
      <c r="C369" s="10">
        <f ca="1">NPV(B369,Project_FCF!C18:J18)+Project_FCF!B18</f>
        <v>1039.2919809704554</v>
      </c>
      <c r="D369" s="4"/>
      <c r="E369" s="4"/>
    </row>
    <row r="370" spans="1:5" x14ac:dyDescent="0.3">
      <c r="A370" s="9">
        <v>362</v>
      </c>
      <c r="B370" s="10">
        <f t="shared" ca="1" si="5"/>
        <v>6.6711647709946087E-2</v>
      </c>
      <c r="C370" s="10">
        <f ca="1">NPV(B370,Project_FCF!C18:J18)+Project_FCF!B18</f>
        <v>1056.3203875021979</v>
      </c>
      <c r="D370" s="4"/>
      <c r="E370" s="4"/>
    </row>
    <row r="371" spans="1:5" x14ac:dyDescent="0.3">
      <c r="A371" s="9">
        <v>363</v>
      </c>
      <c r="B371" s="10">
        <f t="shared" ca="1" si="5"/>
        <v>7.8015108336617178E-2</v>
      </c>
      <c r="C371" s="10">
        <f ca="1">NPV(B371,Project_FCF!C18:J18)+Project_FCF!B18</f>
        <v>955.18226218697328</v>
      </c>
      <c r="D371" s="4"/>
      <c r="E371" s="4"/>
    </row>
    <row r="372" spans="1:5" x14ac:dyDescent="0.3">
      <c r="A372" s="9">
        <v>364</v>
      </c>
      <c r="B372" s="10">
        <f t="shared" ca="1" si="5"/>
        <v>8.2251575247364428E-2</v>
      </c>
      <c r="C372" s="10">
        <f ca="1">NPV(B372,Project_FCF!C18:J18)+Project_FCF!B18</f>
        <v>919.56571412185212</v>
      </c>
      <c r="D372" s="4"/>
      <c r="E372" s="4"/>
    </row>
    <row r="373" spans="1:5" x14ac:dyDescent="0.3">
      <c r="A373" s="9">
        <v>365</v>
      </c>
      <c r="B373" s="10">
        <f t="shared" ca="1" si="5"/>
        <v>8.2951855098020041E-2</v>
      </c>
      <c r="C373" s="10">
        <f ca="1">NPV(B373,Project_FCF!C18:J18)+Project_FCF!B18</f>
        <v>913.79279297862104</v>
      </c>
      <c r="D373" s="4"/>
      <c r="E373" s="4"/>
    </row>
    <row r="374" spans="1:5" x14ac:dyDescent="0.3">
      <c r="A374" s="9">
        <v>366</v>
      </c>
      <c r="B374" s="10">
        <f t="shared" ca="1" si="5"/>
        <v>9.7471970484463488E-2</v>
      </c>
      <c r="C374" s="10">
        <f ca="1">NPV(B374,Project_FCF!C18:J18)+Project_FCF!B18</f>
        <v>800.99673568513595</v>
      </c>
      <c r="D374" s="4"/>
      <c r="E374" s="4"/>
    </row>
    <row r="375" spans="1:5" x14ac:dyDescent="0.3">
      <c r="A375" s="9">
        <v>367</v>
      </c>
      <c r="B375" s="10">
        <f t="shared" ca="1" si="5"/>
        <v>9.8371092058667731E-2</v>
      </c>
      <c r="C375" s="10">
        <f ca="1">NPV(B375,Project_FCF!C18:J18)+Project_FCF!B18</f>
        <v>794.42491209655213</v>
      </c>
      <c r="D375" s="4"/>
      <c r="E375" s="4"/>
    </row>
    <row r="376" spans="1:5" x14ac:dyDescent="0.3">
      <c r="A376" s="9">
        <v>368</v>
      </c>
      <c r="B376" s="10">
        <f t="shared" ca="1" si="5"/>
        <v>9.0144379453616974E-2</v>
      </c>
      <c r="C376" s="10">
        <f ca="1">NPV(B376,Project_FCF!C18:J18)+Project_FCF!B18</f>
        <v>856.31152222795777</v>
      </c>
      <c r="D376" s="4"/>
      <c r="E376" s="4"/>
    </row>
    <row r="377" spans="1:5" x14ac:dyDescent="0.3">
      <c r="A377" s="9">
        <v>369</v>
      </c>
      <c r="B377" s="10">
        <f t="shared" ca="1" si="5"/>
        <v>6.8824022267855986E-2</v>
      </c>
      <c r="C377" s="10">
        <f ca="1">NPV(B377,Project_FCF!C18:J18)+Project_FCF!B18</f>
        <v>1036.7167986986155</v>
      </c>
      <c r="D377" s="4"/>
      <c r="E377" s="4"/>
    </row>
    <row r="378" spans="1:5" x14ac:dyDescent="0.3">
      <c r="A378" s="9">
        <v>370</v>
      </c>
      <c r="B378" s="10">
        <f t="shared" ca="1" si="5"/>
        <v>7.0171942698990616E-2</v>
      </c>
      <c r="C378" s="10">
        <f ca="1">NPV(B378,Project_FCF!C18:J18)+Project_FCF!B18</f>
        <v>1024.3805457309797</v>
      </c>
      <c r="D378" s="4"/>
      <c r="E378" s="4"/>
    </row>
    <row r="379" spans="1:5" x14ac:dyDescent="0.3">
      <c r="A379" s="9">
        <v>371</v>
      </c>
      <c r="B379" s="10">
        <f t="shared" ca="1" si="5"/>
        <v>8.451556836739961E-2</v>
      </c>
      <c r="C379" s="10">
        <f ca="1">NPV(B379,Project_FCF!C18:J18)+Project_FCF!B18</f>
        <v>901.01686277995054</v>
      </c>
      <c r="D379" s="4"/>
      <c r="E379" s="4"/>
    </row>
    <row r="380" spans="1:5" x14ac:dyDescent="0.3">
      <c r="A380" s="9">
        <v>372</v>
      </c>
      <c r="B380" s="10">
        <f t="shared" ca="1" si="5"/>
        <v>9.3262398558721926E-2</v>
      </c>
      <c r="C380" s="10">
        <f ca="1">NPV(B380,Project_FCF!C18:J18)+Project_FCF!B18</f>
        <v>832.38588720816688</v>
      </c>
      <c r="D380" s="4"/>
      <c r="E380" s="4"/>
    </row>
    <row r="381" spans="1:5" x14ac:dyDescent="0.3">
      <c r="A381" s="9">
        <v>373</v>
      </c>
      <c r="B381" s="10">
        <f t="shared" ca="1" si="5"/>
        <v>9.9717632972398065E-2</v>
      </c>
      <c r="C381" s="10">
        <f ca="1">NPV(B381,Project_FCF!C18:J18)+Project_FCF!B18</f>
        <v>784.66845304307139</v>
      </c>
      <c r="D381" s="4"/>
      <c r="E381" s="4"/>
    </row>
    <row r="382" spans="1:5" x14ac:dyDescent="0.3">
      <c r="A382" s="9">
        <v>374</v>
      </c>
      <c r="B382" s="10">
        <f t="shared" ca="1" si="5"/>
        <v>9.0605988295859863E-2</v>
      </c>
      <c r="C382" s="10">
        <f ca="1">NPV(B382,Project_FCF!C18:J18)+Project_FCF!B18</f>
        <v>852.73242507575992</v>
      </c>
      <c r="D382" s="4"/>
      <c r="E382" s="4"/>
    </row>
    <row r="383" spans="1:5" x14ac:dyDescent="0.3">
      <c r="A383" s="9">
        <v>375</v>
      </c>
      <c r="B383" s="10">
        <f t="shared" ca="1" si="5"/>
        <v>9.877744138820041E-2</v>
      </c>
      <c r="C383" s="10">
        <f ca="1">NPV(B383,Project_FCF!C18:J18)+Project_FCF!B18</f>
        <v>791.46990247767121</v>
      </c>
      <c r="D383" s="4"/>
      <c r="E383" s="4"/>
    </row>
    <row r="384" spans="1:5" x14ac:dyDescent="0.3">
      <c r="A384" s="9">
        <v>376</v>
      </c>
      <c r="B384" s="10">
        <f t="shared" ca="1" si="5"/>
        <v>6.6465036295963814E-2</v>
      </c>
      <c r="C384" s="10">
        <f ca="1">NPV(B384,Project_FCF!C18:J18)+Project_FCF!B18</f>
        <v>1058.6308430292113</v>
      </c>
      <c r="D384" s="4"/>
      <c r="E384" s="4"/>
    </row>
    <row r="385" spans="1:5" x14ac:dyDescent="0.3">
      <c r="A385" s="9">
        <v>377</v>
      </c>
      <c r="B385" s="10">
        <f t="shared" ca="1" si="5"/>
        <v>6.5630266632737425E-2</v>
      </c>
      <c r="C385" s="10">
        <f ca="1">NPV(B385,Project_FCF!C18:J18)+Project_FCF!B18</f>
        <v>1066.4858208066264</v>
      </c>
      <c r="D385" s="4"/>
      <c r="E385" s="4"/>
    </row>
    <row r="386" spans="1:5" x14ac:dyDescent="0.3">
      <c r="A386" s="9">
        <v>378</v>
      </c>
      <c r="B386" s="10">
        <f t="shared" ca="1" si="5"/>
        <v>8.0957067109233921E-2</v>
      </c>
      <c r="C386" s="10">
        <f ca="1">NPV(B386,Project_FCF!C18:J18)+Project_FCF!B18</f>
        <v>930.32200915045814</v>
      </c>
      <c r="D386" s="4"/>
      <c r="E386" s="4"/>
    </row>
    <row r="387" spans="1:5" x14ac:dyDescent="0.3">
      <c r="A387" s="9">
        <v>379</v>
      </c>
      <c r="B387" s="10">
        <f t="shared" ca="1" si="5"/>
        <v>8.9942307346617595E-2</v>
      </c>
      <c r="C387" s="10">
        <f ca="1">NPV(B387,Project_FCF!C18:J18)+Project_FCF!B18</f>
        <v>857.88238228111095</v>
      </c>
      <c r="D387" s="4"/>
      <c r="E387" s="4"/>
    </row>
    <row r="388" spans="1:5" x14ac:dyDescent="0.3">
      <c r="A388" s="9">
        <v>380</v>
      </c>
      <c r="B388" s="10">
        <f t="shared" ca="1" si="5"/>
        <v>8.8906583963562574E-2</v>
      </c>
      <c r="C388" s="10">
        <f ca="1">NPV(B388,Project_FCF!C18:J18)+Project_FCF!B18</f>
        <v>865.97312697976599</v>
      </c>
      <c r="D388" s="4"/>
      <c r="E388" s="4"/>
    </row>
    <row r="389" spans="1:5" x14ac:dyDescent="0.3">
      <c r="A389" s="9">
        <v>381</v>
      </c>
      <c r="B389" s="10">
        <f t="shared" ca="1" si="5"/>
        <v>7.496970574914627E-2</v>
      </c>
      <c r="C389" s="10">
        <f ca="1">NPV(B389,Project_FCF!C18:J18)+Project_FCF!B18</f>
        <v>981.53726736040858</v>
      </c>
      <c r="D389" s="4"/>
      <c r="E389" s="4"/>
    </row>
    <row r="390" spans="1:5" x14ac:dyDescent="0.3">
      <c r="A390" s="9">
        <v>382</v>
      </c>
      <c r="B390" s="10">
        <f t="shared" ca="1" si="5"/>
        <v>7.2538542136267634E-2</v>
      </c>
      <c r="C390" s="10">
        <f ca="1">NPV(B390,Project_FCF!C18:J18)+Project_FCF!B18</f>
        <v>1003.0414786338285</v>
      </c>
      <c r="D390" s="4"/>
      <c r="E390" s="4"/>
    </row>
    <row r="391" spans="1:5" x14ac:dyDescent="0.3">
      <c r="A391" s="9">
        <v>383</v>
      </c>
      <c r="B391" s="10">
        <f t="shared" ca="1" si="5"/>
        <v>7.3877613656946506E-2</v>
      </c>
      <c r="C391" s="10">
        <f ca="1">NPV(B391,Project_FCF!C18:J18)+Project_FCF!B18</f>
        <v>991.14537992229543</v>
      </c>
      <c r="D391" s="4"/>
      <c r="E391" s="4"/>
    </row>
    <row r="392" spans="1:5" x14ac:dyDescent="0.3">
      <c r="A392" s="9">
        <v>384</v>
      </c>
      <c r="B392" s="10">
        <f t="shared" ca="1" si="5"/>
        <v>9.7424608490693371E-2</v>
      </c>
      <c r="C392" s="10">
        <f ca="1">NPV(B392,Project_FCF!C18:J18)+Project_FCF!B18</f>
        <v>801.34419003961557</v>
      </c>
      <c r="D392" s="4"/>
      <c r="E392" s="4"/>
    </row>
    <row r="393" spans="1:5" x14ac:dyDescent="0.3">
      <c r="A393" s="9">
        <v>385</v>
      </c>
      <c r="B393" s="10">
        <f t="shared" ref="B393:B456" ca="1" si="6">$B$4+RAND()*($B$5-$B$4)</f>
        <v>6.8640501556910802E-2</v>
      </c>
      <c r="C393" s="10">
        <f ca="1">NPV(B393,Project_FCF!C18:J18)+Project_FCF!B18</f>
        <v>1038.4067508553535</v>
      </c>
      <c r="D393" s="4"/>
      <c r="E393" s="4"/>
    </row>
    <row r="394" spans="1:5" x14ac:dyDescent="0.3">
      <c r="A394" s="9">
        <v>386</v>
      </c>
      <c r="B394" s="10">
        <f t="shared" ca="1" si="6"/>
        <v>7.3548833156138124E-2</v>
      </c>
      <c r="C394" s="10">
        <f ca="1">NPV(B394,Project_FCF!C18:J18)+Project_FCF!B18</f>
        <v>994.05442061489339</v>
      </c>
      <c r="D394" s="4"/>
      <c r="E394" s="4"/>
    </row>
    <row r="395" spans="1:5" x14ac:dyDescent="0.3">
      <c r="A395" s="9">
        <v>387</v>
      </c>
      <c r="B395" s="10">
        <f t="shared" ca="1" si="6"/>
        <v>7.5824616453485774E-2</v>
      </c>
      <c r="C395" s="10">
        <f ca="1">NPV(B395,Project_FCF!C18:J18)+Project_FCF!B18</f>
        <v>974.07411231815968</v>
      </c>
      <c r="D395" s="4"/>
      <c r="E395" s="4"/>
    </row>
    <row r="396" spans="1:5" x14ac:dyDescent="0.3">
      <c r="A396" s="9">
        <v>388</v>
      </c>
      <c r="B396" s="10">
        <f t="shared" ca="1" si="6"/>
        <v>8.6962170485977514E-2</v>
      </c>
      <c r="C396" s="10">
        <f ca="1">NPV(B396,Project_FCF!C18:J18)+Project_FCF!B18</f>
        <v>881.34150987947623</v>
      </c>
      <c r="D396" s="4"/>
      <c r="E396" s="4"/>
    </row>
    <row r="397" spans="1:5" x14ac:dyDescent="0.3">
      <c r="A397" s="9">
        <v>389</v>
      </c>
      <c r="B397" s="10">
        <f t="shared" ca="1" si="6"/>
        <v>9.1645630887950594E-2</v>
      </c>
      <c r="C397" s="10">
        <f ca="1">NPV(B397,Project_FCF!C18:J18)+Project_FCF!B18</f>
        <v>844.71886507615591</v>
      </c>
      <c r="D397" s="4"/>
      <c r="E397" s="4"/>
    </row>
    <row r="398" spans="1:5" x14ac:dyDescent="0.3">
      <c r="A398" s="9">
        <v>390</v>
      </c>
      <c r="B398" s="10">
        <f t="shared" ca="1" si="6"/>
        <v>8.329146795727671E-2</v>
      </c>
      <c r="C398" s="10">
        <f ca="1">NPV(B398,Project_FCF!C18:J18)+Project_FCF!B18</f>
        <v>911.00461951580496</v>
      </c>
      <c r="D398" s="4"/>
      <c r="E398" s="4"/>
    </row>
    <row r="399" spans="1:5" x14ac:dyDescent="0.3">
      <c r="A399" s="9">
        <v>391</v>
      </c>
      <c r="B399" s="10">
        <f t="shared" ca="1" si="6"/>
        <v>0.10174298773123655</v>
      </c>
      <c r="C399" s="10">
        <f ca="1">NPV(B399,Project_FCF!C18:J18)+Project_FCF!B18</f>
        <v>770.18455617452378</v>
      </c>
      <c r="D399" s="4"/>
      <c r="E399" s="4"/>
    </row>
    <row r="400" spans="1:5" x14ac:dyDescent="0.3">
      <c r="A400" s="9">
        <v>392</v>
      </c>
      <c r="B400" s="10">
        <f t="shared" ca="1" si="6"/>
        <v>6.7281063126983953E-2</v>
      </c>
      <c r="C400" s="10">
        <f ca="1">NPV(B400,Project_FCF!C18:J18)+Project_FCF!B18</f>
        <v>1051.003147576874</v>
      </c>
      <c r="D400" s="4"/>
      <c r="E400" s="4"/>
    </row>
    <row r="401" spans="1:5" x14ac:dyDescent="0.3">
      <c r="A401" s="9">
        <v>393</v>
      </c>
      <c r="B401" s="10">
        <f t="shared" ca="1" si="6"/>
        <v>9.7405628897590565E-2</v>
      </c>
      <c r="C401" s="10">
        <f ca="1">NPV(B401,Project_FCF!C18:J18)+Project_FCF!B18</f>
        <v>801.48346304541883</v>
      </c>
      <c r="D401" s="4"/>
      <c r="E401" s="4"/>
    </row>
    <row r="402" spans="1:5" x14ac:dyDescent="0.3">
      <c r="A402" s="9">
        <v>394</v>
      </c>
      <c r="B402" s="10">
        <f t="shared" ca="1" si="6"/>
        <v>9.7779023332783155E-2</v>
      </c>
      <c r="C402" s="10">
        <f ca="1">NPV(B402,Project_FCF!C18:J18)+Project_FCF!B18</f>
        <v>798.74725994481082</v>
      </c>
      <c r="D402" s="4"/>
      <c r="E402" s="4"/>
    </row>
    <row r="403" spans="1:5" x14ac:dyDescent="0.3">
      <c r="A403" s="9">
        <v>395</v>
      </c>
      <c r="B403" s="10">
        <f t="shared" ca="1" si="6"/>
        <v>9.675139298948901E-2</v>
      </c>
      <c r="C403" s="10">
        <f ca="1">NPV(B403,Project_FCF!C18:J18)+Project_FCF!B18</f>
        <v>806.29689111231551</v>
      </c>
      <c r="D403" s="4"/>
      <c r="E403" s="4"/>
    </row>
    <row r="404" spans="1:5" x14ac:dyDescent="0.3">
      <c r="A404" s="9">
        <v>396</v>
      </c>
      <c r="B404" s="10">
        <f t="shared" ca="1" si="6"/>
        <v>9.0591294007540624E-2</v>
      </c>
      <c r="C404" s="10">
        <f ca="1">NPV(B404,Project_FCF!C18:J18)+Project_FCF!B18</f>
        <v>852.84615784789003</v>
      </c>
      <c r="D404" s="4"/>
      <c r="E404" s="4"/>
    </row>
    <row r="405" spans="1:5" x14ac:dyDescent="0.3">
      <c r="A405" s="9">
        <v>397</v>
      </c>
      <c r="B405" s="10">
        <f t="shared" ca="1" si="6"/>
        <v>8.8678866239649226E-2</v>
      </c>
      <c r="C405" s="10">
        <f ca="1">NPV(B405,Project_FCF!C18:J18)+Project_FCF!B18</f>
        <v>867.76083980010526</v>
      </c>
      <c r="D405" s="4"/>
      <c r="E405" s="4"/>
    </row>
    <row r="406" spans="1:5" x14ac:dyDescent="0.3">
      <c r="A406" s="9">
        <v>398</v>
      </c>
      <c r="B406" s="10">
        <f t="shared" ca="1" si="6"/>
        <v>8.5755612749874921E-2</v>
      </c>
      <c r="C406" s="10">
        <f ca="1">NPV(B406,Project_FCF!C18:J18)+Project_FCF!B18</f>
        <v>890.99705701285279</v>
      </c>
      <c r="D406" s="4"/>
      <c r="E406" s="4"/>
    </row>
    <row r="407" spans="1:5" x14ac:dyDescent="0.3">
      <c r="A407" s="9">
        <v>399</v>
      </c>
      <c r="B407" s="10">
        <f t="shared" ca="1" si="6"/>
        <v>8.8296632488548299E-2</v>
      </c>
      <c r="C407" s="10">
        <f ca="1">NPV(B407,Project_FCF!C18:J18)+Project_FCF!B18</f>
        <v>870.76880065469777</v>
      </c>
      <c r="D407" s="4"/>
      <c r="E407" s="4"/>
    </row>
    <row r="408" spans="1:5" x14ac:dyDescent="0.3">
      <c r="A408" s="9">
        <v>400</v>
      </c>
      <c r="B408" s="10">
        <f t="shared" ca="1" si="6"/>
        <v>7.7874920236923176E-2</v>
      </c>
      <c r="C408" s="10">
        <f ca="1">NPV(B408,Project_FCF!C18:J18)+Project_FCF!B18</f>
        <v>956.38146284872732</v>
      </c>
      <c r="D408" s="4"/>
      <c r="E408" s="4"/>
    </row>
    <row r="409" spans="1:5" x14ac:dyDescent="0.3">
      <c r="A409" s="9">
        <v>401</v>
      </c>
      <c r="B409" s="10">
        <f t="shared" ca="1" si="6"/>
        <v>7.5212246352340334E-2</v>
      </c>
      <c r="C409" s="10">
        <f ca="1">NPV(B409,Project_FCF!C18:J18)+Project_FCF!B18</f>
        <v>979.41477140652796</v>
      </c>
      <c r="D409" s="4"/>
      <c r="E409" s="4"/>
    </row>
    <row r="410" spans="1:5" x14ac:dyDescent="0.3">
      <c r="A410" s="9">
        <v>402</v>
      </c>
      <c r="B410" s="10">
        <f t="shared" ca="1" si="6"/>
        <v>8.8173991855463069E-2</v>
      </c>
      <c r="C410" s="10">
        <f ca="1">NPV(B410,Project_FCF!C18:J18)+Project_FCF!B18</f>
        <v>871.73583123303206</v>
      </c>
      <c r="D410" s="4"/>
      <c r="E410" s="4"/>
    </row>
    <row r="411" spans="1:5" x14ac:dyDescent="0.3">
      <c r="A411" s="9">
        <v>403</v>
      </c>
      <c r="B411" s="10">
        <f t="shared" ca="1" si="6"/>
        <v>9.0411633227004962E-2</v>
      </c>
      <c r="C411" s="10">
        <f ca="1">NPV(B411,Project_FCF!C18:J18)+Project_FCF!B18</f>
        <v>854.23778137037516</v>
      </c>
      <c r="D411" s="4"/>
      <c r="E411" s="4"/>
    </row>
    <row r="412" spans="1:5" x14ac:dyDescent="0.3">
      <c r="A412" s="9">
        <v>404</v>
      </c>
      <c r="B412" s="10">
        <f t="shared" ca="1" si="6"/>
        <v>8.2201758586084986E-2</v>
      </c>
      <c r="C412" s="10">
        <f ca="1">NPV(B412,Project_FCF!C18:J18)+Project_FCF!B18</f>
        <v>919.97761073596143</v>
      </c>
      <c r="D412" s="4"/>
      <c r="E412" s="4"/>
    </row>
    <row r="413" spans="1:5" x14ac:dyDescent="0.3">
      <c r="A413" s="9">
        <v>405</v>
      </c>
      <c r="B413" s="10">
        <f t="shared" ca="1" si="6"/>
        <v>9.5753660074468977E-2</v>
      </c>
      <c r="C413" s="10">
        <f ca="1">NPV(B413,Project_FCF!C18:J18)+Project_FCF!B18</f>
        <v>813.68499672938469</v>
      </c>
      <c r="D413" s="4"/>
      <c r="E413" s="4"/>
    </row>
    <row r="414" spans="1:5" x14ac:dyDescent="0.3">
      <c r="A414" s="9">
        <v>406</v>
      </c>
      <c r="B414" s="10">
        <f t="shared" ca="1" si="6"/>
        <v>8.5599460516369769E-2</v>
      </c>
      <c r="C414" s="10">
        <f ca="1">NPV(B414,Project_FCF!C18:J18)+Project_FCF!B18</f>
        <v>892.25340509759803</v>
      </c>
      <c r="D414" s="4"/>
      <c r="E414" s="4"/>
    </row>
    <row r="415" spans="1:5" x14ac:dyDescent="0.3">
      <c r="A415" s="9">
        <v>407</v>
      </c>
      <c r="B415" s="10">
        <f t="shared" ca="1" si="6"/>
        <v>0.10227781224140844</v>
      </c>
      <c r="C415" s="10">
        <f ca="1">NPV(B415,Project_FCF!C18:J18)+Project_FCF!B18</f>
        <v>766.39771889278086</v>
      </c>
      <c r="D415" s="4"/>
      <c r="E415" s="4"/>
    </row>
    <row r="416" spans="1:5" x14ac:dyDescent="0.3">
      <c r="A416" s="9">
        <v>408</v>
      </c>
      <c r="B416" s="10">
        <f t="shared" ca="1" si="6"/>
        <v>8.3548977417682579E-2</v>
      </c>
      <c r="C416" s="10">
        <f ca="1">NPV(B416,Project_FCF!C18:J18)+Project_FCF!B18</f>
        <v>908.89549297913914</v>
      </c>
      <c r="D416" s="4"/>
      <c r="E416" s="4"/>
    </row>
    <row r="417" spans="1:5" x14ac:dyDescent="0.3">
      <c r="A417" s="9">
        <v>409</v>
      </c>
      <c r="B417" s="10">
        <f t="shared" ca="1" si="6"/>
        <v>8.2076559406936922E-2</v>
      </c>
      <c r="C417" s="10">
        <f ca="1">NPV(B417,Project_FCF!C18:J18)+Project_FCF!B18</f>
        <v>921.01350689521928</v>
      </c>
      <c r="D417" s="4"/>
      <c r="E417" s="4"/>
    </row>
    <row r="418" spans="1:5" x14ac:dyDescent="0.3">
      <c r="A418" s="9">
        <v>410</v>
      </c>
      <c r="B418" s="10">
        <f t="shared" ca="1" si="6"/>
        <v>7.6912907436325145E-2</v>
      </c>
      <c r="C418" s="10">
        <f ca="1">NPV(B418,Project_FCF!C18:J18)+Project_FCF!B18</f>
        <v>964.64694988636302</v>
      </c>
      <c r="D418" s="4"/>
      <c r="E418" s="4"/>
    </row>
    <row r="419" spans="1:5" x14ac:dyDescent="0.3">
      <c r="A419" s="9">
        <v>411</v>
      </c>
      <c r="B419" s="10">
        <f t="shared" ca="1" si="6"/>
        <v>9.3684330310674996E-2</v>
      </c>
      <c r="C419" s="10">
        <f ca="1">NPV(B419,Project_FCF!C18:J18)+Project_FCF!B18</f>
        <v>829.19293356690787</v>
      </c>
      <c r="D419" s="4"/>
      <c r="E419" s="4"/>
    </row>
    <row r="420" spans="1:5" x14ac:dyDescent="0.3">
      <c r="A420" s="9">
        <v>412</v>
      </c>
      <c r="B420" s="10">
        <f t="shared" ca="1" si="6"/>
        <v>9.4001449758226899E-2</v>
      </c>
      <c r="C420" s="10">
        <f ca="1">NPV(B420,Project_FCF!C18:J18)+Project_FCF!B18</f>
        <v>826.80007320599452</v>
      </c>
      <c r="D420" s="4"/>
      <c r="E420" s="4"/>
    </row>
    <row r="421" spans="1:5" x14ac:dyDescent="0.3">
      <c r="A421" s="9">
        <v>413</v>
      </c>
      <c r="B421" s="10">
        <f t="shared" ca="1" si="6"/>
        <v>6.4604111578575985E-2</v>
      </c>
      <c r="C421" s="10">
        <f ca="1">NPV(B421,Project_FCF!C18:J18)+Project_FCF!B18</f>
        <v>1076.2144586374345</v>
      </c>
      <c r="D421" s="4"/>
      <c r="E421" s="4"/>
    </row>
    <row r="422" spans="1:5" x14ac:dyDescent="0.3">
      <c r="A422" s="9">
        <v>414</v>
      </c>
      <c r="B422" s="10">
        <f t="shared" ca="1" si="6"/>
        <v>9.2244049124243763E-2</v>
      </c>
      <c r="C422" s="10">
        <f ca="1">NPV(B422,Project_FCF!C18:J18)+Project_FCF!B18</f>
        <v>840.13580593070651</v>
      </c>
      <c r="D422" s="4"/>
      <c r="E422" s="4"/>
    </row>
    <row r="423" spans="1:5" x14ac:dyDescent="0.3">
      <c r="A423" s="9">
        <v>415</v>
      </c>
      <c r="B423" s="10">
        <f t="shared" ca="1" si="6"/>
        <v>8.6739939806797714E-2</v>
      </c>
      <c r="C423" s="10">
        <f ca="1">NPV(B423,Project_FCF!C18:J18)+Project_FCF!B18</f>
        <v>883.11302777210585</v>
      </c>
      <c r="D423" s="4"/>
      <c r="E423" s="4"/>
    </row>
    <row r="424" spans="1:5" x14ac:dyDescent="0.3">
      <c r="A424" s="9">
        <v>416</v>
      </c>
      <c r="B424" s="10">
        <f t="shared" ca="1" si="6"/>
        <v>6.9882267376524421E-2</v>
      </c>
      <c r="C424" s="10">
        <f ca="1">NPV(B424,Project_FCF!C18:J18)+Project_FCF!B18</f>
        <v>1027.0204164493855</v>
      </c>
      <c r="D424" s="4"/>
      <c r="E424" s="4"/>
    </row>
    <row r="425" spans="1:5" x14ac:dyDescent="0.3">
      <c r="A425" s="9">
        <v>417</v>
      </c>
      <c r="B425" s="10">
        <f t="shared" ca="1" si="6"/>
        <v>9.5962064063033314E-2</v>
      </c>
      <c r="C425" s="10">
        <f ca="1">NPV(B425,Project_FCF!C18:J18)+Project_FCF!B18</f>
        <v>812.13703074442014</v>
      </c>
      <c r="D425" s="4"/>
      <c r="E425" s="4"/>
    </row>
    <row r="426" spans="1:5" x14ac:dyDescent="0.3">
      <c r="A426" s="9">
        <v>418</v>
      </c>
      <c r="B426" s="10">
        <f t="shared" ca="1" si="6"/>
        <v>8.8279488397431383E-2</v>
      </c>
      <c r="C426" s="10">
        <f ca="1">NPV(B426,Project_FCF!C18:J18)+Project_FCF!B18</f>
        <v>870.90392697642778</v>
      </c>
      <c r="D426" s="4"/>
      <c r="E426" s="4"/>
    </row>
    <row r="427" spans="1:5" x14ac:dyDescent="0.3">
      <c r="A427" s="9">
        <v>419</v>
      </c>
      <c r="B427" s="10">
        <f t="shared" ca="1" si="6"/>
        <v>9.8264703833670003E-2</v>
      </c>
      <c r="C427" s="10">
        <f ca="1">NPV(B427,Project_FCF!C18:J18)+Project_FCF!B18</f>
        <v>795.20012231002625</v>
      </c>
      <c r="D427" s="4"/>
      <c r="E427" s="4"/>
    </row>
    <row r="428" spans="1:5" x14ac:dyDescent="0.3">
      <c r="A428" s="9">
        <v>420</v>
      </c>
      <c r="B428" s="10">
        <f t="shared" ca="1" si="6"/>
        <v>7.4137418314839332E-2</v>
      </c>
      <c r="C428" s="10">
        <f ca="1">NPV(B428,Project_FCF!C18:J18)+Project_FCF!B18</f>
        <v>988.85203844052216</v>
      </c>
      <c r="D428" s="4"/>
      <c r="E428" s="4"/>
    </row>
    <row r="429" spans="1:5" x14ac:dyDescent="0.3">
      <c r="A429" s="9">
        <v>421</v>
      </c>
      <c r="B429" s="10">
        <f t="shared" ca="1" si="6"/>
        <v>6.4917624883804703E-2</v>
      </c>
      <c r="C429" s="10">
        <f ca="1">NPV(B429,Project_FCF!C18:J18)+Project_FCF!B18</f>
        <v>1073.2335878898903</v>
      </c>
      <c r="D429" s="4"/>
      <c r="E429" s="4"/>
    </row>
    <row r="430" spans="1:5" x14ac:dyDescent="0.3">
      <c r="A430" s="9">
        <v>422</v>
      </c>
      <c r="B430" s="10">
        <f t="shared" ca="1" si="6"/>
        <v>0.10020466175098636</v>
      </c>
      <c r="C430" s="10">
        <f ca="1">NPV(B430,Project_FCF!C18:J18)+Project_FCF!B18</f>
        <v>781.16473388190411</v>
      </c>
      <c r="D430" s="4"/>
      <c r="E430" s="4"/>
    </row>
    <row r="431" spans="1:5" x14ac:dyDescent="0.3">
      <c r="A431" s="9">
        <v>423</v>
      </c>
      <c r="B431" s="10">
        <f t="shared" ca="1" si="6"/>
        <v>0.10068327192090253</v>
      </c>
      <c r="C431" s="10">
        <f ca="1">NPV(B431,Project_FCF!C18:J18)+Project_FCF!B18</f>
        <v>777.73447185486361</v>
      </c>
      <c r="D431" s="4"/>
      <c r="E431" s="4"/>
    </row>
    <row r="432" spans="1:5" x14ac:dyDescent="0.3">
      <c r="A432" s="9">
        <v>424</v>
      </c>
      <c r="B432" s="10">
        <f t="shared" ca="1" si="6"/>
        <v>9.2143973400965432E-2</v>
      </c>
      <c r="C432" s="10">
        <f ca="1">NPV(B432,Project_FCF!C18:J18)+Project_FCF!B18</f>
        <v>840.90075175101106</v>
      </c>
      <c r="D432" s="4"/>
      <c r="E432" s="4"/>
    </row>
    <row r="433" spans="1:5" x14ac:dyDescent="0.3">
      <c r="A433" s="9">
        <v>425</v>
      </c>
      <c r="B433" s="10">
        <f t="shared" ca="1" si="6"/>
        <v>7.5631086826817143E-2</v>
      </c>
      <c r="C433" s="10">
        <f ca="1">NPV(B433,Project_FCF!C18:J18)+Project_FCF!B18</f>
        <v>975.75912084734136</v>
      </c>
      <c r="D433" s="4"/>
      <c r="E433" s="4"/>
    </row>
    <row r="434" spans="1:5" x14ac:dyDescent="0.3">
      <c r="A434" s="9">
        <v>426</v>
      </c>
      <c r="B434" s="10">
        <f t="shared" ca="1" si="6"/>
        <v>7.9592309105025502E-2</v>
      </c>
      <c r="C434" s="10">
        <f ca="1">NPV(B434,Project_FCF!C18:J18)+Project_FCF!B18</f>
        <v>941.78229256302143</v>
      </c>
      <c r="D434" s="4"/>
      <c r="E434" s="4"/>
    </row>
    <row r="435" spans="1:5" x14ac:dyDescent="0.3">
      <c r="A435" s="9">
        <v>427</v>
      </c>
      <c r="B435" s="10">
        <f t="shared" ca="1" si="6"/>
        <v>8.5906357078504664E-2</v>
      </c>
      <c r="C435" s="10">
        <f ca="1">NPV(B435,Project_FCF!C18:J18)+Project_FCF!B18</f>
        <v>889.78568710412628</v>
      </c>
      <c r="D435" s="4"/>
      <c r="E435" s="4"/>
    </row>
    <row r="436" spans="1:5" x14ac:dyDescent="0.3">
      <c r="A436" s="9">
        <v>428</v>
      </c>
      <c r="B436" s="10">
        <f t="shared" ca="1" si="6"/>
        <v>8.0225474886524567E-2</v>
      </c>
      <c r="C436" s="10">
        <f ca="1">NPV(B436,Project_FCF!C18:J18)+Project_FCF!B18</f>
        <v>936.44996474672939</v>
      </c>
      <c r="D436" s="4"/>
      <c r="E436" s="4"/>
    </row>
    <row r="437" spans="1:5" x14ac:dyDescent="0.3">
      <c r="A437" s="9">
        <v>429</v>
      </c>
      <c r="B437" s="10">
        <f t="shared" ca="1" si="6"/>
        <v>9.5202946052466653E-2</v>
      </c>
      <c r="C437" s="10">
        <f ca="1">NPV(B437,Project_FCF!C18:J18)+Project_FCF!B18</f>
        <v>817.78768925106783</v>
      </c>
      <c r="D437" s="4"/>
      <c r="E437" s="4"/>
    </row>
    <row r="438" spans="1:5" x14ac:dyDescent="0.3">
      <c r="A438" s="9">
        <v>430</v>
      </c>
      <c r="B438" s="10">
        <f t="shared" ca="1" si="6"/>
        <v>7.6557895124978737E-2</v>
      </c>
      <c r="C438" s="10">
        <f ca="1">NPV(B438,Project_FCF!C18:J18)+Project_FCF!B18</f>
        <v>967.71320726607087</v>
      </c>
      <c r="D438" s="4"/>
      <c r="E438" s="4"/>
    </row>
    <row r="439" spans="1:5" x14ac:dyDescent="0.3">
      <c r="A439" s="9">
        <v>431</v>
      </c>
      <c r="B439" s="10">
        <f t="shared" ca="1" si="6"/>
        <v>7.8170937817817074E-2</v>
      </c>
      <c r="C439" s="10">
        <f ca="1">NPV(B439,Project_FCF!C18:J18)+Project_FCF!B18</f>
        <v>953.85083101107398</v>
      </c>
      <c r="D439" s="4"/>
      <c r="E439" s="4"/>
    </row>
    <row r="440" spans="1:5" x14ac:dyDescent="0.3">
      <c r="A440" s="9">
        <v>432</v>
      </c>
      <c r="B440" s="10">
        <f t="shared" ca="1" si="6"/>
        <v>6.9775034086990428E-2</v>
      </c>
      <c r="C440" s="10">
        <f ca="1">NPV(B440,Project_FCF!C18:J18)+Project_FCF!B18</f>
        <v>1027.9992137560607</v>
      </c>
      <c r="D440" s="4"/>
      <c r="E440" s="4"/>
    </row>
    <row r="441" spans="1:5" x14ac:dyDescent="0.3">
      <c r="A441" s="9">
        <v>433</v>
      </c>
      <c r="B441" s="10">
        <f t="shared" ca="1" si="6"/>
        <v>6.8752344382865066E-2</v>
      </c>
      <c r="C441" s="10">
        <f ca="1">NPV(B441,Project_FCF!C18:J18)+Project_FCF!B18</f>
        <v>1037.3765484060089</v>
      </c>
      <c r="D441" s="4"/>
      <c r="E441" s="4"/>
    </row>
    <row r="442" spans="1:5" x14ac:dyDescent="0.3">
      <c r="A442" s="9">
        <v>434</v>
      </c>
      <c r="B442" s="10">
        <f t="shared" ca="1" si="6"/>
        <v>8.102323775550388E-2</v>
      </c>
      <c r="C442" s="10">
        <f ca="1">NPV(B442,Project_FCF!C18:J18)+Project_FCF!B18</f>
        <v>929.76950370440886</v>
      </c>
      <c r="D442" s="4"/>
      <c r="E442" s="4"/>
    </row>
    <row r="443" spans="1:5" x14ac:dyDescent="0.3">
      <c r="A443" s="9">
        <v>435</v>
      </c>
      <c r="B443" s="10">
        <f t="shared" ca="1" si="6"/>
        <v>6.9002802631484686E-2</v>
      </c>
      <c r="C443" s="10">
        <f ca="1">NPV(B443,Project_FCF!C18:J18)+Project_FCF!B18</f>
        <v>1035.0728939561304</v>
      </c>
      <c r="D443" s="4"/>
      <c r="E443" s="4"/>
    </row>
    <row r="444" spans="1:5" x14ac:dyDescent="0.3">
      <c r="A444" s="9">
        <v>436</v>
      </c>
      <c r="B444" s="10">
        <f t="shared" ca="1" si="6"/>
        <v>0.10154478591923755</v>
      </c>
      <c r="C444" s="10">
        <f ca="1">NPV(B444,Project_FCF!C18:J18)+Project_FCF!B18</f>
        <v>771.59192294073978</v>
      </c>
      <c r="D444" s="4"/>
      <c r="E444" s="4"/>
    </row>
    <row r="445" spans="1:5" x14ac:dyDescent="0.3">
      <c r="A445" s="9">
        <v>437</v>
      </c>
      <c r="B445" s="10">
        <f t="shared" ca="1" si="6"/>
        <v>7.9450957632609537E-2</v>
      </c>
      <c r="C445" s="10">
        <f ca="1">NPV(B445,Project_FCF!C18:J18)+Project_FCF!B18</f>
        <v>942.97637801920405</v>
      </c>
      <c r="D445" s="4"/>
      <c r="E445" s="4"/>
    </row>
    <row r="446" spans="1:5" x14ac:dyDescent="0.3">
      <c r="A446" s="9">
        <v>438</v>
      </c>
      <c r="B446" s="10">
        <f t="shared" ca="1" si="6"/>
        <v>0.10173860288290132</v>
      </c>
      <c r="C446" s="10">
        <f ca="1">NPV(B446,Project_FCF!C18:J18)+Project_FCF!B18</f>
        <v>770.21566815842812</v>
      </c>
      <c r="D446" s="4"/>
      <c r="E446" s="4"/>
    </row>
    <row r="447" spans="1:5" x14ac:dyDescent="0.3">
      <c r="A447" s="9">
        <v>439</v>
      </c>
      <c r="B447" s="10">
        <f t="shared" ca="1" si="6"/>
        <v>0.10346880938720301</v>
      </c>
      <c r="C447" s="10">
        <f ca="1">NPV(B447,Project_FCF!C18:J18)+Project_FCF!B18</f>
        <v>758.0210259754881</v>
      </c>
      <c r="D447" s="4"/>
      <c r="E447" s="4"/>
    </row>
    <row r="448" spans="1:5" x14ac:dyDescent="0.3">
      <c r="A448" s="9">
        <v>440</v>
      </c>
      <c r="B448" s="10">
        <f t="shared" ca="1" si="6"/>
        <v>6.8225971471750996E-2</v>
      </c>
      <c r="C448" s="10">
        <f ca="1">NPV(B448,Project_FCF!C18:J18)+Project_FCF!B18</f>
        <v>1042.2331466968035</v>
      </c>
      <c r="D448" s="4"/>
      <c r="E448" s="4"/>
    </row>
    <row r="449" spans="1:5" x14ac:dyDescent="0.3">
      <c r="A449" s="9">
        <v>441</v>
      </c>
      <c r="B449" s="10">
        <f t="shared" ca="1" si="6"/>
        <v>7.6616316460565215E-2</v>
      </c>
      <c r="C449" s="10">
        <f ca="1">NPV(B449,Project_FCF!C18:J18)+Project_FCF!B18</f>
        <v>967.20802292245003</v>
      </c>
      <c r="D449" s="4"/>
      <c r="E449" s="4"/>
    </row>
    <row r="450" spans="1:5" x14ac:dyDescent="0.3">
      <c r="A450" s="9">
        <v>442</v>
      </c>
      <c r="B450" s="10">
        <f t="shared" ca="1" si="6"/>
        <v>8.0135244135015909E-2</v>
      </c>
      <c r="C450" s="10">
        <f ca="1">NPV(B450,Project_FCF!C18:J18)+Project_FCF!B18</f>
        <v>937.2082230214603</v>
      </c>
      <c r="D450" s="4"/>
      <c r="E450" s="4"/>
    </row>
    <row r="451" spans="1:5" x14ac:dyDescent="0.3">
      <c r="A451" s="9">
        <v>443</v>
      </c>
      <c r="B451" s="10">
        <f t="shared" ca="1" si="6"/>
        <v>6.5187370019784682E-2</v>
      </c>
      <c r="C451" s="10">
        <f ca="1">NPV(B451,Project_FCF!C18:J18)+Project_FCF!B18</f>
        <v>1070.6748950415515</v>
      </c>
      <c r="D451" s="4"/>
      <c r="E451" s="4"/>
    </row>
    <row r="452" spans="1:5" x14ac:dyDescent="0.3">
      <c r="A452" s="9">
        <v>444</v>
      </c>
      <c r="B452" s="10">
        <f t="shared" ca="1" si="6"/>
        <v>6.9593707761021278E-2</v>
      </c>
      <c r="C452" s="10">
        <f ca="1">NPV(B452,Project_FCF!C18:J18)+Project_FCF!B18</f>
        <v>1029.6562319264299</v>
      </c>
      <c r="D452" s="4"/>
      <c r="E452" s="4"/>
    </row>
    <row r="453" spans="1:5" x14ac:dyDescent="0.3">
      <c r="A453" s="9">
        <v>445</v>
      </c>
      <c r="B453" s="10">
        <f t="shared" ca="1" si="6"/>
        <v>9.2025249101236911E-2</v>
      </c>
      <c r="C453" s="10">
        <f ca="1">NPV(B453,Project_FCF!C18:J18)+Project_FCF!B18</f>
        <v>841.80901965305452</v>
      </c>
      <c r="D453" s="4"/>
      <c r="E453" s="4"/>
    </row>
    <row r="454" spans="1:5" x14ac:dyDescent="0.3">
      <c r="A454" s="9">
        <v>446</v>
      </c>
      <c r="B454" s="10">
        <f t="shared" ca="1" si="6"/>
        <v>9.0427713120061815E-2</v>
      </c>
      <c r="C454" s="10">
        <f ca="1">NPV(B454,Project_FCF!C18:J18)+Project_FCF!B18</f>
        <v>854.11314909542739</v>
      </c>
      <c r="D454" s="4"/>
      <c r="E454" s="4"/>
    </row>
    <row r="455" spans="1:5" x14ac:dyDescent="0.3">
      <c r="A455" s="9">
        <v>447</v>
      </c>
      <c r="B455" s="10">
        <f t="shared" ca="1" si="6"/>
        <v>6.9446825305217091E-2</v>
      </c>
      <c r="C455" s="10">
        <f ca="1">NPV(B455,Project_FCF!C18:J18)+Project_FCF!B18</f>
        <v>1031.0002614431071</v>
      </c>
      <c r="D455" s="4"/>
      <c r="E455" s="4"/>
    </row>
    <row r="456" spans="1:5" x14ac:dyDescent="0.3">
      <c r="A456" s="9">
        <v>448</v>
      </c>
      <c r="B456" s="10">
        <f t="shared" ca="1" si="6"/>
        <v>8.4743447945457878E-2</v>
      </c>
      <c r="C456" s="10">
        <f ca="1">NPV(B456,Project_FCF!C18:J18)+Project_FCF!B18</f>
        <v>899.16818197563975</v>
      </c>
      <c r="D456" s="4"/>
      <c r="E456" s="4"/>
    </row>
    <row r="457" spans="1:5" x14ac:dyDescent="0.3">
      <c r="A457" s="9">
        <v>449</v>
      </c>
      <c r="B457" s="10">
        <f t="shared" ref="B457:B520" ca="1" si="7">$B$4+RAND()*($B$5-$B$4)</f>
        <v>8.1916434541864383E-2</v>
      </c>
      <c r="C457" s="10">
        <f ca="1">NPV(B457,Project_FCF!C18:J18)+Project_FCF!B18</f>
        <v>922.33987631721061</v>
      </c>
      <c r="D457" s="4"/>
      <c r="E457" s="4"/>
    </row>
    <row r="458" spans="1:5" x14ac:dyDescent="0.3">
      <c r="A458" s="9">
        <v>450</v>
      </c>
      <c r="B458" s="10">
        <f t="shared" ca="1" si="7"/>
        <v>7.1398103618719802E-2</v>
      </c>
      <c r="C458" s="10">
        <f ca="1">NPV(B458,Project_FCF!C18:J18)+Project_FCF!B18</f>
        <v>1013.2740056851285</v>
      </c>
      <c r="D458" s="4"/>
      <c r="E458" s="4"/>
    </row>
    <row r="459" spans="1:5" x14ac:dyDescent="0.3">
      <c r="A459" s="9">
        <v>451</v>
      </c>
      <c r="B459" s="10">
        <f t="shared" ca="1" si="7"/>
        <v>6.9421760604493662E-2</v>
      </c>
      <c r="C459" s="10">
        <f ca="1">NPV(B459,Project_FCF!C18:J18)+Project_FCF!B18</f>
        <v>1031.2297712997809</v>
      </c>
      <c r="D459" s="4"/>
      <c r="E459" s="4"/>
    </row>
    <row r="460" spans="1:5" x14ac:dyDescent="0.3">
      <c r="A460" s="9">
        <v>452</v>
      </c>
      <c r="B460" s="10">
        <f t="shared" ca="1" si="7"/>
        <v>6.4618972390406093E-2</v>
      </c>
      <c r="C460" s="10">
        <f ca="1">NPV(B460,Project_FCF!C18:J18)+Project_FCF!B18</f>
        <v>1076.0729922338721</v>
      </c>
      <c r="D460" s="4"/>
      <c r="E460" s="4"/>
    </row>
    <row r="461" spans="1:5" x14ac:dyDescent="0.3">
      <c r="A461" s="9">
        <v>453</v>
      </c>
      <c r="B461" s="10">
        <f t="shared" ca="1" si="7"/>
        <v>8.3258343730445231E-2</v>
      </c>
      <c r="C461" s="10">
        <f ca="1">NPV(B461,Project_FCF!C18:J18)+Project_FCF!B18</f>
        <v>911.27623500003756</v>
      </c>
      <c r="D461" s="4"/>
      <c r="E461" s="4"/>
    </row>
    <row r="462" spans="1:5" x14ac:dyDescent="0.3">
      <c r="A462" s="9">
        <v>454</v>
      </c>
      <c r="B462" s="10">
        <f t="shared" ca="1" si="7"/>
        <v>6.782456526173683E-2</v>
      </c>
      <c r="C462" s="10">
        <f ca="1">NPV(B462,Project_FCF!C18:J18)+Project_FCF!B18</f>
        <v>1045.9505807254031</v>
      </c>
      <c r="D462" s="4"/>
      <c r="E462" s="4"/>
    </row>
    <row r="463" spans="1:5" x14ac:dyDescent="0.3">
      <c r="A463" s="9">
        <v>455</v>
      </c>
      <c r="B463" s="10">
        <f t="shared" ca="1" si="7"/>
        <v>9.8170447102541192E-2</v>
      </c>
      <c r="C463" s="10">
        <f ca="1">NPV(B463,Project_FCF!C18:J18)+Project_FCF!B18</f>
        <v>795.88747168500868</v>
      </c>
      <c r="D463" s="4"/>
      <c r="E463" s="4"/>
    </row>
    <row r="464" spans="1:5" x14ac:dyDescent="0.3">
      <c r="A464" s="9">
        <v>456</v>
      </c>
      <c r="B464" s="10">
        <f t="shared" ca="1" si="7"/>
        <v>8.94086273513124E-2</v>
      </c>
      <c r="C464" s="10">
        <f ca="1">NPV(B464,Project_FCF!C18:J18)+Project_FCF!B18</f>
        <v>862.04309506917707</v>
      </c>
      <c r="D464" s="4"/>
      <c r="E464" s="4"/>
    </row>
    <row r="465" spans="1:5" x14ac:dyDescent="0.3">
      <c r="A465" s="9">
        <v>457</v>
      </c>
      <c r="B465" s="10">
        <f t="shared" ca="1" si="7"/>
        <v>9.7743039133851406E-2</v>
      </c>
      <c r="C465" s="10">
        <f ca="1">NPV(B465,Project_FCF!C18:J18)+Project_FCF!B18</f>
        <v>799.0106026555186</v>
      </c>
      <c r="D465" s="4"/>
      <c r="E465" s="4"/>
    </row>
    <row r="466" spans="1:5" x14ac:dyDescent="0.3">
      <c r="A466" s="9">
        <v>458</v>
      </c>
      <c r="B466" s="10">
        <f t="shared" ca="1" si="7"/>
        <v>7.4594352596348529E-2</v>
      </c>
      <c r="C466" s="10">
        <f ca="1">NPV(B466,Project_FCF!C18:J18)+Project_FCF!B18</f>
        <v>984.83013381343335</v>
      </c>
      <c r="D466" s="4"/>
      <c r="E466" s="4"/>
    </row>
    <row r="467" spans="1:5" x14ac:dyDescent="0.3">
      <c r="A467" s="9">
        <v>459</v>
      </c>
      <c r="B467" s="10">
        <f t="shared" ca="1" si="7"/>
        <v>9.7910308129733892E-2</v>
      </c>
      <c r="C467" s="10">
        <f ca="1">NPV(B467,Project_FCF!C18:J18)+Project_FCF!B18</f>
        <v>797.787105800679</v>
      </c>
      <c r="D467" s="4"/>
      <c r="E467" s="4"/>
    </row>
    <row r="468" spans="1:5" x14ac:dyDescent="0.3">
      <c r="A468" s="9">
        <v>460</v>
      </c>
      <c r="B468" s="10">
        <f t="shared" ca="1" si="7"/>
        <v>8.6148470155291271E-2</v>
      </c>
      <c r="C468" s="10">
        <f ca="1">NPV(B468,Project_FCF!C18:J18)+Project_FCF!B18</f>
        <v>887.84309815183292</v>
      </c>
      <c r="D468" s="4"/>
      <c r="E468" s="4"/>
    </row>
    <row r="469" spans="1:5" x14ac:dyDescent="0.3">
      <c r="A469" s="9">
        <v>461</v>
      </c>
      <c r="B469" s="10">
        <f t="shared" ca="1" si="7"/>
        <v>7.4692294387412012E-2</v>
      </c>
      <c r="C469" s="10">
        <f ca="1">NPV(B469,Project_FCF!C18:J18)+Project_FCF!B18</f>
        <v>983.96996615205376</v>
      </c>
      <c r="D469" s="4"/>
      <c r="E469" s="4"/>
    </row>
    <row r="470" spans="1:5" x14ac:dyDescent="0.3">
      <c r="A470" s="9">
        <v>462</v>
      </c>
      <c r="B470" s="10">
        <f t="shared" ca="1" si="7"/>
        <v>8.7921124615531476E-2</v>
      </c>
      <c r="C470" s="10">
        <f ca="1">NPV(B470,Project_FCF!C18:J18)+Project_FCF!B18</f>
        <v>873.73265786116804</v>
      </c>
      <c r="D470" s="4"/>
      <c r="E470" s="4"/>
    </row>
    <row r="471" spans="1:5" x14ac:dyDescent="0.3">
      <c r="A471" s="9">
        <v>463</v>
      </c>
      <c r="B471" s="10">
        <f t="shared" ca="1" si="7"/>
        <v>9.1293489878349135E-2</v>
      </c>
      <c r="C471" s="10">
        <f ca="1">NPV(B471,Project_FCF!C18:J18)+Project_FCF!B18</f>
        <v>847.42584851263496</v>
      </c>
      <c r="D471" s="4"/>
      <c r="E471" s="4"/>
    </row>
    <row r="472" spans="1:5" x14ac:dyDescent="0.3">
      <c r="A472" s="9">
        <v>464</v>
      </c>
      <c r="B472" s="10">
        <f t="shared" ca="1" si="7"/>
        <v>0.10091980241554729</v>
      </c>
      <c r="C472" s="10">
        <f ca="1">NPV(B472,Project_FCF!C18:J18)+Project_FCF!B18</f>
        <v>776.0439288622274</v>
      </c>
      <c r="D472" s="4"/>
      <c r="E472" s="4"/>
    </row>
    <row r="473" spans="1:5" x14ac:dyDescent="0.3">
      <c r="A473" s="9">
        <v>465</v>
      </c>
      <c r="B473" s="10">
        <f t="shared" ca="1" si="7"/>
        <v>6.8433011010208558E-2</v>
      </c>
      <c r="C473" s="10">
        <f ca="1">NPV(B473,Project_FCF!C18:J18)+Project_FCF!B18</f>
        <v>1040.3204356592551</v>
      </c>
      <c r="D473" s="4"/>
      <c r="E473" s="4"/>
    </row>
    <row r="474" spans="1:5" x14ac:dyDescent="0.3">
      <c r="A474" s="9">
        <v>466</v>
      </c>
      <c r="B474" s="10">
        <f t="shared" ca="1" si="7"/>
        <v>9.7909759819625436E-2</v>
      </c>
      <c r="C474" s="10">
        <f ca="1">NPV(B474,Project_FCF!C18:J18)+Project_FCF!B18</f>
        <v>797.79111383667964</v>
      </c>
      <c r="D474" s="4"/>
      <c r="E474" s="4"/>
    </row>
    <row r="475" spans="1:5" x14ac:dyDescent="0.3">
      <c r="A475" s="9">
        <v>467</v>
      </c>
      <c r="B475" s="10">
        <f t="shared" ca="1" si="7"/>
        <v>7.7197648347737111E-2</v>
      </c>
      <c r="C475" s="10">
        <f ca="1">NPV(B475,Project_FCF!C18:J18)+Project_FCF!B18</f>
        <v>962.19389120150231</v>
      </c>
      <c r="D475" s="4"/>
      <c r="E475" s="4"/>
    </row>
    <row r="476" spans="1:5" x14ac:dyDescent="0.3">
      <c r="A476" s="9">
        <v>468</v>
      </c>
      <c r="B476" s="10">
        <f t="shared" ca="1" si="7"/>
        <v>7.9794358996346931E-2</v>
      </c>
      <c r="C476" s="10">
        <f ca="1">NPV(B476,Project_FCF!C18:J18)+Project_FCF!B18</f>
        <v>940.07777598138705</v>
      </c>
      <c r="D476" s="4"/>
      <c r="E476" s="4"/>
    </row>
    <row r="477" spans="1:5" x14ac:dyDescent="0.3">
      <c r="A477" s="9">
        <v>469</v>
      </c>
      <c r="B477" s="10">
        <f t="shared" ca="1" si="7"/>
        <v>9.9620966042115122E-2</v>
      </c>
      <c r="C477" s="10">
        <f ca="1">NPV(B477,Project_FCF!C18:J18)+Project_FCF!B18</f>
        <v>785.36546072410488</v>
      </c>
      <c r="D477" s="4"/>
      <c r="E477" s="4"/>
    </row>
    <row r="478" spans="1:5" x14ac:dyDescent="0.3">
      <c r="A478" s="9">
        <v>470</v>
      </c>
      <c r="B478" s="10">
        <f t="shared" ca="1" si="7"/>
        <v>8.9343131112933738E-2</v>
      </c>
      <c r="C478" s="10">
        <f ca="1">NPV(B478,Project_FCF!C18:J18)+Project_FCF!B18</f>
        <v>862.55492482445584</v>
      </c>
      <c r="D478" s="4"/>
      <c r="E478" s="4"/>
    </row>
    <row r="479" spans="1:5" x14ac:dyDescent="0.3">
      <c r="A479" s="9">
        <v>471</v>
      </c>
      <c r="B479" s="10">
        <f t="shared" ca="1" si="7"/>
        <v>8.4736803999819643E-2</v>
      </c>
      <c r="C479" s="10">
        <f ca="1">NPV(B479,Project_FCF!C18:J18)+Project_FCF!B18</f>
        <v>899.22203410986799</v>
      </c>
      <c r="D479" s="4"/>
      <c r="E479" s="4"/>
    </row>
    <row r="480" spans="1:5" x14ac:dyDescent="0.3">
      <c r="A480" s="9">
        <v>472</v>
      </c>
      <c r="B480" s="10">
        <f t="shared" ca="1" si="7"/>
        <v>0.10008286582614999</v>
      </c>
      <c r="C480" s="10">
        <f ca="1">NPV(B480,Project_FCF!C18:J18)+Project_FCF!B18</f>
        <v>782.03969912803109</v>
      </c>
      <c r="D480" s="4"/>
      <c r="E480" s="4"/>
    </row>
    <row r="481" spans="1:5" x14ac:dyDescent="0.3">
      <c r="A481" s="9">
        <v>473</v>
      </c>
      <c r="B481" s="10">
        <f t="shared" ca="1" si="7"/>
        <v>9.0804702919750707E-2</v>
      </c>
      <c r="C481" s="10">
        <f ca="1">NPV(B481,Project_FCF!C18:J18)+Project_FCF!B18</f>
        <v>851.19567539929858</v>
      </c>
      <c r="D481" s="4"/>
      <c r="E481" s="4"/>
    </row>
    <row r="482" spans="1:5" x14ac:dyDescent="0.3">
      <c r="A482" s="9">
        <v>474</v>
      </c>
      <c r="B482" s="10">
        <f t="shared" ca="1" si="7"/>
        <v>7.23963199120463E-2</v>
      </c>
      <c r="C482" s="10">
        <f ca="1">NPV(B482,Project_FCF!C18:J18)+Project_FCF!B18</f>
        <v>1004.3124641406073</v>
      </c>
      <c r="D482" s="4"/>
      <c r="E482" s="4"/>
    </row>
    <row r="483" spans="1:5" x14ac:dyDescent="0.3">
      <c r="A483" s="9">
        <v>475</v>
      </c>
      <c r="B483" s="10">
        <f t="shared" ca="1" si="7"/>
        <v>6.4254089368112943E-2</v>
      </c>
      <c r="C483" s="10">
        <f ca="1">NPV(B483,Project_FCF!C18:J18)+Project_FCF!B18</f>
        <v>1079.551384428649</v>
      </c>
      <c r="D483" s="4"/>
      <c r="E483" s="4"/>
    </row>
    <row r="484" spans="1:5" x14ac:dyDescent="0.3">
      <c r="A484" s="9">
        <v>476</v>
      </c>
      <c r="B484" s="10">
        <f t="shared" ca="1" si="7"/>
        <v>8.754980916975709E-2</v>
      </c>
      <c r="C484" s="10">
        <f ca="1">NPV(B484,Project_FCF!C18:J18)+Project_FCF!B18</f>
        <v>876.67205446852813</v>
      </c>
      <c r="D484" s="4"/>
      <c r="E484" s="4"/>
    </row>
    <row r="485" spans="1:5" x14ac:dyDescent="0.3">
      <c r="A485" s="9">
        <v>477</v>
      </c>
      <c r="B485" s="10">
        <f t="shared" ca="1" si="7"/>
        <v>7.506421431626327E-2</v>
      </c>
      <c r="C485" s="10">
        <f ca="1">NPV(B485,Project_FCF!C18:J18)+Project_FCF!B18</f>
        <v>980.7097250476902</v>
      </c>
      <c r="D485" s="4"/>
      <c r="E485" s="4"/>
    </row>
    <row r="486" spans="1:5" x14ac:dyDescent="0.3">
      <c r="A486" s="9">
        <v>478</v>
      </c>
      <c r="B486" s="10">
        <f t="shared" ca="1" si="7"/>
        <v>8.4073122368034353E-2</v>
      </c>
      <c r="C486" s="10">
        <f ca="1">NPV(B486,Project_FCF!C18:J18)+Project_FCF!B18</f>
        <v>904.61574343857342</v>
      </c>
      <c r="D486" s="4"/>
      <c r="E486" s="4"/>
    </row>
    <row r="487" spans="1:5" x14ac:dyDescent="0.3">
      <c r="A487" s="9">
        <v>479</v>
      </c>
      <c r="B487" s="10">
        <f t="shared" ca="1" si="7"/>
        <v>8.4138408274518448E-2</v>
      </c>
      <c r="C487" s="10">
        <f ca="1">NPV(B487,Project_FCF!C18:J18)+Project_FCF!B18</f>
        <v>904.0839121799961</v>
      </c>
      <c r="D487" s="4"/>
      <c r="E487" s="4"/>
    </row>
    <row r="488" spans="1:5" x14ac:dyDescent="0.3">
      <c r="A488" s="9">
        <v>480</v>
      </c>
      <c r="B488" s="10">
        <f t="shared" ca="1" si="7"/>
        <v>7.8900070789827012E-2</v>
      </c>
      <c r="C488" s="10">
        <f ca="1">NPV(B488,Project_FCF!C18:J18)+Project_FCF!B18</f>
        <v>947.64289160872409</v>
      </c>
      <c r="D488" s="4"/>
      <c r="E488" s="4"/>
    </row>
    <row r="489" spans="1:5" x14ac:dyDescent="0.3">
      <c r="A489" s="9">
        <v>481</v>
      </c>
      <c r="B489" s="10">
        <f t="shared" ca="1" si="7"/>
        <v>7.8142266384880948E-2</v>
      </c>
      <c r="C489" s="10">
        <f ca="1">NPV(B489,Project_FCF!C18:J18)+Project_FCF!B18</f>
        <v>954.09568022710391</v>
      </c>
      <c r="D489" s="4"/>
      <c r="E489" s="4"/>
    </row>
    <row r="490" spans="1:5" x14ac:dyDescent="0.3">
      <c r="A490" s="9">
        <v>482</v>
      </c>
      <c r="B490" s="10">
        <f t="shared" ca="1" si="7"/>
        <v>8.039446383224276E-2</v>
      </c>
      <c r="C490" s="10">
        <f ca="1">NPV(B490,Project_FCF!C18:J18)+Project_FCF!B18</f>
        <v>935.03131896623404</v>
      </c>
      <c r="D490" s="4"/>
      <c r="E490" s="4"/>
    </row>
    <row r="491" spans="1:5" x14ac:dyDescent="0.3">
      <c r="A491" s="9">
        <v>483</v>
      </c>
      <c r="B491" s="10">
        <f t="shared" ca="1" si="7"/>
        <v>7.4640222694992875E-2</v>
      </c>
      <c r="C491" s="10">
        <f ca="1">NPV(B491,Project_FCF!C18:J18)+Project_FCF!B18</f>
        <v>984.42719874751242</v>
      </c>
      <c r="D491" s="4"/>
      <c r="E491" s="4"/>
    </row>
    <row r="492" spans="1:5" x14ac:dyDescent="0.3">
      <c r="A492" s="9">
        <v>484</v>
      </c>
      <c r="B492" s="10">
        <f t="shared" ca="1" si="7"/>
        <v>9.4150225626767142E-2</v>
      </c>
      <c r="C492" s="10">
        <f ca="1">NPV(B492,Project_FCF!C18:J18)+Project_FCF!B18</f>
        <v>825.67951230784024</v>
      </c>
      <c r="D492" s="4"/>
      <c r="E492" s="4"/>
    </row>
    <row r="493" spans="1:5" x14ac:dyDescent="0.3">
      <c r="A493" s="9">
        <v>485</v>
      </c>
      <c r="B493" s="10">
        <f t="shared" ca="1" si="7"/>
        <v>9.9373789541991248E-2</v>
      </c>
      <c r="C493" s="10">
        <f ca="1">NPV(B493,Project_FCF!C18:J18)+Project_FCF!B18</f>
        <v>787.15008756240991</v>
      </c>
      <c r="D493" s="4"/>
      <c r="E493" s="4"/>
    </row>
    <row r="494" spans="1:5" x14ac:dyDescent="0.3">
      <c r="A494" s="9">
        <v>486</v>
      </c>
      <c r="B494" s="10">
        <f t="shared" ca="1" si="7"/>
        <v>0.10241289654085427</v>
      </c>
      <c r="C494" s="10">
        <f ca="1">NPV(B494,Project_FCF!C18:J18)+Project_FCF!B18</f>
        <v>765.44373292594514</v>
      </c>
      <c r="D494" s="4"/>
      <c r="E494" s="4"/>
    </row>
    <row r="495" spans="1:5" x14ac:dyDescent="0.3">
      <c r="A495" s="9">
        <v>487</v>
      </c>
      <c r="B495" s="10">
        <f t="shared" ca="1" si="7"/>
        <v>0.10231533099002826</v>
      </c>
      <c r="C495" s="10">
        <f ca="1">NPV(B495,Project_FCF!C18:J18)+Project_FCF!B18</f>
        <v>766.13265554607187</v>
      </c>
      <c r="D495" s="4"/>
      <c r="E495" s="4"/>
    </row>
    <row r="496" spans="1:5" x14ac:dyDescent="0.3">
      <c r="A496" s="9">
        <v>488</v>
      </c>
      <c r="B496" s="10">
        <f t="shared" ca="1" si="7"/>
        <v>9.0976673475374234E-2</v>
      </c>
      <c r="C496" s="10">
        <f ca="1">NPV(B496,Project_FCF!C18:J18)+Project_FCF!B18</f>
        <v>849.86768313730659</v>
      </c>
      <c r="D496" s="4"/>
      <c r="E496" s="4"/>
    </row>
    <row r="497" spans="1:5" x14ac:dyDescent="0.3">
      <c r="A497" s="9">
        <v>489</v>
      </c>
      <c r="B497" s="10">
        <f t="shared" ca="1" si="7"/>
        <v>7.195868824016402E-2</v>
      </c>
      <c r="C497" s="10">
        <f ca="1">NPV(B497,Project_FCF!C18:J18)+Project_FCF!B18</f>
        <v>1008.2325044291117</v>
      </c>
      <c r="D497" s="4"/>
      <c r="E497" s="4"/>
    </row>
    <row r="498" spans="1:5" x14ac:dyDescent="0.3">
      <c r="A498" s="9">
        <v>490</v>
      </c>
      <c r="B498" s="10">
        <f t="shared" ca="1" si="7"/>
        <v>9.3396492331320774E-2</v>
      </c>
      <c r="C498" s="10">
        <f ca="1">NPV(B498,Project_FCF!C18:J18)+Project_FCF!B18</f>
        <v>831.36999400651962</v>
      </c>
      <c r="D498" s="4"/>
      <c r="E498" s="4"/>
    </row>
    <row r="499" spans="1:5" x14ac:dyDescent="0.3">
      <c r="A499" s="9">
        <v>491</v>
      </c>
      <c r="B499" s="10">
        <f t="shared" ca="1" si="7"/>
        <v>6.5499184691966222E-2</v>
      </c>
      <c r="C499" s="10">
        <f ca="1">NPV(B499,Project_FCF!C18:J18)+Project_FCF!B18</f>
        <v>1067.7240811855763</v>
      </c>
      <c r="D499" s="4"/>
      <c r="E499" s="4"/>
    </row>
    <row r="500" spans="1:5" x14ac:dyDescent="0.3">
      <c r="A500" s="9">
        <v>492</v>
      </c>
      <c r="B500" s="10">
        <f t="shared" ca="1" si="7"/>
        <v>0.10263391270775946</v>
      </c>
      <c r="C500" s="10">
        <f ca="1">NPV(B500,Project_FCF!C18:J18)+Project_FCF!B18</f>
        <v>763.88503554415638</v>
      </c>
      <c r="D500" s="4"/>
      <c r="E500" s="4"/>
    </row>
    <row r="501" spans="1:5" x14ac:dyDescent="0.3">
      <c r="A501" s="9">
        <v>493</v>
      </c>
      <c r="B501" s="10">
        <f t="shared" ca="1" si="7"/>
        <v>0.10190436283303575</v>
      </c>
      <c r="C501" s="10">
        <f ca="1">NPV(B501,Project_FCF!C18:J18)+Project_FCF!B18</f>
        <v>769.04028096830689</v>
      </c>
      <c r="D501" s="4"/>
      <c r="E501" s="4"/>
    </row>
    <row r="502" spans="1:5" x14ac:dyDescent="0.3">
      <c r="A502" s="9">
        <v>494</v>
      </c>
      <c r="B502" s="10">
        <f t="shared" ca="1" si="7"/>
        <v>8.7227084006149938E-2</v>
      </c>
      <c r="C502" s="10">
        <f ca="1">NPV(B502,Project_FCF!C18:J18)+Project_FCF!B18</f>
        <v>879.23379489619128</v>
      </c>
      <c r="D502" s="4"/>
      <c r="E502" s="4"/>
    </row>
    <row r="503" spans="1:5" x14ac:dyDescent="0.3">
      <c r="A503" s="9">
        <v>495</v>
      </c>
      <c r="B503" s="10">
        <f t="shared" ca="1" si="7"/>
        <v>6.6130763986283495E-2</v>
      </c>
      <c r="C503" s="10">
        <f ca="1">NPV(B503,Project_FCF!C18:J18)+Project_FCF!B18</f>
        <v>1061.769917636346</v>
      </c>
      <c r="D503" s="4"/>
      <c r="E503" s="4"/>
    </row>
    <row r="504" spans="1:5" x14ac:dyDescent="0.3">
      <c r="A504" s="9">
        <v>496</v>
      </c>
      <c r="B504" s="10">
        <f t="shared" ca="1" si="7"/>
        <v>8.2068406441145381E-2</v>
      </c>
      <c r="C504" s="10">
        <f ca="1">NPV(B504,Project_FCF!C18:J18)+Project_FCF!B18</f>
        <v>921.08100006063478</v>
      </c>
      <c r="D504" s="4"/>
      <c r="E504" s="4"/>
    </row>
    <row r="505" spans="1:5" x14ac:dyDescent="0.3">
      <c r="A505" s="9">
        <v>497</v>
      </c>
      <c r="B505" s="10">
        <f t="shared" ca="1" si="7"/>
        <v>9.2472656535347461E-2</v>
      </c>
      <c r="C505" s="10">
        <f ca="1">NPV(B505,Project_FCF!C18:J18)+Project_FCF!B18</f>
        <v>838.39065518001212</v>
      </c>
      <c r="D505" s="4"/>
      <c r="E505" s="4"/>
    </row>
    <row r="506" spans="1:5" x14ac:dyDescent="0.3">
      <c r="A506" s="9">
        <v>498</v>
      </c>
      <c r="B506" s="10">
        <f t="shared" ca="1" si="7"/>
        <v>9.0631442392675593E-2</v>
      </c>
      <c r="C506" s="10">
        <f ca="1">NPV(B506,Project_FCF!C18:J18)+Project_FCF!B18</f>
        <v>852.53544318016861</v>
      </c>
      <c r="D506" s="4"/>
      <c r="E506" s="4"/>
    </row>
    <row r="507" spans="1:5" x14ac:dyDescent="0.3">
      <c r="A507" s="9">
        <v>499</v>
      </c>
      <c r="B507" s="10">
        <f t="shared" ca="1" si="7"/>
        <v>8.489226885808826E-2</v>
      </c>
      <c r="C507" s="10">
        <f ca="1">NPV(B507,Project_FCF!C18:J18)+Project_FCF!B18</f>
        <v>897.96266282838428</v>
      </c>
      <c r="D507" s="4"/>
      <c r="E507" s="4"/>
    </row>
    <row r="508" spans="1:5" x14ac:dyDescent="0.3">
      <c r="A508" s="9">
        <v>500</v>
      </c>
      <c r="B508" s="10">
        <f t="shared" ca="1" si="7"/>
        <v>8.7959409949979167E-2</v>
      </c>
      <c r="C508" s="10">
        <f ca="1">NPV(B508,Project_FCF!C18:J18)+Project_FCF!B18</f>
        <v>873.43007311626684</v>
      </c>
      <c r="D508" s="4"/>
      <c r="E508" s="4"/>
    </row>
    <row r="509" spans="1:5" x14ac:dyDescent="0.3">
      <c r="A509" s="9">
        <v>501</v>
      </c>
      <c r="B509" s="10">
        <f t="shared" ca="1" si="7"/>
        <v>6.8251355931827767E-2</v>
      </c>
      <c r="C509" s="10">
        <f ca="1">NPV(B509,Project_FCF!C18:J18)+Project_FCF!B18</f>
        <v>1041.9984638967492</v>
      </c>
      <c r="D509" s="4"/>
      <c r="E509" s="4"/>
    </row>
    <row r="510" spans="1:5" x14ac:dyDescent="0.3">
      <c r="A510" s="9">
        <v>502</v>
      </c>
      <c r="B510" s="10">
        <f t="shared" ca="1" si="7"/>
        <v>6.698180110356175E-2</v>
      </c>
      <c r="C510" s="10">
        <f ca="1">NPV(B510,Project_FCF!C18:J18)+Project_FCF!B18</f>
        <v>1053.7946357922476</v>
      </c>
      <c r="D510" s="4"/>
      <c r="E510" s="4"/>
    </row>
    <row r="511" spans="1:5" x14ac:dyDescent="0.3">
      <c r="A511" s="9">
        <v>503</v>
      </c>
      <c r="B511" s="10">
        <f t="shared" ca="1" si="7"/>
        <v>7.0425131692542872E-2</v>
      </c>
      <c r="C511" s="10">
        <f ca="1">NPV(B511,Project_FCF!C18:J18)+Project_FCF!B18</f>
        <v>1022.0782048305084</v>
      </c>
      <c r="D511" s="4"/>
      <c r="E511" s="4"/>
    </row>
    <row r="512" spans="1:5" x14ac:dyDescent="0.3">
      <c r="A512" s="9">
        <v>504</v>
      </c>
      <c r="B512" s="10">
        <f t="shared" ca="1" si="7"/>
        <v>7.0895482105837238E-2</v>
      </c>
      <c r="C512" s="10">
        <f ca="1">NPV(B512,Project_FCF!C18:J18)+Project_FCF!B18</f>
        <v>1017.8135322089979</v>
      </c>
      <c r="D512" s="4"/>
      <c r="E512" s="4"/>
    </row>
    <row r="513" spans="1:5" x14ac:dyDescent="0.3">
      <c r="A513" s="9">
        <v>505</v>
      </c>
      <c r="B513" s="10">
        <f t="shared" ca="1" si="7"/>
        <v>7.8954590513988884E-2</v>
      </c>
      <c r="C513" s="10">
        <f ca="1">NPV(B513,Project_FCF!C18:J18)+Project_FCF!B18</f>
        <v>947.18014811327475</v>
      </c>
      <c r="D513" s="4"/>
      <c r="E513" s="4"/>
    </row>
    <row r="514" spans="1:5" x14ac:dyDescent="0.3">
      <c r="A514" s="9">
        <v>506</v>
      </c>
      <c r="B514" s="10">
        <f t="shared" ca="1" si="7"/>
        <v>9.0487262215408121E-2</v>
      </c>
      <c r="C514" s="10">
        <f ca="1">NPV(B514,Project_FCF!C18:J18)+Project_FCF!B18</f>
        <v>853.65173210978173</v>
      </c>
      <c r="D514" s="4"/>
      <c r="E514" s="4"/>
    </row>
    <row r="515" spans="1:5" x14ac:dyDescent="0.3">
      <c r="A515" s="9">
        <v>507</v>
      </c>
      <c r="B515" s="10">
        <f t="shared" ca="1" si="7"/>
        <v>7.0910811181420175E-2</v>
      </c>
      <c r="C515" s="10">
        <f ca="1">NPV(B515,Project_FCF!C18:J18)+Project_FCF!B18</f>
        <v>1017.6748139047236</v>
      </c>
      <c r="D515" s="4"/>
      <c r="E515" s="4"/>
    </row>
    <row r="516" spans="1:5" x14ac:dyDescent="0.3">
      <c r="A516" s="9">
        <v>508</v>
      </c>
      <c r="B516" s="10">
        <f t="shared" ca="1" si="7"/>
        <v>8.1929425784202481E-2</v>
      </c>
      <c r="C516" s="10">
        <f ca="1">NPV(B516,Project_FCF!C18:J18)+Project_FCF!B18</f>
        <v>922.23220263013877</v>
      </c>
      <c r="D516" s="4"/>
      <c r="E516" s="4"/>
    </row>
    <row r="517" spans="1:5" x14ac:dyDescent="0.3">
      <c r="A517" s="9">
        <v>509</v>
      </c>
      <c r="B517" s="10">
        <f t="shared" ca="1" si="7"/>
        <v>7.050542533343912E-2</v>
      </c>
      <c r="C517" s="10">
        <f ca="1">NPV(B517,Project_FCF!C18:J18)+Project_FCF!B18</f>
        <v>1021.3490417187706</v>
      </c>
      <c r="D517" s="4"/>
      <c r="E517" s="4"/>
    </row>
    <row r="518" spans="1:5" x14ac:dyDescent="0.3">
      <c r="A518" s="9">
        <v>510</v>
      </c>
      <c r="B518" s="10">
        <f t="shared" ca="1" si="7"/>
        <v>9.0056350536233593E-2</v>
      </c>
      <c r="C518" s="10">
        <f ca="1">NPV(B518,Project_FCF!C18:J18)+Project_FCF!B18</f>
        <v>856.99553136507234</v>
      </c>
      <c r="D518" s="4"/>
      <c r="E518" s="4"/>
    </row>
    <row r="519" spans="1:5" x14ac:dyDescent="0.3">
      <c r="A519" s="9">
        <v>511</v>
      </c>
      <c r="B519" s="10">
        <f t="shared" ca="1" si="7"/>
        <v>0.1023486240971303</v>
      </c>
      <c r="C519" s="10">
        <f ca="1">NPV(B519,Project_FCF!C18:J18)+Project_FCF!B18</f>
        <v>765.89751016392688</v>
      </c>
      <c r="D519" s="4"/>
      <c r="E519" s="4"/>
    </row>
    <row r="520" spans="1:5" x14ac:dyDescent="0.3">
      <c r="A520" s="9">
        <v>512</v>
      </c>
      <c r="B520" s="10">
        <f t="shared" ca="1" si="7"/>
        <v>7.4613175686828362E-2</v>
      </c>
      <c r="C520" s="10">
        <f ca="1">NPV(B520,Project_FCF!C18:J18)+Project_FCF!B18</f>
        <v>984.66476894948823</v>
      </c>
      <c r="D520" s="4"/>
      <c r="E520" s="4"/>
    </row>
    <row r="521" spans="1:5" x14ac:dyDescent="0.3">
      <c r="A521" s="9">
        <v>513</v>
      </c>
      <c r="B521" s="10">
        <f t="shared" ref="B521:B584" ca="1" si="8">$B$4+RAND()*($B$5-$B$4)</f>
        <v>7.335390598590058E-2</v>
      </c>
      <c r="C521" s="10">
        <f ca="1">NPV(B521,Project_FCF!C18:J18)+Project_FCF!B18</f>
        <v>995.78274621335368</v>
      </c>
      <c r="D521" s="4"/>
      <c r="E521" s="4"/>
    </row>
    <row r="522" spans="1:5" x14ac:dyDescent="0.3">
      <c r="A522" s="9">
        <v>514</v>
      </c>
      <c r="B522" s="10">
        <f t="shared" ca="1" si="8"/>
        <v>7.574760249962155E-2</v>
      </c>
      <c r="C522" s="10">
        <f ca="1">NPV(B522,Project_FCF!C18:J18)+Project_FCF!B18</f>
        <v>974.74433967124378</v>
      </c>
      <c r="D522" s="4"/>
      <c r="E522" s="4"/>
    </row>
    <row r="523" spans="1:5" x14ac:dyDescent="0.3">
      <c r="A523" s="9">
        <v>515</v>
      </c>
      <c r="B523" s="10">
        <f t="shared" ca="1" si="8"/>
        <v>0.10339594863159564</v>
      </c>
      <c r="C523" s="10">
        <f ca="1">NPV(B523,Project_FCF!C18:J18)+Project_FCF!B18</f>
        <v>758.53126446377587</v>
      </c>
      <c r="D523" s="4"/>
      <c r="E523" s="4"/>
    </row>
    <row r="524" spans="1:5" x14ac:dyDescent="0.3">
      <c r="A524" s="9">
        <v>516</v>
      </c>
      <c r="B524" s="10">
        <f t="shared" ca="1" si="8"/>
        <v>7.0139554965485448E-2</v>
      </c>
      <c r="C524" s="10">
        <f ca="1">NPV(B524,Project_FCF!C18:J18)+Project_FCF!B18</f>
        <v>1024.6753970435702</v>
      </c>
      <c r="D524" s="4"/>
      <c r="E524" s="4"/>
    </row>
    <row r="525" spans="1:5" x14ac:dyDescent="0.3">
      <c r="A525" s="9">
        <v>517</v>
      </c>
      <c r="B525" s="10">
        <f t="shared" ca="1" si="8"/>
        <v>9.9839701807471759E-2</v>
      </c>
      <c r="C525" s="10">
        <f ca="1">NPV(B525,Project_FCF!C18:J18)+Project_FCF!B18</f>
        <v>783.78903536956773</v>
      </c>
      <c r="D525" s="4"/>
      <c r="E525" s="4"/>
    </row>
    <row r="526" spans="1:5" x14ac:dyDescent="0.3">
      <c r="A526" s="9">
        <v>518</v>
      </c>
      <c r="B526" s="10">
        <f t="shared" ca="1" si="8"/>
        <v>0.10308150183800163</v>
      </c>
      <c r="C526" s="10">
        <f ca="1">NPV(B526,Project_FCF!C18:J18)+Project_FCF!B18</f>
        <v>760.73661744155152</v>
      </c>
      <c r="D526" s="4"/>
      <c r="E526" s="4"/>
    </row>
    <row r="527" spans="1:5" x14ac:dyDescent="0.3">
      <c r="A527" s="9">
        <v>519</v>
      </c>
      <c r="B527" s="10">
        <f t="shared" ca="1" si="8"/>
        <v>9.5510884147709391E-2</v>
      </c>
      <c r="C527" s="10">
        <f ca="1">NPV(B527,Project_FCF!C18:J18)+Project_FCF!B18</f>
        <v>815.4914467941278</v>
      </c>
      <c r="D527" s="4"/>
      <c r="E527" s="4"/>
    </row>
    <row r="528" spans="1:5" x14ac:dyDescent="0.3">
      <c r="A528" s="9">
        <v>520</v>
      </c>
      <c r="B528" s="10">
        <f t="shared" ca="1" si="8"/>
        <v>9.0881275148864682E-2</v>
      </c>
      <c r="C528" s="10">
        <f ca="1">NPV(B528,Project_FCF!C18:J18)+Project_FCF!B18</f>
        <v>850.60414740052829</v>
      </c>
      <c r="D528" s="4"/>
      <c r="E528" s="4"/>
    </row>
    <row r="529" spans="1:5" x14ac:dyDescent="0.3">
      <c r="A529" s="9">
        <v>521</v>
      </c>
      <c r="B529" s="10">
        <f t="shared" ca="1" si="8"/>
        <v>7.6458263004965665E-2</v>
      </c>
      <c r="C529" s="10">
        <f ca="1">NPV(B529,Project_FCF!C18:J18)+Project_FCF!B18</f>
        <v>968.57529484943393</v>
      </c>
      <c r="D529" s="4"/>
      <c r="E529" s="4"/>
    </row>
    <row r="530" spans="1:5" x14ac:dyDescent="0.3">
      <c r="A530" s="9">
        <v>522</v>
      </c>
      <c r="B530" s="10">
        <f t="shared" ca="1" si="8"/>
        <v>9.2057329255724907E-2</v>
      </c>
      <c r="C530" s="10">
        <f ca="1">NPV(B530,Project_FCF!C18:J18)+Project_FCF!B18</f>
        <v>841.5635158249263</v>
      </c>
      <c r="D530" s="4"/>
      <c r="E530" s="4"/>
    </row>
    <row r="531" spans="1:5" x14ac:dyDescent="0.3">
      <c r="A531" s="9">
        <v>523</v>
      </c>
      <c r="B531" s="10">
        <f t="shared" ca="1" si="8"/>
        <v>6.6741057347640603E-2</v>
      </c>
      <c r="C531" s="10">
        <f ca="1">NPV(B531,Project_FCF!C18:J18)+Project_FCF!B18</f>
        <v>1056.045160509525</v>
      </c>
      <c r="D531" s="4"/>
      <c r="E531" s="4"/>
    </row>
    <row r="532" spans="1:5" x14ac:dyDescent="0.3">
      <c r="A532" s="9">
        <v>524</v>
      </c>
      <c r="B532" s="10">
        <f t="shared" ca="1" si="8"/>
        <v>8.5215555814200122E-2</v>
      </c>
      <c r="C532" s="10">
        <f ca="1">NPV(B532,Project_FCF!C18:J18)+Project_FCF!B18</f>
        <v>895.34876512335541</v>
      </c>
      <c r="D532" s="4"/>
      <c r="E532" s="4"/>
    </row>
    <row r="533" spans="1:5" x14ac:dyDescent="0.3">
      <c r="A533" s="9">
        <v>525</v>
      </c>
      <c r="B533" s="10">
        <f t="shared" ca="1" si="8"/>
        <v>9.56207347653516E-2</v>
      </c>
      <c r="C533" s="10">
        <f ca="1">NPV(B533,Project_FCF!C18:J18)+Project_FCF!B18</f>
        <v>814.67364476685293</v>
      </c>
      <c r="D533" s="4"/>
      <c r="E533" s="4"/>
    </row>
    <row r="534" spans="1:5" x14ac:dyDescent="0.3">
      <c r="A534" s="9">
        <v>526</v>
      </c>
      <c r="B534" s="10">
        <f t="shared" ca="1" si="8"/>
        <v>6.6164080886874282E-2</v>
      </c>
      <c r="C534" s="10">
        <f ca="1">NPV(B534,Project_FCF!C18:J18)+Project_FCF!B18</f>
        <v>1061.4566665587699</v>
      </c>
      <c r="D534" s="4"/>
      <c r="E534" s="4"/>
    </row>
    <row r="535" spans="1:5" x14ac:dyDescent="0.3">
      <c r="A535" s="9">
        <v>527</v>
      </c>
      <c r="B535" s="10">
        <f t="shared" ca="1" si="8"/>
        <v>8.9492870889764722E-2</v>
      </c>
      <c r="C535" s="10">
        <f ca="1">NPV(B535,Project_FCF!C18:J18)+Project_FCF!B18</f>
        <v>861.38514920934699</v>
      </c>
      <c r="D535" s="4"/>
      <c r="E535" s="4"/>
    </row>
    <row r="536" spans="1:5" x14ac:dyDescent="0.3">
      <c r="A536" s="9">
        <v>528</v>
      </c>
      <c r="B536" s="10">
        <f t="shared" ca="1" si="8"/>
        <v>9.1148018380985601E-2</v>
      </c>
      <c r="C536" s="10">
        <f ca="1">NPV(B536,Project_FCF!C18:J18)+Project_FCF!B18</f>
        <v>848.54630361243835</v>
      </c>
      <c r="D536" s="4"/>
      <c r="E536" s="4"/>
    </row>
    <row r="537" spans="1:5" x14ac:dyDescent="0.3">
      <c r="A537" s="9">
        <v>529</v>
      </c>
      <c r="B537" s="10">
        <f t="shared" ca="1" si="8"/>
        <v>8.7996081458803915E-2</v>
      </c>
      <c r="C537" s="10">
        <f ca="1">NPV(B537,Project_FCF!C18:J18)+Project_FCF!B18</f>
        <v>873.14032861452051</v>
      </c>
      <c r="D537" s="4"/>
      <c r="E537" s="4"/>
    </row>
    <row r="538" spans="1:5" x14ac:dyDescent="0.3">
      <c r="A538" s="9">
        <v>530</v>
      </c>
      <c r="B538" s="10">
        <f t="shared" ca="1" si="8"/>
        <v>6.6806873812894838E-2</v>
      </c>
      <c r="C538" s="10">
        <f ca="1">NPV(B538,Project_FCF!C18:J18)+Project_FCF!B18</f>
        <v>1055.429460316205</v>
      </c>
      <c r="D538" s="4"/>
      <c r="E538" s="4"/>
    </row>
    <row r="539" spans="1:5" x14ac:dyDescent="0.3">
      <c r="A539" s="9">
        <v>531</v>
      </c>
      <c r="B539" s="10">
        <f t="shared" ca="1" si="8"/>
        <v>7.8637336381605083E-2</v>
      </c>
      <c r="C539" s="10">
        <f ca="1">NPV(B539,Project_FCF!C18:J18)+Project_FCF!B18</f>
        <v>949.87570043649043</v>
      </c>
      <c r="D539" s="4"/>
      <c r="E539" s="4"/>
    </row>
    <row r="540" spans="1:5" x14ac:dyDescent="0.3">
      <c r="A540" s="9">
        <v>532</v>
      </c>
      <c r="B540" s="10">
        <f t="shared" ca="1" si="8"/>
        <v>9.4826615337984282E-2</v>
      </c>
      <c r="C540" s="10">
        <f ca="1">NPV(B540,Project_FCF!C18:J18)+Project_FCF!B18</f>
        <v>820.60143508288502</v>
      </c>
      <c r="D540" s="4"/>
      <c r="E540" s="4"/>
    </row>
    <row r="541" spans="1:5" x14ac:dyDescent="0.3">
      <c r="A541" s="9">
        <v>533</v>
      </c>
      <c r="B541" s="10">
        <f t="shared" ca="1" si="8"/>
        <v>7.95821209832554E-2</v>
      </c>
      <c r="C541" s="10">
        <f ca="1">NPV(B541,Project_FCF!C18:J18)+Project_FCF!B18</f>
        <v>941.86831324009881</v>
      </c>
      <c r="D541" s="4"/>
      <c r="E541" s="4"/>
    </row>
    <row r="542" spans="1:5" x14ac:dyDescent="0.3">
      <c r="A542" s="9">
        <v>534</v>
      </c>
      <c r="B542" s="10">
        <f t="shared" ca="1" si="8"/>
        <v>8.1319821630829833E-2</v>
      </c>
      <c r="C542" s="10">
        <f ca="1">NPV(B542,Project_FCF!C18:J18)+Project_FCF!B18</f>
        <v>927.29667546179348</v>
      </c>
      <c r="D542" s="4"/>
      <c r="E542" s="4"/>
    </row>
    <row r="543" spans="1:5" x14ac:dyDescent="0.3">
      <c r="A543" s="9">
        <v>535</v>
      </c>
      <c r="B543" s="10">
        <f t="shared" ca="1" si="8"/>
        <v>9.3812477052043833E-2</v>
      </c>
      <c r="C543" s="10">
        <f ca="1">NPV(B543,Project_FCF!C18:J18)+Project_FCF!B18</f>
        <v>828.22527309082147</v>
      </c>
      <c r="D543" s="4"/>
      <c r="E543" s="4"/>
    </row>
    <row r="544" spans="1:5" x14ac:dyDescent="0.3">
      <c r="A544" s="9">
        <v>536</v>
      </c>
      <c r="B544" s="10">
        <f t="shared" ca="1" si="8"/>
        <v>7.82145057644269E-2</v>
      </c>
      <c r="C544" s="10">
        <f ca="1">NPV(B544,Project_FCF!C18:J18)+Project_FCF!B18</f>
        <v>953.47887500205707</v>
      </c>
      <c r="D544" s="4"/>
      <c r="E544" s="4"/>
    </row>
    <row r="545" spans="1:5" x14ac:dyDescent="0.3">
      <c r="A545" s="9">
        <v>537</v>
      </c>
      <c r="B545" s="10">
        <f t="shared" ca="1" si="8"/>
        <v>6.6572365078358883E-2</v>
      </c>
      <c r="C545" s="10">
        <f ca="1">NPV(B545,Project_FCF!C18:J18)+Project_FCF!B18</f>
        <v>1057.6247356476192</v>
      </c>
      <c r="D545" s="4"/>
      <c r="E545" s="4"/>
    </row>
    <row r="546" spans="1:5" x14ac:dyDescent="0.3">
      <c r="A546" s="9">
        <v>538</v>
      </c>
      <c r="B546" s="10">
        <f t="shared" ca="1" si="8"/>
        <v>8.0160203461548701E-2</v>
      </c>
      <c r="C546" s="10">
        <f ca="1">NPV(B546,Project_FCF!C18:J18)+Project_FCF!B18</f>
        <v>936.99842181310146</v>
      </c>
      <c r="D546" s="4"/>
      <c r="E546" s="4"/>
    </row>
    <row r="547" spans="1:5" x14ac:dyDescent="0.3">
      <c r="A547" s="9">
        <v>539</v>
      </c>
      <c r="B547" s="10">
        <f t="shared" ca="1" si="8"/>
        <v>9.3999802811000829E-2</v>
      </c>
      <c r="C547" s="10">
        <f ca="1">NPV(B547,Project_FCF!C18:J18)+Project_FCF!B18</f>
        <v>826.81248510188925</v>
      </c>
      <c r="D547" s="4"/>
      <c r="E547" s="4"/>
    </row>
    <row r="548" spans="1:5" x14ac:dyDescent="0.3">
      <c r="A548" s="9">
        <v>540</v>
      </c>
      <c r="B548" s="10">
        <f t="shared" ca="1" si="8"/>
        <v>7.6838051845128708E-2</v>
      </c>
      <c r="C548" s="10">
        <f ca="1">NPV(B548,Project_FCF!C18:J18)+Project_FCF!B18</f>
        <v>965.29275939139711</v>
      </c>
      <c r="D548" s="4"/>
      <c r="E548" s="4"/>
    </row>
    <row r="549" spans="1:5" x14ac:dyDescent="0.3">
      <c r="A549" s="9">
        <v>541</v>
      </c>
      <c r="B549" s="10">
        <f t="shared" ca="1" si="8"/>
        <v>8.9025782734062947E-2</v>
      </c>
      <c r="C549" s="10">
        <f ca="1">NPV(B549,Project_FCF!C18:J18)+Project_FCF!B18</f>
        <v>865.03862528724881</v>
      </c>
      <c r="D549" s="4"/>
      <c r="E549" s="4"/>
    </row>
    <row r="550" spans="1:5" x14ac:dyDescent="0.3">
      <c r="A550" s="9">
        <v>542</v>
      </c>
      <c r="B550" s="10">
        <f t="shared" ca="1" si="8"/>
        <v>6.6088520343979343E-2</v>
      </c>
      <c r="C550" s="10">
        <f ca="1">NPV(B550,Project_FCF!C18:J18)+Project_FCF!B18</f>
        <v>1062.1672204476563</v>
      </c>
      <c r="D550" s="4"/>
      <c r="E550" s="4"/>
    </row>
    <row r="551" spans="1:5" x14ac:dyDescent="0.3">
      <c r="A551" s="9">
        <v>543</v>
      </c>
      <c r="B551" s="10">
        <f t="shared" ca="1" si="8"/>
        <v>9.9752180585038902E-2</v>
      </c>
      <c r="C551" s="10">
        <f ca="1">NPV(B551,Project_FCF!C18:J18)+Project_FCF!B18</f>
        <v>784.4194778054275</v>
      </c>
      <c r="D551" s="4"/>
      <c r="E551" s="4"/>
    </row>
    <row r="552" spans="1:5" x14ac:dyDescent="0.3">
      <c r="A552" s="9">
        <v>544</v>
      </c>
      <c r="B552" s="10">
        <f t="shared" ca="1" si="8"/>
        <v>9.1796100828085314E-2</v>
      </c>
      <c r="C552" s="10">
        <f ca="1">NPV(B552,Project_FCF!C18:J18)+Project_FCF!B18</f>
        <v>843.56444825912763</v>
      </c>
      <c r="D552" s="4"/>
      <c r="E552" s="4"/>
    </row>
    <row r="553" spans="1:5" x14ac:dyDescent="0.3">
      <c r="A553" s="9">
        <v>545</v>
      </c>
      <c r="B553" s="10">
        <f t="shared" ca="1" si="8"/>
        <v>8.4692030364905801E-2</v>
      </c>
      <c r="C553" s="10">
        <f ca="1">NPV(B553,Project_FCF!C18:J18)+Project_FCF!B18</f>
        <v>899.58501806354616</v>
      </c>
      <c r="D553" s="4"/>
      <c r="E553" s="4"/>
    </row>
    <row r="554" spans="1:5" x14ac:dyDescent="0.3">
      <c r="A554" s="9">
        <v>546</v>
      </c>
      <c r="B554" s="10">
        <f t="shared" ca="1" si="8"/>
        <v>8.8893601842357478E-2</v>
      </c>
      <c r="C554" s="10">
        <f ca="1">NPV(B554,Project_FCF!C18:J18)+Project_FCF!B18</f>
        <v>866.07495791173756</v>
      </c>
      <c r="D554" s="4"/>
      <c r="E554" s="4"/>
    </row>
    <row r="555" spans="1:5" x14ac:dyDescent="0.3">
      <c r="A555" s="9">
        <v>547</v>
      </c>
      <c r="B555" s="10">
        <f t="shared" ca="1" si="8"/>
        <v>6.9801739806179861E-2</v>
      </c>
      <c r="C555" s="10">
        <f ca="1">NPV(B555,Project_FCF!C18:J18)+Project_FCF!B18</f>
        <v>1027.7553721379961</v>
      </c>
      <c r="D555" s="4"/>
      <c r="E555" s="4"/>
    </row>
    <row r="556" spans="1:5" x14ac:dyDescent="0.3">
      <c r="A556" s="9">
        <v>548</v>
      </c>
      <c r="B556" s="10">
        <f t="shared" ca="1" si="8"/>
        <v>6.9706416894381548E-2</v>
      </c>
      <c r="C556" s="10">
        <f ca="1">NPV(B556,Project_FCF!C18:J18)+Project_FCF!B18</f>
        <v>1028.6259758812027</v>
      </c>
      <c r="D556" s="4"/>
      <c r="E556" s="4"/>
    </row>
    <row r="557" spans="1:5" x14ac:dyDescent="0.3">
      <c r="A557" s="9">
        <v>549</v>
      </c>
      <c r="B557" s="10">
        <f t="shared" ca="1" si="8"/>
        <v>9.4295477019265744E-2</v>
      </c>
      <c r="C557" s="10">
        <f ca="1">NPV(B557,Project_FCF!C18:J18)+Project_FCF!B18</f>
        <v>824.58675450869441</v>
      </c>
      <c r="D557" s="4"/>
      <c r="E557" s="4"/>
    </row>
    <row r="558" spans="1:5" x14ac:dyDescent="0.3">
      <c r="A558" s="9">
        <v>550</v>
      </c>
      <c r="B558" s="10">
        <f t="shared" ca="1" si="8"/>
        <v>7.5879786099047261E-2</v>
      </c>
      <c r="C558" s="10">
        <f ca="1">NPV(B558,Project_FCF!C18:J18)+Project_FCF!B18</f>
        <v>973.59424197437147</v>
      </c>
      <c r="D558" s="4"/>
      <c r="E558" s="4"/>
    </row>
    <row r="559" spans="1:5" x14ac:dyDescent="0.3">
      <c r="A559" s="9">
        <v>551</v>
      </c>
      <c r="B559" s="10">
        <f t="shared" ca="1" si="8"/>
        <v>8.7432892589208527E-2</v>
      </c>
      <c r="C559" s="10">
        <f ca="1">NPV(B559,Project_FCF!C18:J18)+Project_FCF!B18</f>
        <v>877.59936714791615</v>
      </c>
      <c r="D559" s="4"/>
      <c r="E559" s="4"/>
    </row>
    <row r="560" spans="1:5" x14ac:dyDescent="0.3">
      <c r="A560" s="9">
        <v>552</v>
      </c>
      <c r="B560" s="10">
        <f t="shared" ca="1" si="8"/>
        <v>0.10119428174678799</v>
      </c>
      <c r="C560" s="10">
        <f ca="1">NPV(B560,Project_FCF!C18:J18)+Project_FCF!B18</f>
        <v>774.08604366410759</v>
      </c>
      <c r="D560" s="4"/>
      <c r="E560" s="4"/>
    </row>
    <row r="561" spans="1:5" x14ac:dyDescent="0.3">
      <c r="A561" s="9">
        <v>553</v>
      </c>
      <c r="B561" s="10">
        <f t="shared" ca="1" si="8"/>
        <v>9.6872921651234956E-2</v>
      </c>
      <c r="C561" s="10">
        <f ca="1">NPV(B561,Project_FCF!C18:J18)+Project_FCF!B18</f>
        <v>805.40090703634473</v>
      </c>
      <c r="D561" s="4"/>
      <c r="E561" s="4"/>
    </row>
    <row r="562" spans="1:5" x14ac:dyDescent="0.3">
      <c r="A562" s="9">
        <v>554</v>
      </c>
      <c r="B562" s="10">
        <f t="shared" ca="1" si="8"/>
        <v>8.5671647813208851E-2</v>
      </c>
      <c r="C562" s="10">
        <f ca="1">NPV(B562,Project_FCF!C18:J18)+Project_FCF!B18</f>
        <v>891.67241804214473</v>
      </c>
      <c r="D562" s="4"/>
      <c r="E562" s="4"/>
    </row>
    <row r="563" spans="1:5" x14ac:dyDescent="0.3">
      <c r="A563" s="9">
        <v>555</v>
      </c>
      <c r="B563" s="10">
        <f t="shared" ca="1" si="8"/>
        <v>6.4920838186787885E-2</v>
      </c>
      <c r="C563" s="10">
        <f ca="1">NPV(B563,Project_FCF!C18:J18)+Project_FCF!B18</f>
        <v>1073.2030749979642</v>
      </c>
      <c r="D563" s="4"/>
      <c r="E563" s="4"/>
    </row>
    <row r="564" spans="1:5" x14ac:dyDescent="0.3">
      <c r="A564" s="9">
        <v>556</v>
      </c>
      <c r="B564" s="10">
        <f t="shared" ca="1" si="8"/>
        <v>0.10061675101553186</v>
      </c>
      <c r="C564" s="10">
        <f ca="1">NPV(B564,Project_FCF!C18:J18)+Project_FCF!B18</f>
        <v>778.21047322597315</v>
      </c>
      <c r="D564" s="4"/>
      <c r="E564" s="4"/>
    </row>
    <row r="565" spans="1:5" x14ac:dyDescent="0.3">
      <c r="A565" s="9">
        <v>557</v>
      </c>
      <c r="B565" s="10">
        <f t="shared" ca="1" si="8"/>
        <v>9.7024265937932563E-2</v>
      </c>
      <c r="C565" s="10">
        <f ca="1">NPV(B565,Project_FCF!C18:J18)+Project_FCF!B18</f>
        <v>804.28629031626133</v>
      </c>
      <c r="D565" s="4"/>
      <c r="E565" s="4"/>
    </row>
    <row r="566" spans="1:5" x14ac:dyDescent="0.3">
      <c r="A566" s="9">
        <v>558</v>
      </c>
      <c r="B566" s="10">
        <f t="shared" ca="1" si="8"/>
        <v>7.845454604721333E-2</v>
      </c>
      <c r="C566" s="10">
        <f ca="1">NPV(B566,Project_FCF!C18:J18)+Project_FCF!B18</f>
        <v>951.43187120541211</v>
      </c>
      <c r="D566" s="4"/>
      <c r="E566" s="4"/>
    </row>
    <row r="567" spans="1:5" x14ac:dyDescent="0.3">
      <c r="A567" s="9">
        <v>559</v>
      </c>
      <c r="B567" s="10">
        <f t="shared" ca="1" si="8"/>
        <v>7.5735037635629623E-2</v>
      </c>
      <c r="C567" s="10">
        <f ca="1">NPV(B567,Project_FCF!C18:J18)+Project_FCF!B18</f>
        <v>974.85372667224715</v>
      </c>
      <c r="D567" s="4"/>
      <c r="E567" s="4"/>
    </row>
    <row r="568" spans="1:5" x14ac:dyDescent="0.3">
      <c r="A568" s="9">
        <v>560</v>
      </c>
      <c r="B568" s="10">
        <f t="shared" ca="1" si="8"/>
        <v>9.9723876827319424E-2</v>
      </c>
      <c r="C568" s="10">
        <f ca="1">NPV(B568,Project_FCF!C18:J18)+Project_FCF!B18</f>
        <v>784.62345033005113</v>
      </c>
      <c r="D568" s="4"/>
      <c r="E568" s="4"/>
    </row>
    <row r="569" spans="1:5" x14ac:dyDescent="0.3">
      <c r="A569" s="9">
        <v>561</v>
      </c>
      <c r="B569" s="10">
        <f t="shared" ca="1" si="8"/>
        <v>7.6250622915301589E-2</v>
      </c>
      <c r="C569" s="10">
        <f ca="1">NPV(B569,Project_FCF!C18:J18)+Project_FCF!B18</f>
        <v>970.37414613258284</v>
      </c>
      <c r="D569" s="4"/>
      <c r="E569" s="4"/>
    </row>
    <row r="570" spans="1:5" x14ac:dyDescent="0.3">
      <c r="A570" s="9">
        <v>562</v>
      </c>
      <c r="B570" s="10">
        <f t="shared" ca="1" si="8"/>
        <v>7.8941682378527417E-2</v>
      </c>
      <c r="C570" s="10">
        <f ca="1">NPV(B570,Project_FCF!C18:J18)+Project_FCF!B18</f>
        <v>947.2896895257104</v>
      </c>
      <c r="D570" s="4"/>
      <c r="E570" s="4"/>
    </row>
    <row r="571" spans="1:5" x14ac:dyDescent="0.3">
      <c r="A571" s="9">
        <v>563</v>
      </c>
      <c r="B571" s="10">
        <f t="shared" ca="1" si="8"/>
        <v>9.5322609796093763E-2</v>
      </c>
      <c r="C571" s="10">
        <f ca="1">NPV(B571,Project_FCF!C18:J18)+Project_FCF!B18</f>
        <v>816.89472070816009</v>
      </c>
      <c r="D571" s="4"/>
      <c r="E571" s="4"/>
    </row>
    <row r="572" spans="1:5" x14ac:dyDescent="0.3">
      <c r="A572" s="9">
        <v>564</v>
      </c>
      <c r="B572" s="10">
        <f t="shared" ca="1" si="8"/>
        <v>9.3501678612207317E-2</v>
      </c>
      <c r="C572" s="10">
        <f ca="1">NPV(B572,Project_FCF!C18:J18)+Project_FCF!B18</f>
        <v>830.57384964703078</v>
      </c>
      <c r="D572" s="4"/>
      <c r="E572" s="4"/>
    </row>
    <row r="573" spans="1:5" x14ac:dyDescent="0.3">
      <c r="A573" s="9">
        <v>565</v>
      </c>
      <c r="B573" s="10">
        <f t="shared" ca="1" si="8"/>
        <v>9.4501669035400887E-2</v>
      </c>
      <c r="C573" s="10">
        <f ca="1">NPV(B573,Project_FCF!C18:J18)+Project_FCF!B18</f>
        <v>823.03765713870007</v>
      </c>
      <c r="D573" s="4"/>
      <c r="E573" s="4"/>
    </row>
    <row r="574" spans="1:5" x14ac:dyDescent="0.3">
      <c r="A574" s="9">
        <v>566</v>
      </c>
      <c r="B574" s="10">
        <f t="shared" ca="1" si="8"/>
        <v>6.422028645891284E-2</v>
      </c>
      <c r="C574" s="10">
        <f ca="1">NPV(B574,Project_FCF!C18:J18)+Project_FCF!B18</f>
        <v>1079.8741433294342</v>
      </c>
      <c r="D574" s="4"/>
      <c r="E574" s="4"/>
    </row>
    <row r="575" spans="1:5" x14ac:dyDescent="0.3">
      <c r="A575" s="9">
        <v>567</v>
      </c>
      <c r="B575" s="10">
        <f t="shared" ca="1" si="8"/>
        <v>6.5376315508851687E-2</v>
      </c>
      <c r="C575" s="10">
        <f ca="1">NPV(B575,Project_FCF!C18:J18)+Project_FCF!B18</f>
        <v>1068.8859498365384</v>
      </c>
      <c r="D575" s="4"/>
      <c r="E575" s="4"/>
    </row>
    <row r="576" spans="1:5" x14ac:dyDescent="0.3">
      <c r="A576" s="9">
        <v>568</v>
      </c>
      <c r="B576" s="10">
        <f t="shared" ca="1" si="8"/>
        <v>9.3281551622653669E-2</v>
      </c>
      <c r="C576" s="10">
        <f ca="1">NPV(B576,Project_FCF!C18:J18)+Project_FCF!B18</f>
        <v>832.24071848117751</v>
      </c>
      <c r="D576" s="4"/>
      <c r="E576" s="4"/>
    </row>
    <row r="577" spans="1:5" x14ac:dyDescent="0.3">
      <c r="A577" s="9">
        <v>569</v>
      </c>
      <c r="B577" s="10">
        <f t="shared" ca="1" si="8"/>
        <v>8.3261295723058987E-2</v>
      </c>
      <c r="C577" s="10">
        <f ca="1">NPV(B577,Project_FCF!C18:J18)+Project_FCF!B18</f>
        <v>911.25202605353502</v>
      </c>
      <c r="D577" s="4"/>
      <c r="E577" s="4"/>
    </row>
    <row r="578" spans="1:5" x14ac:dyDescent="0.3">
      <c r="A578" s="9">
        <v>570</v>
      </c>
      <c r="B578" s="10">
        <f t="shared" ca="1" si="8"/>
        <v>9.4896805572288301E-2</v>
      </c>
      <c r="C578" s="10">
        <f ca="1">NPV(B578,Project_FCF!C18:J18)+Project_FCF!B18</f>
        <v>820.07600951016479</v>
      </c>
      <c r="D578" s="4"/>
      <c r="E578" s="4"/>
    </row>
    <row r="579" spans="1:5" x14ac:dyDescent="0.3">
      <c r="A579" s="9">
        <v>571</v>
      </c>
      <c r="B579" s="10">
        <f t="shared" ca="1" si="8"/>
        <v>8.4036862062114526E-2</v>
      </c>
      <c r="C579" s="10">
        <f ca="1">NPV(B579,Project_FCF!C18:J18)+Project_FCF!B18</f>
        <v>904.91124530917205</v>
      </c>
      <c r="D579" s="4"/>
      <c r="E579" s="4"/>
    </row>
    <row r="580" spans="1:5" x14ac:dyDescent="0.3">
      <c r="A580" s="9">
        <v>572</v>
      </c>
      <c r="B580" s="10">
        <f t="shared" ca="1" si="8"/>
        <v>0.10389886744456356</v>
      </c>
      <c r="C580" s="10">
        <f ca="1">NPV(B580,Project_FCF!C18:J18)+Project_FCF!B18</f>
        <v>755.0152170364272</v>
      </c>
      <c r="D580" s="4"/>
      <c r="E580" s="4"/>
    </row>
    <row r="581" spans="1:5" x14ac:dyDescent="0.3">
      <c r="A581" s="9">
        <v>573</v>
      </c>
      <c r="B581" s="10">
        <f t="shared" ca="1" si="8"/>
        <v>8.0484105613991538E-2</v>
      </c>
      <c r="C581" s="10">
        <f ca="1">NPV(B581,Project_FCF!C18:J18)+Project_FCF!B18</f>
        <v>934.27955713845904</v>
      </c>
      <c r="D581" s="4"/>
      <c r="E581" s="4"/>
    </row>
    <row r="582" spans="1:5" x14ac:dyDescent="0.3">
      <c r="A582" s="9">
        <v>574</v>
      </c>
      <c r="B582" s="10">
        <f t="shared" ca="1" si="8"/>
        <v>6.9967448774766156E-2</v>
      </c>
      <c r="C582" s="10">
        <f ca="1">NPV(B582,Project_FCF!C18:J18)+Project_FCF!B18</f>
        <v>1026.2435034795162</v>
      </c>
      <c r="D582" s="4"/>
      <c r="E582" s="4"/>
    </row>
    <row r="583" spans="1:5" x14ac:dyDescent="0.3">
      <c r="A583" s="9">
        <v>575</v>
      </c>
      <c r="B583" s="10">
        <f t="shared" ca="1" si="8"/>
        <v>8.3272378076759801E-2</v>
      </c>
      <c r="C583" s="10">
        <f ca="1">NPV(B583,Project_FCF!C18:J18)+Project_FCF!B18</f>
        <v>911.16114601279583</v>
      </c>
      <c r="D583" s="4"/>
      <c r="E583" s="4"/>
    </row>
    <row r="584" spans="1:5" x14ac:dyDescent="0.3">
      <c r="A584" s="9">
        <v>576</v>
      </c>
      <c r="B584" s="10">
        <f t="shared" ca="1" si="8"/>
        <v>9.6212789549706981E-2</v>
      </c>
      <c r="C584" s="10">
        <f ca="1">NPV(B584,Project_FCF!C18:J18)+Project_FCF!B18</f>
        <v>810.27804664999735</v>
      </c>
      <c r="D584" s="4"/>
      <c r="E584" s="4"/>
    </row>
    <row r="585" spans="1:5" x14ac:dyDescent="0.3">
      <c r="A585" s="9">
        <v>577</v>
      </c>
      <c r="B585" s="10">
        <f t="shared" ref="B585:B648" ca="1" si="9">$B$4+RAND()*($B$5-$B$4)</f>
        <v>9.9265346345034033E-2</v>
      </c>
      <c r="C585" s="10">
        <f ca="1">NPV(B585,Project_FCF!C18:J18)+Project_FCF!B18</f>
        <v>787.93413624379309</v>
      </c>
      <c r="D585" s="4"/>
      <c r="E585" s="4"/>
    </row>
    <row r="586" spans="1:5" x14ac:dyDescent="0.3">
      <c r="A586" s="9">
        <v>578</v>
      </c>
      <c r="B586" s="10">
        <f t="shared" ca="1" si="9"/>
        <v>8.4418636458178889E-2</v>
      </c>
      <c r="C586" s="10">
        <f ca="1">NPV(B586,Project_FCF!C18:J18)+Project_FCF!B18</f>
        <v>901.80423602020915</v>
      </c>
      <c r="D586" s="4"/>
      <c r="E586" s="4"/>
    </row>
    <row r="587" spans="1:5" x14ac:dyDescent="0.3">
      <c r="A587" s="9">
        <v>579</v>
      </c>
      <c r="B587" s="10">
        <f t="shared" ca="1" si="9"/>
        <v>6.7029882208102826E-2</v>
      </c>
      <c r="C587" s="10">
        <f ca="1">NPV(B587,Project_FCF!C18:J18)+Project_FCF!B18</f>
        <v>1053.3456859176576</v>
      </c>
      <c r="D587" s="4"/>
      <c r="E587" s="4"/>
    </row>
    <row r="588" spans="1:5" x14ac:dyDescent="0.3">
      <c r="A588" s="9">
        <v>580</v>
      </c>
      <c r="B588" s="10">
        <f t="shared" ca="1" si="9"/>
        <v>8.0286270072994131E-2</v>
      </c>
      <c r="C588" s="10">
        <f ca="1">NPV(B588,Project_FCF!C18:J18)+Project_FCF!B18</f>
        <v>935.9393758428912</v>
      </c>
      <c r="D588" s="4"/>
      <c r="E588" s="4"/>
    </row>
    <row r="589" spans="1:5" x14ac:dyDescent="0.3">
      <c r="A589" s="9">
        <v>581</v>
      </c>
      <c r="B589" s="10">
        <f t="shared" ca="1" si="9"/>
        <v>8.599934021534586E-2</v>
      </c>
      <c r="C589" s="10">
        <f ca="1">NPV(B589,Project_FCF!C18:J18)+Project_FCF!B18</f>
        <v>889.03919998115089</v>
      </c>
      <c r="D589" s="4"/>
      <c r="E589" s="4"/>
    </row>
    <row r="590" spans="1:5" x14ac:dyDescent="0.3">
      <c r="A590" s="9">
        <v>582</v>
      </c>
      <c r="B590" s="10">
        <f t="shared" ca="1" si="9"/>
        <v>7.3425702841393603E-2</v>
      </c>
      <c r="C590" s="10">
        <f ca="1">NPV(B590,Project_FCF!C18:J18)+Project_FCF!B18</f>
        <v>995.14584445903665</v>
      </c>
      <c r="D590" s="4"/>
      <c r="E590" s="4"/>
    </row>
    <row r="591" spans="1:5" x14ac:dyDescent="0.3">
      <c r="A591" s="9">
        <v>583</v>
      </c>
      <c r="B591" s="10">
        <f t="shared" ca="1" si="9"/>
        <v>9.9790925063384564E-2</v>
      </c>
      <c r="C591" s="10">
        <f ca="1">NPV(B591,Project_FCF!C18:J18)+Project_FCF!B18</f>
        <v>784.14033643275093</v>
      </c>
      <c r="D591" s="4"/>
      <c r="E591" s="4"/>
    </row>
    <row r="592" spans="1:5" x14ac:dyDescent="0.3">
      <c r="A592" s="9">
        <v>584</v>
      </c>
      <c r="B592" s="10">
        <f t="shared" ca="1" si="9"/>
        <v>7.9390632837229885E-2</v>
      </c>
      <c r="C592" s="10">
        <f ca="1">NPV(B592,Project_FCF!C18:J18)+Project_FCF!B18</f>
        <v>943.48638829125025</v>
      </c>
      <c r="D592" s="4"/>
      <c r="E592" s="4"/>
    </row>
    <row r="593" spans="1:5" x14ac:dyDescent="0.3">
      <c r="A593" s="9">
        <v>585</v>
      </c>
      <c r="B593" s="10">
        <f t="shared" ca="1" si="9"/>
        <v>7.0908143612677513E-2</v>
      </c>
      <c r="C593" s="10">
        <f ca="1">NPV(B593,Project_FCF!C18:J18)+Project_FCF!B18</f>
        <v>1017.69895246545</v>
      </c>
      <c r="D593" s="4"/>
      <c r="E593" s="4"/>
    </row>
    <row r="594" spans="1:5" x14ac:dyDescent="0.3">
      <c r="A594" s="9">
        <v>586</v>
      </c>
      <c r="B594" s="10">
        <f t="shared" ca="1" si="9"/>
        <v>8.7739664071350351E-2</v>
      </c>
      <c r="C594" s="10">
        <f ca="1">NPV(B594,Project_FCF!C18:J18)+Project_FCF!B18</f>
        <v>875.16805665809284</v>
      </c>
      <c r="D594" s="4"/>
      <c r="E594" s="4"/>
    </row>
    <row r="595" spans="1:5" x14ac:dyDescent="0.3">
      <c r="A595" s="9">
        <v>587</v>
      </c>
      <c r="B595" s="10">
        <f t="shared" ca="1" si="9"/>
        <v>9.5807200535527728E-2</v>
      </c>
      <c r="C595" s="10">
        <f ca="1">NPV(B595,Project_FCF!C18:J18)+Project_FCF!B18</f>
        <v>813.28707287154543</v>
      </c>
      <c r="D595" s="4"/>
      <c r="E595" s="4"/>
    </row>
    <row r="596" spans="1:5" x14ac:dyDescent="0.3">
      <c r="A596" s="9">
        <v>588</v>
      </c>
      <c r="B596" s="10">
        <f t="shared" ca="1" si="9"/>
        <v>9.4052440639884438E-2</v>
      </c>
      <c r="C596" s="10">
        <f ca="1">NPV(B596,Project_FCF!C18:J18)+Project_FCF!B18</f>
        <v>826.41586949474481</v>
      </c>
      <c r="D596" s="4"/>
      <c r="E596" s="4"/>
    </row>
    <row r="597" spans="1:5" x14ac:dyDescent="0.3">
      <c r="A597" s="9">
        <v>589</v>
      </c>
      <c r="B597" s="10">
        <f t="shared" ca="1" si="9"/>
        <v>0.1010825447234445</v>
      </c>
      <c r="C597" s="10">
        <f ca="1">NPV(B597,Project_FCF!C18:J18)+Project_FCF!B18</f>
        <v>774.88257024494942</v>
      </c>
      <c r="D597" s="4"/>
      <c r="E597" s="4"/>
    </row>
    <row r="598" spans="1:5" x14ac:dyDescent="0.3">
      <c r="A598" s="9">
        <v>590</v>
      </c>
      <c r="B598" s="10">
        <f t="shared" ca="1" si="9"/>
        <v>8.4788062550990084E-2</v>
      </c>
      <c r="C598" s="10">
        <f ca="1">NPV(B598,Project_FCF!C18:J18)+Project_FCF!B18</f>
        <v>898.80663397578064</v>
      </c>
      <c r="D598" s="4"/>
      <c r="E598" s="4"/>
    </row>
    <row r="599" spans="1:5" x14ac:dyDescent="0.3">
      <c r="A599" s="9">
        <v>591</v>
      </c>
      <c r="B599" s="10">
        <f t="shared" ca="1" si="9"/>
        <v>9.4355247778236562E-2</v>
      </c>
      <c r="C599" s="10">
        <f ca="1">NPV(B599,Project_FCF!C18:J18)+Project_FCF!B18</f>
        <v>824.13744644943176</v>
      </c>
      <c r="D599" s="4"/>
      <c r="E599" s="4"/>
    </row>
    <row r="600" spans="1:5" x14ac:dyDescent="0.3">
      <c r="A600" s="9">
        <v>592</v>
      </c>
      <c r="B600" s="10">
        <f t="shared" ca="1" si="9"/>
        <v>6.5770645083283799E-2</v>
      </c>
      <c r="C600" s="10">
        <f ca="1">NPV(B600,Project_FCF!C18:J18)+Project_FCF!B18</f>
        <v>1065.1611925952186</v>
      </c>
      <c r="D600" s="4"/>
      <c r="E600" s="4"/>
    </row>
    <row r="601" spans="1:5" x14ac:dyDescent="0.3">
      <c r="A601" s="9">
        <v>593</v>
      </c>
      <c r="B601" s="10">
        <f t="shared" ca="1" si="9"/>
        <v>0.10238378121508443</v>
      </c>
      <c r="C601" s="10">
        <f ca="1">NPV(B601,Project_FCF!C18:J18)+Project_FCF!B18</f>
        <v>765.64926535990253</v>
      </c>
      <c r="D601" s="4"/>
      <c r="E601" s="4"/>
    </row>
    <row r="602" spans="1:5" x14ac:dyDescent="0.3">
      <c r="A602" s="9">
        <v>594</v>
      </c>
      <c r="B602" s="10">
        <f t="shared" ca="1" si="9"/>
        <v>9.8220243834188481E-2</v>
      </c>
      <c r="C602" s="10">
        <f ca="1">NPV(B602,Project_FCF!C18:J18)+Project_FCF!B18</f>
        <v>795.52427558481759</v>
      </c>
      <c r="D602" s="4"/>
      <c r="E602" s="4"/>
    </row>
    <row r="603" spans="1:5" x14ac:dyDescent="0.3">
      <c r="A603" s="9">
        <v>595</v>
      </c>
      <c r="B603" s="10">
        <f t="shared" ca="1" si="9"/>
        <v>9.1667768958726428E-2</v>
      </c>
      <c r="C603" s="10">
        <f ca="1">NPV(B603,Project_FCF!C18:J18)+Project_FCF!B18</f>
        <v>844.54893463977805</v>
      </c>
      <c r="D603" s="4"/>
      <c r="E603" s="4"/>
    </row>
    <row r="604" spans="1:5" x14ac:dyDescent="0.3">
      <c r="A604" s="9">
        <v>596</v>
      </c>
      <c r="B604" s="10">
        <f t="shared" ca="1" si="9"/>
        <v>8.0437463871821407E-2</v>
      </c>
      <c r="C604" s="10">
        <f ca="1">NPV(B604,Project_FCF!C18:J18)+Project_FCF!B18</f>
        <v>934.67064147616361</v>
      </c>
      <c r="D604" s="4"/>
      <c r="E604" s="4"/>
    </row>
    <row r="605" spans="1:5" x14ac:dyDescent="0.3">
      <c r="A605" s="9">
        <v>597</v>
      </c>
      <c r="B605" s="10">
        <f t="shared" ca="1" si="9"/>
        <v>8.4789464454943189E-2</v>
      </c>
      <c r="C605" s="10">
        <f ca="1">NPV(B605,Project_FCF!C18:J18)+Project_FCF!B18</f>
        <v>898.79527528664994</v>
      </c>
      <c r="D605" s="4"/>
      <c r="E605" s="4"/>
    </row>
    <row r="606" spans="1:5" x14ac:dyDescent="0.3">
      <c r="A606" s="9">
        <v>598</v>
      </c>
      <c r="B606" s="10">
        <f t="shared" ca="1" si="9"/>
        <v>8.7409035109860006E-2</v>
      </c>
      <c r="C606" s="10">
        <f ca="1">NPV(B606,Project_FCF!C18:J18)+Project_FCF!B18</f>
        <v>877.78869541314498</v>
      </c>
      <c r="D606" s="4"/>
      <c r="E606" s="4"/>
    </row>
    <row r="607" spans="1:5" x14ac:dyDescent="0.3">
      <c r="A607" s="9">
        <v>599</v>
      </c>
      <c r="B607" s="10">
        <f t="shared" ca="1" si="9"/>
        <v>7.3788201977809095E-2</v>
      </c>
      <c r="C607" s="10">
        <f ca="1">NPV(B607,Project_FCF!C18:J18)+Project_FCF!B18</f>
        <v>991.93573497354078</v>
      </c>
      <c r="D607" s="4"/>
      <c r="E607" s="4"/>
    </row>
    <row r="608" spans="1:5" x14ac:dyDescent="0.3">
      <c r="A608" s="9">
        <v>600</v>
      </c>
      <c r="B608" s="10">
        <f t="shared" ca="1" si="9"/>
        <v>8.1368198904402111E-2</v>
      </c>
      <c r="C608" s="10">
        <f ca="1">NPV(B608,Project_FCF!C18:J18)+Project_FCF!B18</f>
        <v>926.8938716411235</v>
      </c>
      <c r="D608" s="4"/>
      <c r="E608" s="4"/>
    </row>
    <row r="609" spans="1:5" x14ac:dyDescent="0.3">
      <c r="A609" s="9">
        <v>601</v>
      </c>
      <c r="B609" s="10">
        <f t="shared" ca="1" si="9"/>
        <v>9.0808865900439059E-2</v>
      </c>
      <c r="C609" s="10">
        <f ca="1">NPV(B609,Project_FCF!C18:J18)+Project_FCF!B18</f>
        <v>851.16350682424786</v>
      </c>
      <c r="D609" s="4"/>
      <c r="E609" s="4"/>
    </row>
    <row r="610" spans="1:5" x14ac:dyDescent="0.3">
      <c r="A610" s="9">
        <v>602</v>
      </c>
      <c r="B610" s="10">
        <f t="shared" ca="1" si="9"/>
        <v>0.1020118398235122</v>
      </c>
      <c r="C610" s="10">
        <f ca="1">NPV(B610,Project_FCF!C18:J18)+Project_FCF!B18</f>
        <v>768.27897954474088</v>
      </c>
      <c r="D610" s="4"/>
      <c r="E610" s="4"/>
    </row>
    <row r="611" spans="1:5" x14ac:dyDescent="0.3">
      <c r="A611" s="9">
        <v>603</v>
      </c>
      <c r="B611" s="10">
        <f t="shared" ca="1" si="9"/>
        <v>9.7679992985849562E-2</v>
      </c>
      <c r="C611" s="10">
        <f ca="1">NPV(B611,Project_FCF!C18:J18)+Project_FCF!B18</f>
        <v>799.47217051386224</v>
      </c>
      <c r="D611" s="4"/>
      <c r="E611" s="4"/>
    </row>
    <row r="612" spans="1:5" x14ac:dyDescent="0.3">
      <c r="A612" s="9">
        <v>604</v>
      </c>
      <c r="B612" s="10">
        <f t="shared" ca="1" si="9"/>
        <v>8.4089789707932378E-2</v>
      </c>
      <c r="C612" s="10">
        <f ca="1">NPV(B612,Project_FCF!C18:J18)+Project_FCF!B18</f>
        <v>904.47994205828718</v>
      </c>
      <c r="D612" s="4"/>
      <c r="E612" s="4"/>
    </row>
    <row r="613" spans="1:5" x14ac:dyDescent="0.3">
      <c r="A613" s="9">
        <v>605</v>
      </c>
      <c r="B613" s="10">
        <f t="shared" ca="1" si="9"/>
        <v>7.8192001248921505E-2</v>
      </c>
      <c r="C613" s="10">
        <f ca="1">NPV(B613,Project_FCF!C18:J18)+Project_FCF!B18</f>
        <v>953.67098844508268</v>
      </c>
      <c r="D613" s="4"/>
      <c r="E613" s="4"/>
    </row>
    <row r="614" spans="1:5" x14ac:dyDescent="0.3">
      <c r="A614" s="9">
        <v>606</v>
      </c>
      <c r="B614" s="10">
        <f t="shared" ca="1" si="9"/>
        <v>0.10272440510629621</v>
      </c>
      <c r="C614" s="10">
        <f ca="1">NPV(B614,Project_FCF!C18:J18)+Project_FCF!B18</f>
        <v>763.24761570317264</v>
      </c>
      <c r="D614" s="4"/>
      <c r="E614" s="4"/>
    </row>
    <row r="615" spans="1:5" x14ac:dyDescent="0.3">
      <c r="A615" s="9">
        <v>607</v>
      </c>
      <c r="B615" s="10">
        <f t="shared" ca="1" si="9"/>
        <v>7.8137114807139002E-2</v>
      </c>
      <c r="C615" s="10">
        <f ca="1">NPV(B615,Project_FCF!C18:J18)+Project_FCF!B18</f>
        <v>954.13967975592959</v>
      </c>
      <c r="D615" s="4"/>
      <c r="E615" s="4"/>
    </row>
    <row r="616" spans="1:5" x14ac:dyDescent="0.3">
      <c r="A616" s="9">
        <v>608</v>
      </c>
      <c r="B616" s="10">
        <f t="shared" ca="1" si="9"/>
        <v>7.4554529564412997E-2</v>
      </c>
      <c r="C616" s="10">
        <f ca="1">NPV(B616,Project_FCF!C18:J18)+Project_FCF!B18</f>
        <v>985.18006961081369</v>
      </c>
      <c r="D616" s="4"/>
      <c r="E616" s="4"/>
    </row>
    <row r="617" spans="1:5" x14ac:dyDescent="0.3">
      <c r="A617" s="9">
        <v>609</v>
      </c>
      <c r="B617" s="10">
        <f t="shared" ca="1" si="9"/>
        <v>6.5886824313835635E-2</v>
      </c>
      <c r="C617" s="10">
        <f ca="1">NPV(B617,Project_FCF!C18:J18)+Project_FCF!B18</f>
        <v>1064.0660449995401</v>
      </c>
      <c r="D617" s="4"/>
      <c r="E617" s="4"/>
    </row>
    <row r="618" spans="1:5" x14ac:dyDescent="0.3">
      <c r="A618" s="9">
        <v>610</v>
      </c>
      <c r="B618" s="10">
        <f t="shared" ca="1" si="9"/>
        <v>8.2526297252325909E-2</v>
      </c>
      <c r="C618" s="10">
        <f ca="1">NPV(B618,Project_FCF!C18:J18)+Project_FCF!B18</f>
        <v>917.29716157627377</v>
      </c>
      <c r="D618" s="4"/>
      <c r="E618" s="4"/>
    </row>
    <row r="619" spans="1:5" x14ac:dyDescent="0.3">
      <c r="A619" s="9">
        <v>611</v>
      </c>
      <c r="B619" s="10">
        <f t="shared" ca="1" si="9"/>
        <v>0.10346638359758631</v>
      </c>
      <c r="C619" s="10">
        <f ca="1">NPV(B619,Project_FCF!C18:J18)+Project_FCF!B18</f>
        <v>758.03800896904499</v>
      </c>
      <c r="D619" s="4"/>
      <c r="E619" s="4"/>
    </row>
    <row r="620" spans="1:5" x14ac:dyDescent="0.3">
      <c r="A620" s="9">
        <v>612</v>
      </c>
      <c r="B620" s="10">
        <f t="shared" ca="1" si="9"/>
        <v>0.10081696876048801</v>
      </c>
      <c r="C620" s="10">
        <f ca="1">NPV(B620,Project_FCF!C18:J18)+Project_FCF!B18</f>
        <v>776.7785253864738</v>
      </c>
      <c r="D620" s="4"/>
      <c r="E620" s="4"/>
    </row>
    <row r="621" spans="1:5" x14ac:dyDescent="0.3">
      <c r="A621" s="9">
        <v>613</v>
      </c>
      <c r="B621" s="10">
        <f t="shared" ca="1" si="9"/>
        <v>7.4452656513686696E-2</v>
      </c>
      <c r="C621" s="10">
        <f ca="1">NPV(B621,Project_FCF!C18:J18)+Project_FCF!B18</f>
        <v>986.07576265742591</v>
      </c>
      <c r="D621" s="4"/>
      <c r="E621" s="4"/>
    </row>
    <row r="622" spans="1:5" x14ac:dyDescent="0.3">
      <c r="A622" s="9">
        <v>614</v>
      </c>
      <c r="B622" s="10">
        <f t="shared" ca="1" si="9"/>
        <v>6.4299840859311092E-2</v>
      </c>
      <c r="C622" s="10">
        <f ca="1">NPV(B622,Project_FCF!C18:J18)+Project_FCF!B18</f>
        <v>1079.1146777582383</v>
      </c>
      <c r="D622" s="4"/>
      <c r="E622" s="4"/>
    </row>
    <row r="623" spans="1:5" x14ac:dyDescent="0.3">
      <c r="A623" s="9">
        <v>615</v>
      </c>
      <c r="B623" s="10">
        <f t="shared" ca="1" si="9"/>
        <v>7.8719251460152281E-2</v>
      </c>
      <c r="C623" s="10">
        <f ca="1">NPV(B623,Project_FCF!C18:J18)+Project_FCF!B18</f>
        <v>949.17905685999585</v>
      </c>
      <c r="D623" s="4"/>
      <c r="E623" s="4"/>
    </row>
    <row r="624" spans="1:5" x14ac:dyDescent="0.3">
      <c r="A624" s="9">
        <v>616</v>
      </c>
      <c r="B624" s="10">
        <f t="shared" ca="1" si="9"/>
        <v>8.2137871718221678E-2</v>
      </c>
      <c r="C624" s="10">
        <f ca="1">NPV(B624,Project_FCF!C18:J18)+Project_FCF!B18</f>
        <v>920.50608133438436</v>
      </c>
      <c r="D624" s="4"/>
      <c r="E624" s="4"/>
    </row>
    <row r="625" spans="1:5" x14ac:dyDescent="0.3">
      <c r="A625" s="9">
        <v>617</v>
      </c>
      <c r="B625" s="10">
        <f t="shared" ca="1" si="9"/>
        <v>7.443236534195781E-2</v>
      </c>
      <c r="C625" s="10">
        <f ca="1">NPV(B625,Project_FCF!C18:J18)+Project_FCF!B18</f>
        <v>986.25425474259032</v>
      </c>
      <c r="D625" s="4"/>
      <c r="E625" s="4"/>
    </row>
    <row r="626" spans="1:5" x14ac:dyDescent="0.3">
      <c r="A626" s="9">
        <v>618</v>
      </c>
      <c r="B626" s="10">
        <f t="shared" ca="1" si="9"/>
        <v>6.9037733825976361E-2</v>
      </c>
      <c r="C626" s="10">
        <f ca="1">NPV(B626,Project_FCF!C18:J18)+Project_FCF!B18</f>
        <v>1034.7519736508041</v>
      </c>
      <c r="D626" s="4"/>
      <c r="E626" s="4"/>
    </row>
    <row r="627" spans="1:5" x14ac:dyDescent="0.3">
      <c r="A627" s="9">
        <v>619</v>
      </c>
      <c r="B627" s="10">
        <f t="shared" ca="1" si="9"/>
        <v>7.1464516157885391E-2</v>
      </c>
      <c r="C627" s="10">
        <f ca="1">NPV(B627,Project_FCF!C18:J18)+Project_FCF!B18</f>
        <v>1012.6755547992652</v>
      </c>
      <c r="D627" s="4"/>
      <c r="E627" s="4"/>
    </row>
    <row r="628" spans="1:5" x14ac:dyDescent="0.3">
      <c r="A628" s="9">
        <v>620</v>
      </c>
      <c r="B628" s="10">
        <f t="shared" ca="1" si="9"/>
        <v>6.651403665895117E-2</v>
      </c>
      <c r="C628" s="10">
        <f ca="1">NPV(B628,Project_FCF!C18:J18)+Project_FCF!B18</f>
        <v>1058.1714022879037</v>
      </c>
      <c r="D628" s="4"/>
      <c r="E628" s="4"/>
    </row>
    <row r="629" spans="1:5" x14ac:dyDescent="0.3">
      <c r="A629" s="9">
        <v>621</v>
      </c>
      <c r="B629" s="10">
        <f t="shared" ca="1" si="9"/>
        <v>9.996972104434651E-2</v>
      </c>
      <c r="C629" s="10">
        <f ca="1">NPV(B629,Project_FCF!C18:J18)+Project_FCF!B18</f>
        <v>782.85325807922936</v>
      </c>
      <c r="D629" s="4"/>
      <c r="E629" s="4"/>
    </row>
    <row r="630" spans="1:5" x14ac:dyDescent="0.3">
      <c r="A630" s="9">
        <v>622</v>
      </c>
      <c r="B630" s="10">
        <f t="shared" ca="1" si="9"/>
        <v>6.7090834570180946E-2</v>
      </c>
      <c r="C630" s="10">
        <f ca="1">NPV(B630,Project_FCF!C18:J18)+Project_FCF!B18</f>
        <v>1052.776802543528</v>
      </c>
      <c r="D630" s="4"/>
      <c r="E630" s="4"/>
    </row>
    <row r="631" spans="1:5" x14ac:dyDescent="0.3">
      <c r="A631" s="9">
        <v>623</v>
      </c>
      <c r="B631" s="10">
        <f t="shared" ca="1" si="9"/>
        <v>7.4192148389023466E-2</v>
      </c>
      <c r="C631" s="10">
        <f ca="1">NPV(B631,Project_FCF!C18:J18)+Project_FCF!B18</f>
        <v>988.36953347458984</v>
      </c>
      <c r="D631" s="4"/>
      <c r="E631" s="4"/>
    </row>
    <row r="632" spans="1:5" x14ac:dyDescent="0.3">
      <c r="A632" s="9">
        <v>624</v>
      </c>
      <c r="B632" s="10">
        <f t="shared" ca="1" si="9"/>
        <v>9.4879415942674739E-2</v>
      </c>
      <c r="C632" s="10">
        <f ca="1">NPV(B632,Project_FCF!C18:J18)+Project_FCF!B18</f>
        <v>820.20615683251322</v>
      </c>
      <c r="D632" s="4"/>
      <c r="E632" s="4"/>
    </row>
    <row r="633" spans="1:5" x14ac:dyDescent="0.3">
      <c r="A633" s="9">
        <v>625</v>
      </c>
      <c r="B633" s="10">
        <f t="shared" ca="1" si="9"/>
        <v>9.1044067451479527E-2</v>
      </c>
      <c r="C633" s="10">
        <f ca="1">NPV(B633,Project_FCF!C18:J18)+Project_FCF!B18</f>
        <v>849.34774153914736</v>
      </c>
      <c r="D633" s="4"/>
      <c r="E633" s="4"/>
    </row>
    <row r="634" spans="1:5" x14ac:dyDescent="0.3">
      <c r="A634" s="9">
        <v>626</v>
      </c>
      <c r="B634" s="10">
        <f t="shared" ca="1" si="9"/>
        <v>6.6164904380685646E-2</v>
      </c>
      <c r="C634" s="10">
        <f ca="1">NPV(B634,Project_FCF!C18:J18)+Project_FCF!B18</f>
        <v>1061.4489249977055</v>
      </c>
      <c r="D634" s="4"/>
      <c r="E634" s="4"/>
    </row>
    <row r="635" spans="1:5" x14ac:dyDescent="0.3">
      <c r="A635" s="9">
        <v>627</v>
      </c>
      <c r="B635" s="10">
        <f t="shared" ca="1" si="9"/>
        <v>9.6540052396250575E-2</v>
      </c>
      <c r="C635" s="10">
        <f ca="1">NPV(B635,Project_FCF!C18:J18)+Project_FCF!B18</f>
        <v>807.85704804073521</v>
      </c>
      <c r="D635" s="4"/>
      <c r="E635" s="4"/>
    </row>
    <row r="636" spans="1:5" x14ac:dyDescent="0.3">
      <c r="A636" s="9">
        <v>628</v>
      </c>
      <c r="B636" s="10">
        <f t="shared" ca="1" si="9"/>
        <v>6.4507450336863684E-2</v>
      </c>
      <c r="C636" s="10">
        <f ca="1">NPV(B636,Project_FCF!C18:J18)+Project_FCF!B18</f>
        <v>1077.135032744867</v>
      </c>
      <c r="D636" s="4"/>
      <c r="E636" s="4"/>
    </row>
    <row r="637" spans="1:5" x14ac:dyDescent="0.3">
      <c r="A637" s="9">
        <v>629</v>
      </c>
      <c r="B637" s="10">
        <f t="shared" ca="1" si="9"/>
        <v>8.1104758842926408E-2</v>
      </c>
      <c r="C637" s="10">
        <f ca="1">NPV(B637,Project_FCF!C18:J18)+Project_FCF!B18</f>
        <v>929.08922523428782</v>
      </c>
      <c r="D637" s="4"/>
      <c r="E637" s="4"/>
    </row>
    <row r="638" spans="1:5" x14ac:dyDescent="0.3">
      <c r="A638" s="9">
        <v>630</v>
      </c>
      <c r="B638" s="10">
        <f t="shared" ca="1" si="9"/>
        <v>7.4486988676098237E-2</v>
      </c>
      <c r="C638" s="10">
        <f ca="1">NPV(B638,Project_FCF!C18:J18)+Project_FCF!B18</f>
        <v>985.7738243466772</v>
      </c>
      <c r="D638" s="4"/>
      <c r="E638" s="4"/>
    </row>
    <row r="639" spans="1:5" x14ac:dyDescent="0.3">
      <c r="A639" s="9">
        <v>631</v>
      </c>
      <c r="B639" s="10">
        <f t="shared" ca="1" si="9"/>
        <v>6.4023823433908389E-2</v>
      </c>
      <c r="C639" s="10">
        <f ca="1">NPV(B639,Project_FCF!C18:J18)+Project_FCF!B18</f>
        <v>1081.7517692079912</v>
      </c>
      <c r="D639" s="4"/>
      <c r="E639" s="4"/>
    </row>
    <row r="640" spans="1:5" x14ac:dyDescent="0.3">
      <c r="A640" s="9">
        <v>632</v>
      </c>
      <c r="B640" s="10">
        <f t="shared" ca="1" si="9"/>
        <v>9.586605238791418E-2</v>
      </c>
      <c r="C640" s="10">
        <f ca="1">NPV(B640,Project_FCF!C18:J18)+Project_FCF!B18</f>
        <v>812.84986550416261</v>
      </c>
      <c r="D640" s="4"/>
      <c r="E640" s="4"/>
    </row>
    <row r="641" spans="1:5" x14ac:dyDescent="0.3">
      <c r="A641" s="9">
        <v>633</v>
      </c>
      <c r="B641" s="10">
        <f t="shared" ca="1" si="9"/>
        <v>0.1002783354213263</v>
      </c>
      <c r="C641" s="10">
        <f ca="1">NPV(B641,Project_FCF!C18:J18)+Project_FCF!B18</f>
        <v>780.63587411469689</v>
      </c>
      <c r="D641" s="4"/>
      <c r="E641" s="4"/>
    </row>
    <row r="642" spans="1:5" x14ac:dyDescent="0.3">
      <c r="A642" s="9">
        <v>634</v>
      </c>
      <c r="B642" s="10">
        <f t="shared" ca="1" si="9"/>
        <v>9.9142486365513954E-2</v>
      </c>
      <c r="C642" s="10">
        <f ca="1">NPV(B642,Project_FCF!C18:J18)+Project_FCF!B18</f>
        <v>788.82321825631084</v>
      </c>
      <c r="D642" s="4"/>
      <c r="E642" s="4"/>
    </row>
    <row r="643" spans="1:5" x14ac:dyDescent="0.3">
      <c r="A643" s="9">
        <v>635</v>
      </c>
      <c r="B643" s="10">
        <f t="shared" ca="1" si="9"/>
        <v>7.0955073193091703E-2</v>
      </c>
      <c r="C643" s="10">
        <f ca="1">NPV(B643,Project_FCF!C18:J18)+Project_FCF!B18</f>
        <v>1017.2743667962693</v>
      </c>
      <c r="D643" s="4"/>
      <c r="E643" s="4"/>
    </row>
    <row r="644" spans="1:5" x14ac:dyDescent="0.3">
      <c r="A644" s="9">
        <v>636</v>
      </c>
      <c r="B644" s="10">
        <f t="shared" ca="1" si="9"/>
        <v>9.8672332016025571E-2</v>
      </c>
      <c r="C644" s="10">
        <f ca="1">NPV(B644,Project_FCF!C18:J18)+Project_FCF!B18</f>
        <v>792.23337160187043</v>
      </c>
      <c r="D644" s="4"/>
      <c r="E644" s="4"/>
    </row>
    <row r="645" spans="1:5" x14ac:dyDescent="0.3">
      <c r="A645" s="9">
        <v>637</v>
      </c>
      <c r="B645" s="10">
        <f t="shared" ca="1" si="9"/>
        <v>8.8922552106077205E-2</v>
      </c>
      <c r="C645" s="10">
        <f ca="1">NPV(B645,Project_FCF!C18:J18)+Project_FCF!B18</f>
        <v>865.84788814689432</v>
      </c>
      <c r="D645" s="4"/>
      <c r="E645" s="4"/>
    </row>
    <row r="646" spans="1:5" x14ac:dyDescent="0.3">
      <c r="A646" s="9">
        <v>638</v>
      </c>
      <c r="B646" s="10">
        <f t="shared" ca="1" si="9"/>
        <v>6.907161953380446E-2</v>
      </c>
      <c r="C646" s="10">
        <f ca="1">NPV(B646,Project_FCF!C18:J18)+Project_FCF!B18</f>
        <v>1034.4407445401228</v>
      </c>
      <c r="D646" s="4"/>
      <c r="E646" s="4"/>
    </row>
    <row r="647" spans="1:5" x14ac:dyDescent="0.3">
      <c r="A647" s="9">
        <v>639</v>
      </c>
      <c r="B647" s="10">
        <f t="shared" ca="1" si="9"/>
        <v>7.010425715419763E-2</v>
      </c>
      <c r="C647" s="10">
        <f ca="1">NPV(B647,Project_FCF!C18:J18)+Project_FCF!B18</f>
        <v>1024.9968284279803</v>
      </c>
      <c r="D647" s="4"/>
      <c r="E647" s="4"/>
    </row>
    <row r="648" spans="1:5" x14ac:dyDescent="0.3">
      <c r="A648" s="9">
        <v>640</v>
      </c>
      <c r="B648" s="10">
        <f t="shared" ca="1" si="9"/>
        <v>8.2487850568359999E-2</v>
      </c>
      <c r="C648" s="10">
        <f ca="1">NPV(B648,Project_FCF!C18:J18)+Project_FCF!B18</f>
        <v>917.61434303071428</v>
      </c>
      <c r="D648" s="4"/>
      <c r="E648" s="4"/>
    </row>
    <row r="649" spans="1:5" x14ac:dyDescent="0.3">
      <c r="A649" s="9">
        <v>641</v>
      </c>
      <c r="B649" s="10">
        <f t="shared" ref="B649:B712" ca="1" si="10">$B$4+RAND()*($B$5-$B$4)</f>
        <v>8.357065231268701E-2</v>
      </c>
      <c r="C649" s="10">
        <f ca="1">NPV(B649,Project_FCF!C18:J18)+Project_FCF!B18</f>
        <v>908.71816114685157</v>
      </c>
      <c r="D649" s="4"/>
      <c r="E649" s="4"/>
    </row>
    <row r="650" spans="1:5" x14ac:dyDescent="0.3">
      <c r="A650" s="9">
        <v>642</v>
      </c>
      <c r="B650" s="10">
        <f t="shared" ca="1" si="10"/>
        <v>0.10091301124779053</v>
      </c>
      <c r="C650" s="10">
        <f ca="1">NPV(B650,Project_FCF!C18:J18)+Project_FCF!B18</f>
        <v>776.09242376743464</v>
      </c>
      <c r="D650" s="4"/>
      <c r="E650" s="4"/>
    </row>
    <row r="651" spans="1:5" x14ac:dyDescent="0.3">
      <c r="A651" s="9">
        <v>643</v>
      </c>
      <c r="B651" s="10">
        <f t="shared" ca="1" si="10"/>
        <v>0.10005762955152496</v>
      </c>
      <c r="C651" s="10">
        <f ca="1">NPV(B651,Project_FCF!C18:J18)+Project_FCF!B18</f>
        <v>782.22109666225356</v>
      </c>
      <c r="D651" s="4"/>
      <c r="E651" s="4"/>
    </row>
    <row r="652" spans="1:5" x14ac:dyDescent="0.3">
      <c r="A652" s="9">
        <v>644</v>
      </c>
      <c r="B652" s="10">
        <f t="shared" ca="1" si="10"/>
        <v>7.9218706717804593E-2</v>
      </c>
      <c r="C652" s="10">
        <f ca="1">NPV(B652,Project_FCF!C18:J18)+Project_FCF!B18</f>
        <v>944.94126363089799</v>
      </c>
      <c r="D652" s="4"/>
      <c r="E652" s="4"/>
    </row>
    <row r="653" spans="1:5" x14ac:dyDescent="0.3">
      <c r="A653" s="9">
        <v>645</v>
      </c>
      <c r="B653" s="10">
        <f t="shared" ca="1" si="10"/>
        <v>7.1456664047724203E-2</v>
      </c>
      <c r="C653" s="10">
        <f ca="1">NPV(B653,Project_FCF!C18:J18)+Project_FCF!B18</f>
        <v>1012.7462944427984</v>
      </c>
      <c r="D653" s="4"/>
      <c r="E653" s="4"/>
    </row>
    <row r="654" spans="1:5" x14ac:dyDescent="0.3">
      <c r="A654" s="9">
        <v>646</v>
      </c>
      <c r="B654" s="10">
        <f t="shared" ca="1" si="10"/>
        <v>0.10119688880592231</v>
      </c>
      <c r="C654" s="10">
        <f ca="1">NPV(B654,Project_FCF!C18:J18)+Project_FCF!B18</f>
        <v>774.06746727431755</v>
      </c>
      <c r="D654" s="4"/>
      <c r="E654" s="4"/>
    </row>
    <row r="655" spans="1:5" x14ac:dyDescent="0.3">
      <c r="A655" s="9">
        <v>647</v>
      </c>
      <c r="B655" s="10">
        <f t="shared" ca="1" si="10"/>
        <v>6.8168100045385288E-2</v>
      </c>
      <c r="C655" s="10">
        <f ca="1">NPV(B655,Project_FCF!C18:J18)+Project_FCF!B18</f>
        <v>1042.7683551476857</v>
      </c>
      <c r="D655" s="4"/>
      <c r="E655" s="4"/>
    </row>
    <row r="656" spans="1:5" x14ac:dyDescent="0.3">
      <c r="A656" s="9">
        <v>648</v>
      </c>
      <c r="B656" s="10">
        <f t="shared" ca="1" si="10"/>
        <v>8.6599871924242969E-2</v>
      </c>
      <c r="C656" s="10">
        <f ca="1">NPV(B656,Project_FCF!C18:J18)+Project_FCF!B18</f>
        <v>884.23117839139945</v>
      </c>
      <c r="D656" s="4"/>
      <c r="E656" s="4"/>
    </row>
    <row r="657" spans="1:5" x14ac:dyDescent="0.3">
      <c r="A657" s="9">
        <v>649</v>
      </c>
      <c r="B657" s="10">
        <f t="shared" ca="1" si="10"/>
        <v>7.7481323708681146E-2</v>
      </c>
      <c r="C657" s="10">
        <f ca="1">NPV(B657,Project_FCF!C18:J18)+Project_FCF!B18</f>
        <v>959.75553928687032</v>
      </c>
      <c r="D657" s="4"/>
      <c r="E657" s="4"/>
    </row>
    <row r="658" spans="1:5" x14ac:dyDescent="0.3">
      <c r="A658" s="9">
        <v>650</v>
      </c>
      <c r="B658" s="10">
        <f t="shared" ca="1" si="10"/>
        <v>7.3611410288848517E-2</v>
      </c>
      <c r="C658" s="10">
        <f ca="1">NPV(B658,Project_FCF!C18:J18)+Project_FCF!B18</f>
        <v>993.50015038336915</v>
      </c>
      <c r="D658" s="4"/>
      <c r="E658" s="4"/>
    </row>
    <row r="659" spans="1:5" x14ac:dyDescent="0.3">
      <c r="A659" s="9">
        <v>651</v>
      </c>
      <c r="B659" s="10">
        <f t="shared" ca="1" si="10"/>
        <v>7.871735679765883E-2</v>
      </c>
      <c r="C659" s="10">
        <f ca="1">NPV(B659,Project_FCF!C18:J18)+Project_FCF!B18</f>
        <v>949.19516481596247</v>
      </c>
      <c r="D659" s="4"/>
      <c r="E659" s="4"/>
    </row>
    <row r="660" spans="1:5" x14ac:dyDescent="0.3">
      <c r="A660" s="9">
        <v>652</v>
      </c>
      <c r="B660" s="10">
        <f t="shared" ca="1" si="10"/>
        <v>6.751064947631738E-2</v>
      </c>
      <c r="C660" s="10">
        <f ca="1">NPV(B660,Project_FCF!C18:J18)+Project_FCF!B18</f>
        <v>1048.8661433331677</v>
      </c>
      <c r="D660" s="4"/>
      <c r="E660" s="4"/>
    </row>
    <row r="661" spans="1:5" x14ac:dyDescent="0.3">
      <c r="A661" s="9">
        <v>653</v>
      </c>
      <c r="B661" s="10">
        <f t="shared" ca="1" si="10"/>
        <v>9.0496504844962952E-2</v>
      </c>
      <c r="C661" s="10">
        <f ca="1">NPV(B661,Project_FCF!C18:J18)+Project_FCF!B18</f>
        <v>853.58013480824661</v>
      </c>
      <c r="D661" s="4"/>
      <c r="E661" s="4"/>
    </row>
    <row r="662" spans="1:5" x14ac:dyDescent="0.3">
      <c r="A662" s="9">
        <v>654</v>
      </c>
      <c r="B662" s="10">
        <f t="shared" ca="1" si="10"/>
        <v>8.8527384486401101E-2</v>
      </c>
      <c r="C662" s="10">
        <f ca="1">NPV(B662,Project_FCF!C18:J18)+Project_FCF!B18</f>
        <v>868.9518323131324</v>
      </c>
      <c r="D662" s="4"/>
      <c r="E662" s="4"/>
    </row>
    <row r="663" spans="1:5" x14ac:dyDescent="0.3">
      <c r="A663" s="9">
        <v>655</v>
      </c>
      <c r="B663" s="10">
        <f t="shared" ca="1" si="10"/>
        <v>6.5798421500385007E-2</v>
      </c>
      <c r="C663" s="10">
        <f ca="1">NPV(B663,Project_FCF!C18:J18)+Project_FCF!B18</f>
        <v>1064.8992686483048</v>
      </c>
      <c r="D663" s="4"/>
      <c r="E663" s="4"/>
    </row>
    <row r="664" spans="1:5" x14ac:dyDescent="0.3">
      <c r="A664" s="9">
        <v>656</v>
      </c>
      <c r="B664" s="10">
        <f t="shared" ca="1" si="10"/>
        <v>6.6984320468693098E-2</v>
      </c>
      <c r="C664" s="10">
        <f ca="1">NPV(B664,Project_FCF!C18:J18)+Project_FCF!B18</f>
        <v>1053.7711072928771</v>
      </c>
      <c r="D664" s="4"/>
      <c r="E664" s="4"/>
    </row>
    <row r="665" spans="1:5" x14ac:dyDescent="0.3">
      <c r="A665" s="9">
        <v>657</v>
      </c>
      <c r="B665" s="10">
        <f t="shared" ca="1" si="10"/>
        <v>8.6701940239754513E-2</v>
      </c>
      <c r="C665" s="10">
        <f ca="1">NPV(B665,Project_FCF!C18:J18)+Project_FCF!B18</f>
        <v>883.41625319997911</v>
      </c>
      <c r="D665" s="4"/>
      <c r="E665" s="4"/>
    </row>
    <row r="666" spans="1:5" x14ac:dyDescent="0.3">
      <c r="A666" s="9">
        <v>658</v>
      </c>
      <c r="B666" s="10">
        <f t="shared" ca="1" si="10"/>
        <v>9.4617456004342113E-2</v>
      </c>
      <c r="C666" s="10">
        <f ca="1">NPV(B666,Project_FCF!C18:J18)+Project_FCF!B18</f>
        <v>822.16885699174463</v>
      </c>
      <c r="D666" s="4"/>
      <c r="E666" s="4"/>
    </row>
    <row r="667" spans="1:5" x14ac:dyDescent="0.3">
      <c r="A667" s="9">
        <v>659</v>
      </c>
      <c r="B667" s="10">
        <f t="shared" ca="1" si="10"/>
        <v>0.10327215492835536</v>
      </c>
      <c r="C667" s="10">
        <f ca="1">NPV(B667,Project_FCF!C18:J18)+Project_FCF!B18</f>
        <v>759.39884296246078</v>
      </c>
      <c r="D667" s="4"/>
      <c r="E667" s="4"/>
    </row>
    <row r="668" spans="1:5" x14ac:dyDescent="0.3">
      <c r="A668" s="9">
        <v>660</v>
      </c>
      <c r="B668" s="10">
        <f t="shared" ca="1" si="10"/>
        <v>8.5988443669998083E-2</v>
      </c>
      <c r="C668" s="10">
        <f ca="1">NPV(B668,Project_FCF!C18:J18)+Project_FCF!B18</f>
        <v>889.1266512861755</v>
      </c>
      <c r="D668" s="4"/>
      <c r="E668" s="4"/>
    </row>
    <row r="669" spans="1:5" x14ac:dyDescent="0.3">
      <c r="A669" s="9">
        <v>661</v>
      </c>
      <c r="B669" s="10">
        <f t="shared" ca="1" si="10"/>
        <v>6.7017582198397527E-2</v>
      </c>
      <c r="C669" s="10">
        <f ca="1">NPV(B669,Project_FCF!C18:J18)+Project_FCF!B18</f>
        <v>1053.4605188039857</v>
      </c>
      <c r="D669" s="4"/>
      <c r="E669" s="4"/>
    </row>
    <row r="670" spans="1:5" x14ac:dyDescent="0.3">
      <c r="A670" s="9">
        <v>662</v>
      </c>
      <c r="B670" s="10">
        <f t="shared" ca="1" si="10"/>
        <v>0.10320976192826009</v>
      </c>
      <c r="C670" s="10">
        <f ca="1">NPV(B670,Project_FCF!C18:J18)+Project_FCF!B18</f>
        <v>759.83642469122947</v>
      </c>
      <c r="D670" s="4"/>
      <c r="E670" s="4"/>
    </row>
    <row r="671" spans="1:5" x14ac:dyDescent="0.3">
      <c r="A671" s="9">
        <v>663</v>
      </c>
      <c r="B671" s="10">
        <f t="shared" ca="1" si="10"/>
        <v>8.3489021171799821E-2</v>
      </c>
      <c r="C671" s="10">
        <f ca="1">NPV(B671,Project_FCF!C18:J18)+Project_FCF!B18</f>
        <v>909.38617978125217</v>
      </c>
      <c r="D671" s="4"/>
      <c r="E671" s="4"/>
    </row>
    <row r="672" spans="1:5" x14ac:dyDescent="0.3">
      <c r="A672" s="9">
        <v>664</v>
      </c>
      <c r="B672" s="10">
        <f t="shared" ca="1" si="10"/>
        <v>8.1479089961482273E-2</v>
      </c>
      <c r="C672" s="10">
        <f ca="1">NPV(B672,Project_FCF!C18:J18)+Project_FCF!B18</f>
        <v>925.97114201550471</v>
      </c>
      <c r="D672" s="4"/>
      <c r="E672" s="4"/>
    </row>
    <row r="673" spans="1:5" x14ac:dyDescent="0.3">
      <c r="A673" s="9">
        <v>665</v>
      </c>
      <c r="B673" s="10">
        <f t="shared" ca="1" si="10"/>
        <v>6.7092645316108382E-2</v>
      </c>
      <c r="C673" s="10">
        <f ca="1">NPV(B673,Project_FCF!C18:J18)+Project_FCF!B18</f>
        <v>1052.7599066783928</v>
      </c>
      <c r="D673" s="4"/>
      <c r="E673" s="4"/>
    </row>
    <row r="674" spans="1:5" x14ac:dyDescent="0.3">
      <c r="A674" s="9">
        <v>666</v>
      </c>
      <c r="B674" s="10">
        <f t="shared" ca="1" si="10"/>
        <v>9.8869620856526091E-2</v>
      </c>
      <c r="C674" s="10">
        <f ca="1">NPV(B674,Project_FCF!C18:J18)+Project_FCF!B18</f>
        <v>790.80086439244474</v>
      </c>
      <c r="D674" s="4"/>
      <c r="E674" s="4"/>
    </row>
    <row r="675" spans="1:5" x14ac:dyDescent="0.3">
      <c r="A675" s="9">
        <v>667</v>
      </c>
      <c r="B675" s="10">
        <f t="shared" ca="1" si="10"/>
        <v>9.8985389227101955E-2</v>
      </c>
      <c r="C675" s="10">
        <f ca="1">NPV(B675,Project_FCF!C18:J18)+Project_FCF!B18</f>
        <v>789.96129769385971</v>
      </c>
      <c r="D675" s="4"/>
      <c r="E675" s="4"/>
    </row>
    <row r="676" spans="1:5" x14ac:dyDescent="0.3">
      <c r="A676" s="9">
        <v>668</v>
      </c>
      <c r="B676" s="10">
        <f t="shared" ca="1" si="10"/>
        <v>6.5766725897260875E-2</v>
      </c>
      <c r="C676" s="10">
        <f ca="1">NPV(B676,Project_FCF!C18:J18)+Project_FCF!B18</f>
        <v>1065.1981541622699</v>
      </c>
      <c r="D676" s="4"/>
      <c r="E676" s="4"/>
    </row>
    <row r="677" spans="1:5" x14ac:dyDescent="0.3">
      <c r="A677" s="9">
        <v>669</v>
      </c>
      <c r="B677" s="10">
        <f t="shared" ca="1" si="10"/>
        <v>7.0640712218100643E-2</v>
      </c>
      <c r="C677" s="10">
        <f ca="1">NPV(B677,Project_FCF!C18:J18)+Project_FCF!B18</f>
        <v>1020.1215358027082</v>
      </c>
      <c r="D677" s="4"/>
      <c r="E677" s="4"/>
    </row>
    <row r="678" spans="1:5" x14ac:dyDescent="0.3">
      <c r="A678" s="9">
        <v>670</v>
      </c>
      <c r="B678" s="10">
        <f t="shared" ca="1" si="10"/>
        <v>9.1102919960984602E-2</v>
      </c>
      <c r="C678" s="10">
        <f ca="1">NPV(B678,Project_FCF!C18:J18)+Project_FCF!B18</f>
        <v>848.89392184613439</v>
      </c>
      <c r="D678" s="4"/>
      <c r="E678" s="4"/>
    </row>
    <row r="679" spans="1:5" x14ac:dyDescent="0.3">
      <c r="A679" s="9">
        <v>671</v>
      </c>
      <c r="B679" s="10">
        <f t="shared" ca="1" si="10"/>
        <v>0.10140147104955788</v>
      </c>
      <c r="C679" s="10">
        <f ca="1">NPV(B679,Project_FCF!C18:J18)+Project_FCF!B18</f>
        <v>772.61090440314319</v>
      </c>
      <c r="D679" s="4"/>
      <c r="E679" s="4"/>
    </row>
    <row r="680" spans="1:5" x14ac:dyDescent="0.3">
      <c r="A680" s="9">
        <v>672</v>
      </c>
      <c r="B680" s="10">
        <f t="shared" ca="1" si="10"/>
        <v>7.5441581542815148E-2</v>
      </c>
      <c r="C680" s="10">
        <f ca="1">NPV(B680,Project_FCF!C18:J18)+Project_FCF!B18</f>
        <v>977.41161414051612</v>
      </c>
      <c r="D680" s="4"/>
      <c r="E680" s="4"/>
    </row>
    <row r="681" spans="1:5" x14ac:dyDescent="0.3">
      <c r="A681" s="9">
        <v>673</v>
      </c>
      <c r="B681" s="10">
        <f t="shared" ca="1" si="10"/>
        <v>9.06038191096325E-2</v>
      </c>
      <c r="C681" s="10">
        <f ca="1">NPV(B681,Project_FCF!C18:J18)+Project_FCF!B18</f>
        <v>852.74921360116196</v>
      </c>
      <c r="D681" s="4"/>
      <c r="E681" s="4"/>
    </row>
    <row r="682" spans="1:5" x14ac:dyDescent="0.3">
      <c r="A682" s="9">
        <v>674</v>
      </c>
      <c r="B682" s="10">
        <f t="shared" ca="1" si="10"/>
        <v>6.4881693432284157E-2</v>
      </c>
      <c r="C682" s="10">
        <f ca="1">NPV(B682,Project_FCF!C18:J18)+Project_FCF!B18</f>
        <v>1073.5748397973384</v>
      </c>
      <c r="D682" s="4"/>
      <c r="E682" s="4"/>
    </row>
    <row r="683" spans="1:5" x14ac:dyDescent="0.3">
      <c r="A683" s="9">
        <v>675</v>
      </c>
      <c r="B683" s="10">
        <f t="shared" ca="1" si="10"/>
        <v>7.171020503338732E-2</v>
      </c>
      <c r="C683" s="10">
        <f ca="1">NPV(B683,Project_FCF!C18:J18)+Project_FCF!B18</f>
        <v>1010.4643919134717</v>
      </c>
      <c r="D683" s="4"/>
      <c r="E683" s="4"/>
    </row>
    <row r="684" spans="1:5" x14ac:dyDescent="0.3">
      <c r="A684" s="9">
        <v>676</v>
      </c>
      <c r="B684" s="10">
        <f t="shared" ca="1" si="10"/>
        <v>7.409981441879078E-2</v>
      </c>
      <c r="C684" s="10">
        <f ca="1">NPV(B684,Project_FCF!C18:J18)+Project_FCF!B18</f>
        <v>989.1836799264363</v>
      </c>
      <c r="D684" s="4"/>
      <c r="E684" s="4"/>
    </row>
    <row r="685" spans="1:5" x14ac:dyDescent="0.3">
      <c r="A685" s="9">
        <v>677</v>
      </c>
      <c r="B685" s="10">
        <f t="shared" ca="1" si="10"/>
        <v>8.0493527405175319E-2</v>
      </c>
      <c r="C685" s="10">
        <f ca="1">NPV(B685,Project_FCF!C18:J18)+Project_FCF!B18</f>
        <v>934.20057434436808</v>
      </c>
      <c r="D685" s="4"/>
      <c r="E685" s="4"/>
    </row>
    <row r="686" spans="1:5" x14ac:dyDescent="0.3">
      <c r="A686" s="9">
        <v>678</v>
      </c>
      <c r="B686" s="10">
        <f t="shared" ca="1" si="10"/>
        <v>6.8618529458612382E-2</v>
      </c>
      <c r="C686" s="10">
        <f ca="1">NPV(B686,Project_FCF!C18:J18)+Project_FCF!B18</f>
        <v>1038.6092483309972</v>
      </c>
      <c r="D686" s="4"/>
      <c r="E686" s="4"/>
    </row>
    <row r="687" spans="1:5" x14ac:dyDescent="0.3">
      <c r="A687" s="9">
        <v>679</v>
      </c>
      <c r="B687" s="10">
        <f t="shared" ca="1" si="10"/>
        <v>7.3775752436862907E-2</v>
      </c>
      <c r="C687" s="10">
        <f ca="1">NPV(B687,Project_FCF!C18:J18)+Project_FCF!B18</f>
        <v>992.04582758428774</v>
      </c>
      <c r="D687" s="4"/>
      <c r="E687" s="4"/>
    </row>
    <row r="688" spans="1:5" x14ac:dyDescent="0.3">
      <c r="A688" s="9">
        <v>680</v>
      </c>
      <c r="B688" s="10">
        <f t="shared" ca="1" si="10"/>
        <v>8.9524700252798614E-2</v>
      </c>
      <c r="C688" s="10">
        <f ca="1">NPV(B688,Project_FCF!C18:J18)+Project_FCF!B18</f>
        <v>861.13667382717631</v>
      </c>
      <c r="D688" s="4"/>
      <c r="E688" s="4"/>
    </row>
    <row r="689" spans="1:5" x14ac:dyDescent="0.3">
      <c r="A689" s="9">
        <v>681</v>
      </c>
      <c r="B689" s="10">
        <f t="shared" ca="1" si="10"/>
        <v>8.0397703797955022E-2</v>
      </c>
      <c r="C689" s="10">
        <f ca="1">NPV(B689,Project_FCF!C18:J18)+Project_FCF!B18</f>
        <v>935.00413836018402</v>
      </c>
      <c r="D689" s="4"/>
      <c r="E689" s="4"/>
    </row>
    <row r="690" spans="1:5" x14ac:dyDescent="0.3">
      <c r="A690" s="9">
        <v>682</v>
      </c>
      <c r="B690" s="10">
        <f t="shared" ca="1" si="10"/>
        <v>9.114849278010273E-2</v>
      </c>
      <c r="C690" s="10">
        <f ca="1">NPV(B690,Project_FCF!C18:J18)+Project_FCF!B18</f>
        <v>848.54264760188971</v>
      </c>
      <c r="D690" s="4"/>
      <c r="E690" s="4"/>
    </row>
    <row r="691" spans="1:5" x14ac:dyDescent="0.3">
      <c r="A691" s="9">
        <v>683</v>
      </c>
      <c r="B691" s="10">
        <f t="shared" ca="1" si="10"/>
        <v>7.6777782128798738E-2</v>
      </c>
      <c r="C691" s="10">
        <f ca="1">NPV(B691,Project_FCF!C18:J18)+Project_FCF!B18</f>
        <v>965.81301069271149</v>
      </c>
      <c r="D691" s="4"/>
      <c r="E691" s="4"/>
    </row>
    <row r="692" spans="1:5" x14ac:dyDescent="0.3">
      <c r="A692" s="9">
        <v>684</v>
      </c>
      <c r="B692" s="10">
        <f t="shared" ca="1" si="10"/>
        <v>9.1500013617547338E-2</v>
      </c>
      <c r="C692" s="10">
        <f ca="1">NPV(B692,Project_FCF!C18:J18)+Project_FCF!B18</f>
        <v>845.8373496582974</v>
      </c>
      <c r="D692" s="4"/>
      <c r="E692" s="4"/>
    </row>
    <row r="693" spans="1:5" x14ac:dyDescent="0.3">
      <c r="A693" s="9">
        <v>685</v>
      </c>
      <c r="B693" s="10">
        <f t="shared" ca="1" si="10"/>
        <v>7.6194440279552161E-2</v>
      </c>
      <c r="C693" s="10">
        <f ca="1">NPV(B693,Project_FCF!C18:J18)+Project_FCF!B18</f>
        <v>970.8613861457759</v>
      </c>
      <c r="D693" s="4"/>
      <c r="E693" s="4"/>
    </row>
    <row r="694" spans="1:5" x14ac:dyDescent="0.3">
      <c r="A694" s="9">
        <v>686</v>
      </c>
      <c r="B694" s="10">
        <f t="shared" ca="1" si="10"/>
        <v>9.2910287753362145E-2</v>
      </c>
      <c r="C694" s="10">
        <f ca="1">NPV(B694,Project_FCF!C18:J18)+Project_FCF!B18</f>
        <v>835.05855828275003</v>
      </c>
      <c r="D694" s="4"/>
      <c r="E694" s="4"/>
    </row>
    <row r="695" spans="1:5" x14ac:dyDescent="0.3">
      <c r="A695" s="9">
        <v>687</v>
      </c>
      <c r="B695" s="10">
        <f t="shared" ca="1" si="10"/>
        <v>9.5653401311693337E-2</v>
      </c>
      <c r="C695" s="10">
        <f ca="1">NPV(B695,Project_FCF!C18:J18)+Project_FCF!B18</f>
        <v>814.43058827521486</v>
      </c>
      <c r="D695" s="4"/>
      <c r="E695" s="4"/>
    </row>
    <row r="696" spans="1:5" x14ac:dyDescent="0.3">
      <c r="A696" s="9">
        <v>688</v>
      </c>
      <c r="B696" s="10">
        <f t="shared" ca="1" si="10"/>
        <v>8.6844580716701189E-2</v>
      </c>
      <c r="C696" s="10">
        <f ca="1">NPV(B696,Project_FCF!C18:J18)+Project_FCF!B18</f>
        <v>882.27849328671869</v>
      </c>
      <c r="D696" s="4"/>
      <c r="E696" s="4"/>
    </row>
    <row r="697" spans="1:5" x14ac:dyDescent="0.3">
      <c r="A697" s="9">
        <v>689</v>
      </c>
      <c r="B697" s="10">
        <f t="shared" ca="1" si="10"/>
        <v>0.10380375667439561</v>
      </c>
      <c r="C697" s="10">
        <f ca="1">NPV(B697,Project_FCF!C18:J18)+Project_FCF!B18</f>
        <v>755.67911417010487</v>
      </c>
      <c r="D697" s="4"/>
      <c r="E697" s="4"/>
    </row>
    <row r="698" spans="1:5" x14ac:dyDescent="0.3">
      <c r="A698" s="9">
        <v>690</v>
      </c>
      <c r="B698" s="10">
        <f t="shared" ca="1" si="10"/>
        <v>0.10285642001409917</v>
      </c>
      <c r="C698" s="10">
        <f ca="1">NPV(B698,Project_FCF!C18:J18)+Project_FCF!B18</f>
        <v>762.31851654863749</v>
      </c>
      <c r="D698" s="4"/>
      <c r="E698" s="4"/>
    </row>
    <row r="699" spans="1:5" x14ac:dyDescent="0.3">
      <c r="A699" s="9">
        <v>691</v>
      </c>
      <c r="B699" s="10">
        <f t="shared" ca="1" si="10"/>
        <v>9.7963459432531319E-2</v>
      </c>
      <c r="C699" s="10">
        <f ca="1">NPV(B699,Project_FCF!C18:J18)+Project_FCF!B18</f>
        <v>797.39866177136537</v>
      </c>
      <c r="D699" s="4"/>
      <c r="E699" s="4"/>
    </row>
    <row r="700" spans="1:5" x14ac:dyDescent="0.3">
      <c r="A700" s="9">
        <v>692</v>
      </c>
      <c r="B700" s="10">
        <f t="shared" ca="1" si="10"/>
        <v>7.1544416374891534E-2</v>
      </c>
      <c r="C700" s="10">
        <f ca="1">NPV(B700,Project_FCF!C18:J18)+Project_FCF!B18</f>
        <v>1011.9559870342639</v>
      </c>
      <c r="D700" s="4"/>
      <c r="E700" s="4"/>
    </row>
    <row r="701" spans="1:5" x14ac:dyDescent="0.3">
      <c r="A701" s="9">
        <v>693</v>
      </c>
      <c r="B701" s="10">
        <f t="shared" ca="1" si="10"/>
        <v>8.2774710068183571E-2</v>
      </c>
      <c r="C701" s="10">
        <f ca="1">NPV(B701,Project_FCF!C18:J18)+Project_FCF!B18</f>
        <v>915.25010598954373</v>
      </c>
      <c r="D701" s="4"/>
      <c r="E701" s="4"/>
    </row>
    <row r="702" spans="1:5" x14ac:dyDescent="0.3">
      <c r="A702" s="9">
        <v>694</v>
      </c>
      <c r="B702" s="10">
        <f t="shared" ca="1" si="10"/>
        <v>9.0253629214946979E-2</v>
      </c>
      <c r="C702" s="10">
        <f ca="1">NPV(B702,Project_FCF!C18:J18)+Project_FCF!B18</f>
        <v>855.46327872167603</v>
      </c>
      <c r="D702" s="4"/>
      <c r="E702" s="4"/>
    </row>
    <row r="703" spans="1:5" x14ac:dyDescent="0.3">
      <c r="A703" s="9">
        <v>695</v>
      </c>
      <c r="B703" s="10">
        <f t="shared" ca="1" si="10"/>
        <v>0.10165892494324988</v>
      </c>
      <c r="C703" s="10">
        <f ca="1">NPV(B703,Project_FCF!C18:J18)+Project_FCF!B18</f>
        <v>770.78119449578003</v>
      </c>
      <c r="D703" s="4"/>
      <c r="E703" s="4"/>
    </row>
    <row r="704" spans="1:5" x14ac:dyDescent="0.3">
      <c r="A704" s="9">
        <v>696</v>
      </c>
      <c r="B704" s="10">
        <f t="shared" ca="1" si="10"/>
        <v>8.341129453494299E-2</v>
      </c>
      <c r="C704" s="10">
        <f ca="1">NPV(B704,Project_FCF!C18:J18)+Project_FCF!B18</f>
        <v>910.02264749433425</v>
      </c>
      <c r="D704" s="4"/>
      <c r="E704" s="4"/>
    </row>
    <row r="705" spans="1:5" x14ac:dyDescent="0.3">
      <c r="A705" s="9">
        <v>697</v>
      </c>
      <c r="B705" s="10">
        <f t="shared" ca="1" si="10"/>
        <v>9.1686152480152383E-2</v>
      </c>
      <c r="C705" s="10">
        <f ca="1">NPV(B705,Project_FCF!C18:J18)+Project_FCF!B18</f>
        <v>844.40784630688904</v>
      </c>
      <c r="D705" s="4"/>
      <c r="E705" s="4"/>
    </row>
    <row r="706" spans="1:5" x14ac:dyDescent="0.3">
      <c r="A706" s="9">
        <v>698</v>
      </c>
      <c r="B706" s="10">
        <f t="shared" ca="1" si="10"/>
        <v>7.7590799196292165E-2</v>
      </c>
      <c r="C706" s="10">
        <f ca="1">NPV(B706,Project_FCF!C18:J18)+Project_FCF!B18</f>
        <v>958.81600715262221</v>
      </c>
      <c r="D706" s="4"/>
      <c r="E706" s="4"/>
    </row>
    <row r="707" spans="1:5" x14ac:dyDescent="0.3">
      <c r="A707" s="9">
        <v>699</v>
      </c>
      <c r="B707" s="10">
        <f t="shared" ca="1" si="10"/>
        <v>0.10150088278567537</v>
      </c>
      <c r="C707" s="10">
        <f ca="1">NPV(B707,Project_FCF!C18:J18)+Project_FCF!B18</f>
        <v>771.90395773758019</v>
      </c>
      <c r="D707" s="4"/>
      <c r="E707" s="4"/>
    </row>
    <row r="708" spans="1:5" x14ac:dyDescent="0.3">
      <c r="A708" s="9">
        <v>700</v>
      </c>
      <c r="B708" s="10">
        <f t="shared" ca="1" si="10"/>
        <v>9.2832643910462531E-2</v>
      </c>
      <c r="C708" s="10">
        <f ca="1">NPV(B708,Project_FCF!C18:J18)+Project_FCF!B18</f>
        <v>835.64890048174857</v>
      </c>
      <c r="D708" s="4"/>
      <c r="E708" s="4"/>
    </row>
    <row r="709" spans="1:5" x14ac:dyDescent="0.3">
      <c r="A709" s="9">
        <v>701</v>
      </c>
      <c r="B709" s="10">
        <f t="shared" ca="1" si="10"/>
        <v>9.5319713040676046E-2</v>
      </c>
      <c r="C709" s="10">
        <f ca="1">NPV(B709,Project_FCF!C18:J18)+Project_FCF!B18</f>
        <v>816.91632735232633</v>
      </c>
      <c r="D709" s="4"/>
      <c r="E709" s="4"/>
    </row>
    <row r="710" spans="1:5" x14ac:dyDescent="0.3">
      <c r="A710" s="9">
        <v>702</v>
      </c>
      <c r="B710" s="10">
        <f t="shared" ca="1" si="10"/>
        <v>6.9263005816049161E-2</v>
      </c>
      <c r="C710" s="10">
        <f ca="1">NPV(B710,Project_FCF!C18:J18)+Project_FCF!B18</f>
        <v>1032.6845146875073</v>
      </c>
      <c r="D710" s="4"/>
      <c r="E710" s="4"/>
    </row>
    <row r="711" spans="1:5" x14ac:dyDescent="0.3">
      <c r="A711" s="9">
        <v>703</v>
      </c>
      <c r="B711" s="10">
        <f t="shared" ca="1" si="10"/>
        <v>8.5900800324766644E-2</v>
      </c>
      <c r="C711" s="10">
        <f ca="1">NPV(B711,Project_FCF!C18:J18)+Project_FCF!B18</f>
        <v>889.83031517549125</v>
      </c>
      <c r="D711" s="4"/>
      <c r="E711" s="4"/>
    </row>
    <row r="712" spans="1:5" x14ac:dyDescent="0.3">
      <c r="A712" s="9">
        <v>704</v>
      </c>
      <c r="B712" s="10">
        <f t="shared" ca="1" si="10"/>
        <v>0.10327422906983263</v>
      </c>
      <c r="C712" s="10">
        <f ca="1">NPV(B712,Project_FCF!C18:J18)+Project_FCF!B18</f>
        <v>759.38429998710262</v>
      </c>
      <c r="D712" s="4"/>
      <c r="E712" s="4"/>
    </row>
    <row r="713" spans="1:5" x14ac:dyDescent="0.3">
      <c r="A713" s="9">
        <v>705</v>
      </c>
      <c r="B713" s="10">
        <f t="shared" ref="B713:B776" ca="1" si="11">$B$4+RAND()*($B$5-$B$4)</f>
        <v>8.5271485911619024E-2</v>
      </c>
      <c r="C713" s="10">
        <f ca="1">NPV(B713,Project_FCF!C18:J18)+Project_FCF!B18</f>
        <v>894.89722588550444</v>
      </c>
      <c r="D713" s="4"/>
      <c r="E713" s="4"/>
    </row>
    <row r="714" spans="1:5" x14ac:dyDescent="0.3">
      <c r="A714" s="9">
        <v>706</v>
      </c>
      <c r="B714" s="10">
        <f t="shared" ca="1" si="11"/>
        <v>8.6072570578950153E-2</v>
      </c>
      <c r="C714" s="10">
        <f ca="1">NPV(B714,Project_FCF!C18:J18)+Project_FCF!B18</f>
        <v>888.45167745858885</v>
      </c>
      <c r="D714" s="4"/>
      <c r="E714" s="4"/>
    </row>
    <row r="715" spans="1:5" x14ac:dyDescent="0.3">
      <c r="A715" s="9">
        <v>707</v>
      </c>
      <c r="B715" s="10">
        <f t="shared" ca="1" si="11"/>
        <v>7.5899245185796771E-2</v>
      </c>
      <c r="C715" s="10">
        <f ca="1">NPV(B715,Project_FCF!C18:J18)+Project_FCF!B18</f>
        <v>973.42503553686356</v>
      </c>
      <c r="D715" s="4"/>
      <c r="E715" s="4"/>
    </row>
    <row r="716" spans="1:5" x14ac:dyDescent="0.3">
      <c r="A716" s="9">
        <v>708</v>
      </c>
      <c r="B716" s="10">
        <f t="shared" ca="1" si="11"/>
        <v>6.9440774006373537E-2</v>
      </c>
      <c r="C716" s="10">
        <f ca="1">NPV(B716,Project_FCF!C18:J18)+Project_FCF!B18</f>
        <v>1031.0556671178335</v>
      </c>
      <c r="D716" s="4"/>
      <c r="E716" s="4"/>
    </row>
    <row r="717" spans="1:5" x14ac:dyDescent="0.3">
      <c r="A717" s="9">
        <v>709</v>
      </c>
      <c r="B717" s="10">
        <f t="shared" ca="1" si="11"/>
        <v>9.620274980973223E-2</v>
      </c>
      <c r="C717" s="10">
        <f ca="1">NPV(B717,Project_FCF!C18:J18)+Project_FCF!B18</f>
        <v>810.35241560760164</v>
      </c>
      <c r="D717" s="4"/>
      <c r="E717" s="4"/>
    </row>
    <row r="718" spans="1:5" x14ac:dyDescent="0.3">
      <c r="A718" s="9">
        <v>710</v>
      </c>
      <c r="B718" s="10">
        <f t="shared" ca="1" si="11"/>
        <v>7.3397615595742149E-2</v>
      </c>
      <c r="C718" s="10">
        <f ca="1">NPV(B718,Project_FCF!C18:J18)+Project_FCF!B18</f>
        <v>995.39495966748132</v>
      </c>
      <c r="D718" s="4"/>
      <c r="E718" s="4"/>
    </row>
    <row r="719" spans="1:5" x14ac:dyDescent="0.3">
      <c r="A719" s="9">
        <v>711</v>
      </c>
      <c r="B719" s="10">
        <f t="shared" ca="1" si="11"/>
        <v>8.9878640877914751E-2</v>
      </c>
      <c r="C719" s="10">
        <f ca="1">NPV(B719,Project_FCF!C18:J18)+Project_FCF!B18</f>
        <v>858.37782699624768</v>
      </c>
      <c r="D719" s="4"/>
      <c r="E719" s="4"/>
    </row>
    <row r="720" spans="1:5" x14ac:dyDescent="0.3">
      <c r="A720" s="9">
        <v>712</v>
      </c>
      <c r="B720" s="10">
        <f t="shared" ca="1" si="11"/>
        <v>0.1016263102121881</v>
      </c>
      <c r="C720" s="10">
        <f ca="1">NPV(B720,Project_FCF!C18:J18)+Project_FCF!B18</f>
        <v>771.01278337527333</v>
      </c>
      <c r="D720" s="4"/>
      <c r="E720" s="4"/>
    </row>
    <row r="721" spans="1:5" x14ac:dyDescent="0.3">
      <c r="A721" s="9">
        <v>713</v>
      </c>
      <c r="B721" s="10">
        <f t="shared" ca="1" si="11"/>
        <v>6.4490527182160515E-2</v>
      </c>
      <c r="C721" s="10">
        <f ca="1">NPV(B721,Project_FCF!C18:J18)+Project_FCF!B18</f>
        <v>1077.2962779924139</v>
      </c>
      <c r="D721" s="4"/>
      <c r="E721" s="4"/>
    </row>
    <row r="722" spans="1:5" x14ac:dyDescent="0.3">
      <c r="A722" s="9">
        <v>714</v>
      </c>
      <c r="B722" s="10">
        <f t="shared" ca="1" si="11"/>
        <v>9.4126480989239147E-2</v>
      </c>
      <c r="C722" s="10">
        <f ca="1">NPV(B722,Project_FCF!C18:J18)+Project_FCF!B18</f>
        <v>825.85826645707175</v>
      </c>
      <c r="D722" s="4"/>
      <c r="E722" s="4"/>
    </row>
    <row r="723" spans="1:5" x14ac:dyDescent="0.3">
      <c r="A723" s="9">
        <v>715</v>
      </c>
      <c r="B723" s="10">
        <f t="shared" ca="1" si="11"/>
        <v>8.8489280224171657E-2</v>
      </c>
      <c r="C723" s="10">
        <f ca="1">NPV(B723,Project_FCF!C18:J18)+Project_FCF!B18</f>
        <v>869.25164235647912</v>
      </c>
      <c r="D723" s="4"/>
      <c r="E723" s="4"/>
    </row>
    <row r="724" spans="1:5" x14ac:dyDescent="0.3">
      <c r="A724" s="9">
        <v>716</v>
      </c>
      <c r="B724" s="10">
        <f t="shared" ca="1" si="11"/>
        <v>9.3795164021310287E-2</v>
      </c>
      <c r="C724" s="10">
        <f ca="1">NPV(B724,Project_FCF!C18:J18)+Project_FCF!B18</f>
        <v>828.35595040688622</v>
      </c>
      <c r="D724" s="4"/>
      <c r="E724" s="4"/>
    </row>
    <row r="725" spans="1:5" x14ac:dyDescent="0.3">
      <c r="A725" s="9">
        <v>717</v>
      </c>
      <c r="B725" s="10">
        <f t="shared" ca="1" si="11"/>
        <v>7.5266625939223564E-2</v>
      </c>
      <c r="C725" s="10">
        <f ca="1">NPV(B725,Project_FCF!C18:J18)+Project_FCF!B18</f>
        <v>978.93945427138488</v>
      </c>
      <c r="D725" s="4"/>
      <c r="E725" s="4"/>
    </row>
    <row r="726" spans="1:5" x14ac:dyDescent="0.3">
      <c r="A726" s="9">
        <v>718</v>
      </c>
      <c r="B726" s="10">
        <f t="shared" ca="1" si="11"/>
        <v>9.0221522256337949E-2</v>
      </c>
      <c r="C726" s="10">
        <f ca="1">NPV(B726,Project_FCF!C18:J18)+Project_FCF!B18</f>
        <v>855.71248996234362</v>
      </c>
      <c r="D726" s="4"/>
      <c r="E726" s="4"/>
    </row>
    <row r="727" spans="1:5" x14ac:dyDescent="0.3">
      <c r="A727" s="9">
        <v>719</v>
      </c>
      <c r="B727" s="10">
        <f t="shared" ca="1" si="11"/>
        <v>8.5348017237997134E-2</v>
      </c>
      <c r="C727" s="10">
        <f ca="1">NPV(B727,Project_FCF!C18:J18)+Project_FCF!B18</f>
        <v>894.27969024940217</v>
      </c>
      <c r="D727" s="4"/>
      <c r="E727" s="4"/>
    </row>
    <row r="728" spans="1:5" x14ac:dyDescent="0.3">
      <c r="A728" s="9">
        <v>720</v>
      </c>
      <c r="B728" s="10">
        <f t="shared" ca="1" si="11"/>
        <v>6.6084558819911682E-2</v>
      </c>
      <c r="C728" s="10">
        <f ca="1">NPV(B728,Project_FCF!C18:J18)+Project_FCF!B18</f>
        <v>1062.204485649843</v>
      </c>
      <c r="D728" s="4"/>
      <c r="E728" s="4"/>
    </row>
    <row r="729" spans="1:5" x14ac:dyDescent="0.3">
      <c r="A729" s="9">
        <v>721</v>
      </c>
      <c r="B729" s="10">
        <f t="shared" ca="1" si="11"/>
        <v>9.6140732445884614E-2</v>
      </c>
      <c r="C729" s="10">
        <f ca="1">NPV(B729,Project_FCF!C18:J18)+Project_FCF!B18</f>
        <v>810.81193584577886</v>
      </c>
      <c r="D729" s="4"/>
      <c r="E729" s="4"/>
    </row>
    <row r="730" spans="1:5" x14ac:dyDescent="0.3">
      <c r="A730" s="9">
        <v>722</v>
      </c>
      <c r="B730" s="10">
        <f t="shared" ca="1" si="11"/>
        <v>7.9387677314755878E-2</v>
      </c>
      <c r="C730" s="10">
        <f ca="1">NPV(B730,Project_FCF!C18:J18)+Project_FCF!B18</f>
        <v>943.5113817598799</v>
      </c>
      <c r="D730" s="4"/>
      <c r="E730" s="4"/>
    </row>
    <row r="731" spans="1:5" x14ac:dyDescent="0.3">
      <c r="A731" s="9">
        <v>723</v>
      </c>
      <c r="B731" s="10">
        <f t="shared" ca="1" si="11"/>
        <v>9.0824647942772174E-2</v>
      </c>
      <c r="C731" s="10">
        <f ca="1">NPV(B731,Project_FCF!C18:J18)+Project_FCF!B18</f>
        <v>851.04156389151512</v>
      </c>
      <c r="D731" s="4"/>
      <c r="E731" s="4"/>
    </row>
    <row r="732" spans="1:5" x14ac:dyDescent="0.3">
      <c r="A732" s="9">
        <v>724</v>
      </c>
      <c r="B732" s="10">
        <f t="shared" ca="1" si="11"/>
        <v>8.2789749575927774E-2</v>
      </c>
      <c r="C732" s="10">
        <f ca="1">NPV(B732,Project_FCF!C18:J18)+Project_FCF!B18</f>
        <v>915.12630156510113</v>
      </c>
      <c r="D732" s="4"/>
      <c r="E732" s="4"/>
    </row>
    <row r="733" spans="1:5" x14ac:dyDescent="0.3">
      <c r="A733" s="9">
        <v>725</v>
      </c>
      <c r="B733" s="10">
        <f t="shared" ca="1" si="11"/>
        <v>8.4165597069447456E-2</v>
      </c>
      <c r="C733" s="10">
        <f ca="1">NPV(B733,Project_FCF!C18:J18)+Project_FCF!B18</f>
        <v>903.86250810694492</v>
      </c>
      <c r="D733" s="4"/>
      <c r="E733" s="4"/>
    </row>
    <row r="734" spans="1:5" x14ac:dyDescent="0.3">
      <c r="A734" s="9">
        <v>726</v>
      </c>
      <c r="B734" s="10">
        <f t="shared" ca="1" si="11"/>
        <v>7.6439743297408436E-2</v>
      </c>
      <c r="C734" s="10">
        <f ca="1">NPV(B734,Project_FCF!C18:J18)+Project_FCF!B18</f>
        <v>968.73561594801163</v>
      </c>
      <c r="D734" s="4"/>
      <c r="E734" s="4"/>
    </row>
    <row r="735" spans="1:5" x14ac:dyDescent="0.3">
      <c r="A735" s="9">
        <v>727</v>
      </c>
      <c r="B735" s="10">
        <f t="shared" ca="1" si="11"/>
        <v>7.9778015891543264E-2</v>
      </c>
      <c r="C735" s="10">
        <f ca="1">NPV(B735,Project_FCF!C18:J18)+Project_FCF!B18</f>
        <v>940.21554664743917</v>
      </c>
      <c r="D735" s="4"/>
      <c r="E735" s="4"/>
    </row>
    <row r="736" spans="1:5" x14ac:dyDescent="0.3">
      <c r="A736" s="9">
        <v>728</v>
      </c>
      <c r="B736" s="10">
        <f t="shared" ca="1" si="11"/>
        <v>7.1201778096203788E-2</v>
      </c>
      <c r="C736" s="10">
        <f ca="1">NPV(B736,Project_FCF!C18:J18)+Project_FCF!B18</f>
        <v>1015.0449815522111</v>
      </c>
      <c r="D736" s="4"/>
      <c r="E736" s="4"/>
    </row>
    <row r="737" spans="1:5" x14ac:dyDescent="0.3">
      <c r="A737" s="9">
        <v>729</v>
      </c>
      <c r="B737" s="10">
        <f t="shared" ca="1" si="11"/>
        <v>7.6008960251544813E-2</v>
      </c>
      <c r="C737" s="10">
        <f ca="1">NPV(B737,Project_FCF!C18:J18)+Project_FCF!B18</f>
        <v>972.47149986879322</v>
      </c>
      <c r="D737" s="4"/>
      <c r="E737" s="4"/>
    </row>
    <row r="738" spans="1:5" x14ac:dyDescent="0.3">
      <c r="A738" s="9">
        <v>730</v>
      </c>
      <c r="B738" s="10">
        <f t="shared" ca="1" si="11"/>
        <v>0.10267104076718528</v>
      </c>
      <c r="C738" s="10">
        <f ca="1">NPV(B738,Project_FCF!C18:J18)+Project_FCF!B18</f>
        <v>763.62345495096429</v>
      </c>
      <c r="D738" s="4"/>
      <c r="E738" s="4"/>
    </row>
    <row r="739" spans="1:5" x14ac:dyDescent="0.3">
      <c r="A739" s="9">
        <v>731</v>
      </c>
      <c r="B739" s="10">
        <f t="shared" ca="1" si="11"/>
        <v>7.9093136115153187E-2</v>
      </c>
      <c r="C739" s="10">
        <f ca="1">NPV(B739,Project_FCF!C18:J18)+Project_FCF!B18</f>
        <v>946.00512583782825</v>
      </c>
      <c r="D739" s="4"/>
      <c r="E739" s="4"/>
    </row>
    <row r="740" spans="1:5" x14ac:dyDescent="0.3">
      <c r="A740" s="9">
        <v>732</v>
      </c>
      <c r="B740" s="10">
        <f t="shared" ca="1" si="11"/>
        <v>9.1939241707129429E-2</v>
      </c>
      <c r="C740" s="10">
        <f ca="1">NPV(B740,Project_FCF!C18:J18)+Project_FCF!B18</f>
        <v>842.46752397903765</v>
      </c>
      <c r="D740" s="4"/>
      <c r="E740" s="4"/>
    </row>
    <row r="741" spans="1:5" x14ac:dyDescent="0.3">
      <c r="A741" s="9">
        <v>733</v>
      </c>
      <c r="B741" s="10">
        <f t="shared" ca="1" si="11"/>
        <v>0.10253861834665115</v>
      </c>
      <c r="C741" s="10">
        <f ca="1">NPV(B741,Project_FCF!C18:J18)+Project_FCF!B18</f>
        <v>764.55676335620797</v>
      </c>
      <c r="D741" s="4"/>
      <c r="E741" s="4"/>
    </row>
    <row r="742" spans="1:5" x14ac:dyDescent="0.3">
      <c r="A742" s="9">
        <v>734</v>
      </c>
      <c r="B742" s="10">
        <f t="shared" ca="1" si="11"/>
        <v>8.9051834731267571E-2</v>
      </c>
      <c r="C742" s="10">
        <f ca="1">NPV(B742,Project_FCF!C18:J18)+Project_FCF!B18</f>
        <v>864.83449790906798</v>
      </c>
      <c r="D742" s="4"/>
      <c r="E742" s="4"/>
    </row>
    <row r="743" spans="1:5" x14ac:dyDescent="0.3">
      <c r="A743" s="9">
        <v>735</v>
      </c>
      <c r="B743" s="10">
        <f t="shared" ca="1" si="11"/>
        <v>8.346736283223577E-2</v>
      </c>
      <c r="C743" s="10">
        <f ca="1">NPV(B743,Project_FCF!C18:J18)+Project_FCF!B18</f>
        <v>909.56349063425523</v>
      </c>
      <c r="D743" s="4"/>
      <c r="E743" s="4"/>
    </row>
    <row r="744" spans="1:5" x14ac:dyDescent="0.3">
      <c r="A744" s="9">
        <v>736</v>
      </c>
      <c r="B744" s="10">
        <f t="shared" ca="1" si="11"/>
        <v>9.1222427984007731E-2</v>
      </c>
      <c r="C744" s="10">
        <f ca="1">NPV(B744,Project_FCF!C18:J18)+Project_FCF!B18</f>
        <v>847.97302387852665</v>
      </c>
      <c r="D744" s="4"/>
      <c r="E744" s="4"/>
    </row>
    <row r="745" spans="1:5" x14ac:dyDescent="0.3">
      <c r="A745" s="9">
        <v>737</v>
      </c>
      <c r="B745" s="10">
        <f t="shared" ca="1" si="11"/>
        <v>9.9406169689250173E-2</v>
      </c>
      <c r="C745" s="10">
        <f ca="1">NPV(B745,Project_FCF!C18:J18)+Project_FCF!B18</f>
        <v>786.91610596599071</v>
      </c>
      <c r="D745" s="4"/>
      <c r="E745" s="4"/>
    </row>
    <row r="746" spans="1:5" x14ac:dyDescent="0.3">
      <c r="A746" s="9">
        <v>738</v>
      </c>
      <c r="B746" s="10">
        <f t="shared" ca="1" si="11"/>
        <v>6.7021654191298116E-2</v>
      </c>
      <c r="C746" s="10">
        <f ca="1">NPV(B746,Project_FCF!C18:J18)+Project_FCF!B18</f>
        <v>1053.4225014198275</v>
      </c>
      <c r="D746" s="4"/>
      <c r="E746" s="4"/>
    </row>
    <row r="747" spans="1:5" x14ac:dyDescent="0.3">
      <c r="A747" s="9">
        <v>739</v>
      </c>
      <c r="B747" s="10">
        <f t="shared" ca="1" si="11"/>
        <v>8.4522768991375535E-2</v>
      </c>
      <c r="C747" s="10">
        <f ca="1">NPV(B747,Project_FCF!C18:J18)+Project_FCF!B18</f>
        <v>900.95839652311452</v>
      </c>
      <c r="D747" s="4"/>
      <c r="E747" s="4"/>
    </row>
    <row r="748" spans="1:5" x14ac:dyDescent="0.3">
      <c r="A748" s="9">
        <v>740</v>
      </c>
      <c r="B748" s="10">
        <f t="shared" ca="1" si="11"/>
        <v>6.5228412888629517E-2</v>
      </c>
      <c r="C748" s="10">
        <f ca="1">NPV(B748,Project_FCF!C18:J18)+Project_FCF!B18</f>
        <v>1070.2860671682392</v>
      </c>
      <c r="D748" s="4"/>
      <c r="E748" s="4"/>
    </row>
    <row r="749" spans="1:5" x14ac:dyDescent="0.3">
      <c r="A749" s="9">
        <v>741</v>
      </c>
      <c r="B749" s="10">
        <f t="shared" ca="1" si="11"/>
        <v>9.4382352569775591E-2</v>
      </c>
      <c r="C749" s="10">
        <f ca="1">NPV(B749,Project_FCF!C18:J18)+Project_FCF!B18</f>
        <v>823.93376381971257</v>
      </c>
      <c r="D749" s="4"/>
      <c r="E749" s="4"/>
    </row>
    <row r="750" spans="1:5" x14ac:dyDescent="0.3">
      <c r="A750" s="9">
        <v>742</v>
      </c>
      <c r="B750" s="10">
        <f t="shared" ca="1" si="11"/>
        <v>7.2068580976992341E-2</v>
      </c>
      <c r="C750" s="10">
        <f ca="1">NPV(B750,Project_FCF!C18:J18)+Project_FCF!B18</f>
        <v>1007.2468591355541</v>
      </c>
      <c r="D750" s="4"/>
      <c r="E750" s="4"/>
    </row>
    <row r="751" spans="1:5" x14ac:dyDescent="0.3">
      <c r="A751" s="9">
        <v>743</v>
      </c>
      <c r="B751" s="10">
        <f t="shared" ca="1" si="11"/>
        <v>8.1953545683141518E-2</v>
      </c>
      <c r="C751" s="10">
        <f ca="1">NPV(B751,Project_FCF!C18:J18)+Project_FCF!B18</f>
        <v>922.03232208888585</v>
      </c>
      <c r="D751" s="4"/>
      <c r="E751" s="4"/>
    </row>
    <row r="752" spans="1:5" x14ac:dyDescent="0.3">
      <c r="A752" s="9">
        <v>744</v>
      </c>
      <c r="B752" s="10">
        <f t="shared" ca="1" si="11"/>
        <v>9.4297347045613544E-2</v>
      </c>
      <c r="C752" s="10">
        <f ca="1">NPV(B752,Project_FCF!C18:J18)+Project_FCF!B18</f>
        <v>824.57269398563199</v>
      </c>
      <c r="D752" s="4"/>
      <c r="E752" s="4"/>
    </row>
    <row r="753" spans="1:5" x14ac:dyDescent="0.3">
      <c r="A753" s="9">
        <v>745</v>
      </c>
      <c r="B753" s="10">
        <f t="shared" ca="1" si="11"/>
        <v>7.5527848673007714E-2</v>
      </c>
      <c r="C753" s="10">
        <f ca="1">NPV(B753,Project_FCF!C18:J18)+Project_FCF!B18</f>
        <v>976.6590515704695</v>
      </c>
      <c r="D753" s="4"/>
      <c r="E753" s="4"/>
    </row>
    <row r="754" spans="1:5" x14ac:dyDescent="0.3">
      <c r="A754" s="9">
        <v>746</v>
      </c>
      <c r="B754" s="10">
        <f t="shared" ca="1" si="11"/>
        <v>8.2736098741506447E-2</v>
      </c>
      <c r="C754" s="10">
        <f ca="1">NPV(B754,Project_FCF!C18:J18)+Project_FCF!B18</f>
        <v>915.56801989096357</v>
      </c>
      <c r="D754" s="4"/>
      <c r="E754" s="4"/>
    </row>
    <row r="755" spans="1:5" x14ac:dyDescent="0.3">
      <c r="A755" s="9">
        <v>747</v>
      </c>
      <c r="B755" s="10">
        <f t="shared" ca="1" si="11"/>
        <v>6.4328419468765274E-2</v>
      </c>
      <c r="C755" s="10">
        <f ca="1">NPV(B755,Project_FCF!C18:J18)+Project_FCF!B18</f>
        <v>1078.8419714044264</v>
      </c>
      <c r="D755" s="4"/>
      <c r="E755" s="4"/>
    </row>
    <row r="756" spans="1:5" x14ac:dyDescent="0.3">
      <c r="A756" s="9">
        <v>748</v>
      </c>
      <c r="B756" s="10">
        <f t="shared" ca="1" si="11"/>
        <v>9.7516221207632564E-2</v>
      </c>
      <c r="C756" s="10">
        <f ca="1">NPV(B756,Project_FCF!C18:J18)+Project_FCF!B18</f>
        <v>800.67222191982955</v>
      </c>
      <c r="D756" s="4"/>
      <c r="E756" s="4"/>
    </row>
    <row r="757" spans="1:5" x14ac:dyDescent="0.3">
      <c r="A757" s="9">
        <v>749</v>
      </c>
      <c r="B757" s="10">
        <f t="shared" ca="1" si="11"/>
        <v>8.2612720822466706E-2</v>
      </c>
      <c r="C757" s="10">
        <f ca="1">NPV(B757,Project_FCF!C18:J18)+Project_FCF!B18</f>
        <v>916.58452788761042</v>
      </c>
      <c r="D757" s="4"/>
      <c r="E757" s="4"/>
    </row>
    <row r="758" spans="1:5" x14ac:dyDescent="0.3">
      <c r="A758" s="9">
        <v>750</v>
      </c>
      <c r="B758" s="10">
        <f t="shared" ca="1" si="11"/>
        <v>7.4361947617991447E-2</v>
      </c>
      <c r="C758" s="10">
        <f ca="1">NPV(B758,Project_FCF!C18:J18)+Project_FCF!B18</f>
        <v>986.87391154032389</v>
      </c>
      <c r="D758" s="4"/>
      <c r="E758" s="4"/>
    </row>
    <row r="759" spans="1:5" x14ac:dyDescent="0.3">
      <c r="A759" s="9">
        <v>751</v>
      </c>
      <c r="B759" s="10">
        <f t="shared" ca="1" si="11"/>
        <v>6.7167429140303686E-2</v>
      </c>
      <c r="C759" s="10">
        <f ca="1">NPV(B759,Project_FCF!C18:J18)+Project_FCF!B18</f>
        <v>1052.0623224906112</v>
      </c>
      <c r="D759" s="4"/>
      <c r="E759" s="4"/>
    </row>
    <row r="760" spans="1:5" x14ac:dyDescent="0.3">
      <c r="A760" s="9">
        <v>752</v>
      </c>
      <c r="B760" s="10">
        <f t="shared" ca="1" si="11"/>
        <v>9.6062710635523546E-2</v>
      </c>
      <c r="C760" s="10">
        <f ca="1">NPV(B760,Project_FCF!C18:J18)+Project_FCF!B18</f>
        <v>811.39035769604561</v>
      </c>
      <c r="D760" s="4"/>
      <c r="E760" s="4"/>
    </row>
    <row r="761" spans="1:5" x14ac:dyDescent="0.3">
      <c r="A761" s="9">
        <v>753</v>
      </c>
      <c r="B761" s="10">
        <f t="shared" ca="1" si="11"/>
        <v>0.10187066456616617</v>
      </c>
      <c r="C761" s="10">
        <f ca="1">NPV(B761,Project_FCF!C18:J18)+Project_FCF!B18</f>
        <v>769.27910963487102</v>
      </c>
      <c r="D761" s="4"/>
      <c r="E761" s="4"/>
    </row>
    <row r="762" spans="1:5" x14ac:dyDescent="0.3">
      <c r="A762" s="9">
        <v>754</v>
      </c>
      <c r="B762" s="10">
        <f t="shared" ca="1" si="11"/>
        <v>6.50342947994966E-2</v>
      </c>
      <c r="C762" s="10">
        <f ca="1">NPV(B762,Project_FCF!C18:J18)+Project_FCF!B18</f>
        <v>1072.126220611829</v>
      </c>
      <c r="D762" s="4"/>
      <c r="E762" s="4"/>
    </row>
    <row r="763" spans="1:5" x14ac:dyDescent="0.3">
      <c r="A763" s="9">
        <v>755</v>
      </c>
      <c r="B763" s="10">
        <f t="shared" ca="1" si="11"/>
        <v>6.534886696277864E-2</v>
      </c>
      <c r="C763" s="10">
        <f ca="1">NPV(B763,Project_FCF!C18:J18)+Project_FCF!B18</f>
        <v>1069.1456646923314</v>
      </c>
      <c r="D763" s="4"/>
      <c r="E763" s="4"/>
    </row>
    <row r="764" spans="1:5" x14ac:dyDescent="0.3">
      <c r="A764" s="9">
        <v>756</v>
      </c>
      <c r="B764" s="10">
        <f t="shared" ca="1" si="11"/>
        <v>9.7064282878509989E-2</v>
      </c>
      <c r="C764" s="10">
        <f ca="1">NPV(B764,Project_FCF!C18:J18)+Project_FCF!B18</f>
        <v>803.99179432875462</v>
      </c>
      <c r="D764" s="4"/>
      <c r="E764" s="4"/>
    </row>
    <row r="765" spans="1:5" x14ac:dyDescent="0.3">
      <c r="A765" s="9">
        <v>757</v>
      </c>
      <c r="B765" s="10">
        <f t="shared" ca="1" si="11"/>
        <v>9.0759072186199108E-2</v>
      </c>
      <c r="C765" s="10">
        <f ca="1">NPV(B765,Project_FCF!C18:J18)+Project_FCF!B18</f>
        <v>851.54834640397439</v>
      </c>
      <c r="D765" s="4"/>
      <c r="E765" s="4"/>
    </row>
    <row r="766" spans="1:5" x14ac:dyDescent="0.3">
      <c r="A766" s="9">
        <v>758</v>
      </c>
      <c r="B766" s="10">
        <f t="shared" ca="1" si="11"/>
        <v>0.10068631850354956</v>
      </c>
      <c r="C766" s="10">
        <f ca="1">NPV(B766,Project_FCF!C18:J18)+Project_FCF!B18</f>
        <v>777.71267741601264</v>
      </c>
      <c r="D766" s="4"/>
      <c r="E766" s="4"/>
    </row>
    <row r="767" spans="1:5" x14ac:dyDescent="0.3">
      <c r="A767" s="9">
        <v>759</v>
      </c>
      <c r="B767" s="10">
        <f t="shared" ca="1" si="11"/>
        <v>7.8617692367885114E-2</v>
      </c>
      <c r="C767" s="10">
        <f ca="1">NPV(B767,Project_FCF!C18:J18)+Project_FCF!B18</f>
        <v>950.04282966687151</v>
      </c>
      <c r="D767" s="4"/>
      <c r="E767" s="4"/>
    </row>
    <row r="768" spans="1:5" x14ac:dyDescent="0.3">
      <c r="A768" s="9">
        <v>760</v>
      </c>
      <c r="B768" s="10">
        <f t="shared" ca="1" si="11"/>
        <v>8.6968193319134537E-2</v>
      </c>
      <c r="C768" s="10">
        <f ca="1">NPV(B768,Project_FCF!C18:J18)+Project_FCF!B18</f>
        <v>881.29354188153752</v>
      </c>
      <c r="D768" s="4"/>
      <c r="E768" s="4"/>
    </row>
    <row r="769" spans="1:5" x14ac:dyDescent="0.3">
      <c r="A769" s="9">
        <v>761</v>
      </c>
      <c r="B769" s="10">
        <f t="shared" ca="1" si="11"/>
        <v>6.8199596185722342E-2</v>
      </c>
      <c r="C769" s="10">
        <f ca="1">NPV(B769,Project_FCF!C18:J18)+Project_FCF!B18</f>
        <v>1042.4770405911049</v>
      </c>
      <c r="D769" s="4"/>
      <c r="E769" s="4"/>
    </row>
    <row r="770" spans="1:5" x14ac:dyDescent="0.3">
      <c r="A770" s="9">
        <v>762</v>
      </c>
      <c r="B770" s="10">
        <f t="shared" ca="1" si="11"/>
        <v>0.10334002561741645</v>
      </c>
      <c r="C770" s="10">
        <f ca="1">NPV(B770,Project_FCF!C18:J18)+Project_FCF!B18</f>
        <v>758.92308451323174</v>
      </c>
      <c r="D770" s="4"/>
      <c r="E770" s="4"/>
    </row>
    <row r="771" spans="1:5" x14ac:dyDescent="0.3">
      <c r="A771" s="9">
        <v>763</v>
      </c>
      <c r="B771" s="10">
        <f t="shared" ca="1" si="11"/>
        <v>8.3765036693535064E-2</v>
      </c>
      <c r="C771" s="10">
        <f ca="1">NPV(B771,Project_FCF!C18:J18)+Project_FCF!B18</f>
        <v>907.12917557460037</v>
      </c>
      <c r="D771" s="4"/>
      <c r="E771" s="4"/>
    </row>
    <row r="772" spans="1:5" x14ac:dyDescent="0.3">
      <c r="A772" s="9">
        <v>764</v>
      </c>
      <c r="B772" s="10">
        <f t="shared" ca="1" si="11"/>
        <v>7.3794338955627106E-2</v>
      </c>
      <c r="C772" s="10">
        <f ca="1">NPV(B772,Project_FCF!C18:J18)+Project_FCF!B18</f>
        <v>991.88146906058728</v>
      </c>
      <c r="D772" s="4"/>
      <c r="E772" s="4"/>
    </row>
    <row r="773" spans="1:5" x14ac:dyDescent="0.3">
      <c r="A773" s="9">
        <v>765</v>
      </c>
      <c r="B773" s="10">
        <f t="shared" ca="1" si="11"/>
        <v>7.4808895836633485E-2</v>
      </c>
      <c r="C773" s="10">
        <f ca="1">NPV(B773,Project_FCF!C18:J18)+Project_FCF!B18</f>
        <v>982.94679832837346</v>
      </c>
      <c r="D773" s="4"/>
      <c r="E773" s="4"/>
    </row>
    <row r="774" spans="1:5" x14ac:dyDescent="0.3">
      <c r="A774" s="9">
        <v>766</v>
      </c>
      <c r="B774" s="10">
        <f t="shared" ca="1" si="11"/>
        <v>8.606290289886144E-2</v>
      </c>
      <c r="C774" s="10">
        <f ca="1">NPV(B774,Project_FCF!C18:J18)+Project_FCF!B18</f>
        <v>888.5292211891317</v>
      </c>
      <c r="D774" s="4"/>
      <c r="E774" s="4"/>
    </row>
    <row r="775" spans="1:5" x14ac:dyDescent="0.3">
      <c r="A775" s="9">
        <v>767</v>
      </c>
      <c r="B775" s="10">
        <f t="shared" ca="1" si="11"/>
        <v>6.6356794647779604E-2</v>
      </c>
      <c r="C775" s="10">
        <f ca="1">NPV(B775,Project_FCF!C18:J18)+Project_FCF!B18</f>
        <v>1059.6463895816908</v>
      </c>
      <c r="D775" s="4"/>
      <c r="E775" s="4"/>
    </row>
    <row r="776" spans="1:5" x14ac:dyDescent="0.3">
      <c r="A776" s="9">
        <v>768</v>
      </c>
      <c r="B776" s="10">
        <f t="shared" ca="1" si="11"/>
        <v>9.8344524057264557E-2</v>
      </c>
      <c r="C776" s="10">
        <f ca="1">NPV(B776,Project_FCF!C18:J18)+Project_FCF!B18</f>
        <v>794.61844278710646</v>
      </c>
      <c r="D776" s="4"/>
      <c r="E776" s="4"/>
    </row>
    <row r="777" spans="1:5" x14ac:dyDescent="0.3">
      <c r="A777" s="9">
        <v>769</v>
      </c>
      <c r="B777" s="10">
        <f t="shared" ref="B777:B840" ca="1" si="12">$B$4+RAND()*($B$5-$B$4)</f>
        <v>7.5735975159805347E-2</v>
      </c>
      <c r="C777" s="10">
        <f ca="1">NPV(B777,Project_FCF!C18:J18)+Project_FCF!B18</f>
        <v>974.84556440998267</v>
      </c>
      <c r="D777" s="4"/>
      <c r="E777" s="4"/>
    </row>
    <row r="778" spans="1:5" x14ac:dyDescent="0.3">
      <c r="A778" s="9">
        <v>770</v>
      </c>
      <c r="B778" s="10">
        <f t="shared" ca="1" si="12"/>
        <v>7.6730057330421E-2</v>
      </c>
      <c r="C778" s="10">
        <f ca="1">NPV(B778,Project_FCF!C18:J18)+Project_FCF!B18</f>
        <v>966.22515094409846</v>
      </c>
      <c r="D778" s="4"/>
      <c r="E778" s="4"/>
    </row>
    <row r="779" spans="1:5" x14ac:dyDescent="0.3">
      <c r="A779" s="9">
        <v>771</v>
      </c>
      <c r="B779" s="10">
        <f t="shared" ca="1" si="12"/>
        <v>9.4037538313258923E-2</v>
      </c>
      <c r="C779" s="10">
        <f ca="1">NPV(B779,Project_FCF!C18:J18)+Project_FCF!B18</f>
        <v>826.52813900063165</v>
      </c>
      <c r="D779" s="4"/>
      <c r="E779" s="4"/>
    </row>
    <row r="780" spans="1:5" x14ac:dyDescent="0.3">
      <c r="A780" s="9">
        <v>772</v>
      </c>
      <c r="B780" s="10">
        <f t="shared" ca="1" si="12"/>
        <v>0.10182670432172511</v>
      </c>
      <c r="C780" s="10">
        <f ca="1">NPV(B780,Project_FCF!C18:J18)+Project_FCF!B18</f>
        <v>769.59076153741512</v>
      </c>
      <c r="D780" s="4"/>
      <c r="E780" s="4"/>
    </row>
    <row r="781" spans="1:5" x14ac:dyDescent="0.3">
      <c r="A781" s="9">
        <v>773</v>
      </c>
      <c r="B781" s="10">
        <f t="shared" ca="1" si="12"/>
        <v>8.5543372035848789E-2</v>
      </c>
      <c r="C781" s="10">
        <f ca="1">NPV(B781,Project_FCF!C18:J18)+Project_FCF!B18</f>
        <v>892.70505220468453</v>
      </c>
      <c r="D781" s="4"/>
      <c r="E781" s="4"/>
    </row>
    <row r="782" spans="1:5" x14ac:dyDescent="0.3">
      <c r="A782" s="9">
        <v>774</v>
      </c>
      <c r="B782" s="10">
        <f t="shared" ca="1" si="12"/>
        <v>7.0244325430676727E-2</v>
      </c>
      <c r="C782" s="10">
        <f ca="1">NPV(B782,Project_FCF!C18:J18)+Project_FCF!B18</f>
        <v>1023.7218651653327</v>
      </c>
      <c r="D782" s="4"/>
      <c r="E782" s="4"/>
    </row>
    <row r="783" spans="1:5" x14ac:dyDescent="0.3">
      <c r="A783" s="9">
        <v>775</v>
      </c>
      <c r="B783" s="10">
        <f t="shared" ca="1" si="12"/>
        <v>0.10361326063319407</v>
      </c>
      <c r="C783" s="10">
        <f ca="1">NPV(B783,Project_FCF!C18:J18)+Project_FCF!B18</f>
        <v>757.01029519210692</v>
      </c>
      <c r="D783" s="4"/>
      <c r="E783" s="4"/>
    </row>
    <row r="784" spans="1:5" x14ac:dyDescent="0.3">
      <c r="A784" s="9">
        <v>776</v>
      </c>
      <c r="B784" s="10">
        <f t="shared" ca="1" si="12"/>
        <v>9.2574914397820701E-2</v>
      </c>
      <c r="C784" s="10">
        <f ca="1">NPV(B784,Project_FCF!C18:J18)+Project_FCF!B18</f>
        <v>837.61104708752259</v>
      </c>
      <c r="D784" s="4"/>
      <c r="E784" s="4"/>
    </row>
    <row r="785" spans="1:5" x14ac:dyDescent="0.3">
      <c r="A785" s="9">
        <v>777</v>
      </c>
      <c r="B785" s="10">
        <f t="shared" ca="1" si="12"/>
        <v>7.4547220739619141E-2</v>
      </c>
      <c r="C785" s="10">
        <f ca="1">NPV(B785,Project_FCF!C18:J18)+Project_FCF!B18</f>
        <v>985.24430633212978</v>
      </c>
      <c r="D785" s="4"/>
      <c r="E785" s="4"/>
    </row>
    <row r="786" spans="1:5" x14ac:dyDescent="0.3">
      <c r="A786" s="9">
        <v>778</v>
      </c>
      <c r="B786" s="10">
        <f t="shared" ca="1" si="12"/>
        <v>0.10382289998600278</v>
      </c>
      <c r="C786" s="10">
        <f ca="1">NPV(B786,Project_FCF!C18:J18)+Project_FCF!B18</f>
        <v>755.54544974701435</v>
      </c>
      <c r="D786" s="4"/>
      <c r="E786" s="4"/>
    </row>
    <row r="787" spans="1:5" x14ac:dyDescent="0.3">
      <c r="A787" s="9">
        <v>779</v>
      </c>
      <c r="B787" s="10">
        <f t="shared" ca="1" si="12"/>
        <v>6.8559678565399837E-2</v>
      </c>
      <c r="C787" s="10">
        <f ca="1">NPV(B787,Project_FCF!C18:J18)+Project_FCF!B18</f>
        <v>1039.1518014617479</v>
      </c>
      <c r="D787" s="4"/>
      <c r="E787" s="4"/>
    </row>
    <row r="788" spans="1:5" x14ac:dyDescent="0.3">
      <c r="A788" s="9">
        <v>780</v>
      </c>
      <c r="B788" s="10">
        <f t="shared" ca="1" si="12"/>
        <v>9.4034262775140418E-2</v>
      </c>
      <c r="C788" s="10">
        <f ca="1">NPV(B788,Project_FCF!C18:J18)+Project_FCF!B18</f>
        <v>826.5528176431294</v>
      </c>
      <c r="D788" s="4"/>
      <c r="E788" s="4"/>
    </row>
    <row r="789" spans="1:5" x14ac:dyDescent="0.3">
      <c r="A789" s="9">
        <v>781</v>
      </c>
      <c r="B789" s="10">
        <f t="shared" ca="1" si="12"/>
        <v>8.0822309582897822E-2</v>
      </c>
      <c r="C789" s="10">
        <f ca="1">NPV(B789,Project_FCF!C18:J18)+Project_FCF!B18</f>
        <v>931.44809215949635</v>
      </c>
      <c r="D789" s="4"/>
      <c r="E789" s="4"/>
    </row>
    <row r="790" spans="1:5" x14ac:dyDescent="0.3">
      <c r="A790" s="9">
        <v>782</v>
      </c>
      <c r="B790" s="10">
        <f t="shared" ca="1" si="12"/>
        <v>7.7753705731436085E-2</v>
      </c>
      <c r="C790" s="10">
        <f ca="1">NPV(B790,Project_FCF!C18:J18)+Project_FCF!B18</f>
        <v>957.41943848578967</v>
      </c>
      <c r="D790" s="4"/>
      <c r="E790" s="4"/>
    </row>
    <row r="791" spans="1:5" x14ac:dyDescent="0.3">
      <c r="A791" s="9">
        <v>783</v>
      </c>
      <c r="B791" s="10">
        <f t="shared" ca="1" si="12"/>
        <v>9.2959947729560899E-2</v>
      </c>
      <c r="C791" s="10">
        <f ca="1">NPV(B791,Project_FCF!C18:J18)+Project_FCF!B18</f>
        <v>834.68117139020137</v>
      </c>
      <c r="D791" s="4"/>
      <c r="E791" s="4"/>
    </row>
    <row r="792" spans="1:5" x14ac:dyDescent="0.3">
      <c r="A792" s="9">
        <v>784</v>
      </c>
      <c r="B792" s="10">
        <f t="shared" ca="1" si="12"/>
        <v>8.7178047791849095E-2</v>
      </c>
      <c r="C792" s="10">
        <f ca="1">NPV(B792,Project_FCF!C18:J18)+Project_FCF!B18</f>
        <v>879.62360687562477</v>
      </c>
      <c r="D792" s="4"/>
      <c r="E792" s="4"/>
    </row>
    <row r="793" spans="1:5" x14ac:dyDescent="0.3">
      <c r="A793" s="9">
        <v>785</v>
      </c>
      <c r="B793" s="10">
        <f t="shared" ca="1" si="12"/>
        <v>9.7605434884214554E-2</v>
      </c>
      <c r="C793" s="10">
        <f ca="1">NPV(B793,Project_FCF!C18:J18)+Project_FCF!B18</f>
        <v>800.01831135331327</v>
      </c>
      <c r="D793" s="4"/>
      <c r="E793" s="4"/>
    </row>
    <row r="794" spans="1:5" x14ac:dyDescent="0.3">
      <c r="A794" s="9">
        <v>786</v>
      </c>
      <c r="B794" s="10">
        <f t="shared" ca="1" si="12"/>
        <v>9.8323435139923865E-2</v>
      </c>
      <c r="C794" s="10">
        <f ca="1">NPV(B794,Project_FCF!C18:J18)+Project_FCF!B18</f>
        <v>794.77209039950094</v>
      </c>
      <c r="D794" s="4"/>
      <c r="E794" s="4"/>
    </row>
    <row r="795" spans="1:5" x14ac:dyDescent="0.3">
      <c r="A795" s="9">
        <v>787</v>
      </c>
      <c r="B795" s="10">
        <f t="shared" ca="1" si="12"/>
        <v>8.8068686033428684E-2</v>
      </c>
      <c r="C795" s="10">
        <f ca="1">NPV(B795,Project_FCF!C18:J18)+Project_FCF!B18</f>
        <v>872.56692082689324</v>
      </c>
      <c r="D795" s="4"/>
      <c r="E795" s="4"/>
    </row>
    <row r="796" spans="1:5" x14ac:dyDescent="0.3">
      <c r="A796" s="9">
        <v>788</v>
      </c>
      <c r="B796" s="10">
        <f t="shared" ca="1" si="12"/>
        <v>8.0878451679582436E-2</v>
      </c>
      <c r="C796" s="10">
        <f ca="1">NPV(B796,Project_FCF!C18:J18)+Project_FCF!B18</f>
        <v>930.97880201131829</v>
      </c>
      <c r="D796" s="4"/>
      <c r="E796" s="4"/>
    </row>
    <row r="797" spans="1:5" x14ac:dyDescent="0.3">
      <c r="A797" s="9">
        <v>789</v>
      </c>
      <c r="B797" s="10">
        <f t="shared" ca="1" si="12"/>
        <v>9.6742228538933675E-2</v>
      </c>
      <c r="C797" s="10">
        <f ca="1">NPV(B797,Project_FCF!C18:J18)+Project_FCF!B18</f>
        <v>806.36449152075602</v>
      </c>
      <c r="D797" s="4"/>
      <c r="E797" s="4"/>
    </row>
    <row r="798" spans="1:5" x14ac:dyDescent="0.3">
      <c r="A798" s="9">
        <v>790</v>
      </c>
      <c r="B798" s="10">
        <f t="shared" ca="1" si="12"/>
        <v>8.9528514433782069E-2</v>
      </c>
      <c r="C798" s="10">
        <f ca="1">NPV(B798,Project_FCF!C18:J18)+Project_FCF!B18</f>
        <v>861.10690265903713</v>
      </c>
      <c r="D798" s="4"/>
      <c r="E798" s="4"/>
    </row>
    <row r="799" spans="1:5" x14ac:dyDescent="0.3">
      <c r="A799" s="9">
        <v>791</v>
      </c>
      <c r="B799" s="10">
        <f t="shared" ca="1" si="12"/>
        <v>7.9072065411509768E-2</v>
      </c>
      <c r="C799" s="10">
        <f ca="1">NPV(B799,Project_FCF!C18:J18)+Project_FCF!B18</f>
        <v>946.1837456237256</v>
      </c>
      <c r="D799" s="4"/>
      <c r="E799" s="4"/>
    </row>
    <row r="800" spans="1:5" x14ac:dyDescent="0.3">
      <c r="A800" s="9">
        <v>792</v>
      </c>
      <c r="B800" s="10">
        <f t="shared" ca="1" si="12"/>
        <v>7.6237020913354714E-2</v>
      </c>
      <c r="C800" s="10">
        <f ca="1">NPV(B800,Project_FCF!C18:J18)+Project_FCF!B18</f>
        <v>970.49208852365109</v>
      </c>
      <c r="D800" s="4"/>
      <c r="E800" s="4"/>
    </row>
    <row r="801" spans="1:5" x14ac:dyDescent="0.3">
      <c r="A801" s="9">
        <v>793</v>
      </c>
      <c r="B801" s="10">
        <f t="shared" ca="1" si="12"/>
        <v>8.2132648410976505E-2</v>
      </c>
      <c r="C801" s="10">
        <f ca="1">NPV(B801,Project_FCF!C18:J18)+Project_FCF!B18</f>
        <v>920.54930023456541</v>
      </c>
      <c r="D801" s="4"/>
      <c r="E801" s="4"/>
    </row>
    <row r="802" spans="1:5" x14ac:dyDescent="0.3">
      <c r="A802" s="9">
        <v>794</v>
      </c>
      <c r="B802" s="10">
        <f t="shared" ca="1" si="12"/>
        <v>9.8975692068341115E-2</v>
      </c>
      <c r="C802" s="10">
        <f ca="1">NPV(B802,Project_FCF!C18:J18)+Project_FCF!B18</f>
        <v>790.03159368547585</v>
      </c>
      <c r="D802" s="4"/>
      <c r="E802" s="4"/>
    </row>
    <row r="803" spans="1:5" x14ac:dyDescent="0.3">
      <c r="A803" s="9">
        <v>795</v>
      </c>
      <c r="B803" s="10">
        <f t="shared" ca="1" si="12"/>
        <v>7.7815888414351442E-2</v>
      </c>
      <c r="C803" s="10">
        <f ca="1">NPV(B803,Project_FCF!C18:J18)+Project_FCF!B18</f>
        <v>956.88683493253097</v>
      </c>
      <c r="D803" s="4"/>
      <c r="E803" s="4"/>
    </row>
    <row r="804" spans="1:5" x14ac:dyDescent="0.3">
      <c r="A804" s="9">
        <v>796</v>
      </c>
      <c r="B804" s="10">
        <f t="shared" ca="1" si="12"/>
        <v>6.9645945072448701E-2</v>
      </c>
      <c r="C804" s="10">
        <f ca="1">NPV(B804,Project_FCF!C18:J18)+Project_FCF!B18</f>
        <v>1029.1786231043691</v>
      </c>
      <c r="D804" s="4"/>
      <c r="E804" s="4"/>
    </row>
    <row r="805" spans="1:5" x14ac:dyDescent="0.3">
      <c r="A805" s="9">
        <v>797</v>
      </c>
      <c r="B805" s="10">
        <f t="shared" ca="1" si="12"/>
        <v>8.4988716985938656E-2</v>
      </c>
      <c r="C805" s="10">
        <f ca="1">NPV(B805,Project_FCF!C18:J18)+Project_FCF!B18</f>
        <v>897.18214437302981</v>
      </c>
      <c r="D805" s="4"/>
      <c r="E805" s="4"/>
    </row>
    <row r="806" spans="1:5" x14ac:dyDescent="0.3">
      <c r="A806" s="9">
        <v>798</v>
      </c>
      <c r="B806" s="10">
        <f t="shared" ca="1" si="12"/>
        <v>8.2283598039545852E-2</v>
      </c>
      <c r="C806" s="10">
        <f ca="1">NPV(B806,Project_FCF!C18:J18)+Project_FCF!B18</f>
        <v>919.30102749346497</v>
      </c>
      <c r="D806" s="4"/>
      <c r="E806" s="4"/>
    </row>
    <row r="807" spans="1:5" x14ac:dyDescent="0.3">
      <c r="A807" s="9">
        <v>799</v>
      </c>
      <c r="B807" s="10">
        <f t="shared" ca="1" si="12"/>
        <v>8.1747255907742025E-2</v>
      </c>
      <c r="C807" s="10">
        <f ca="1">NPV(B807,Project_FCF!C18:J18)+Project_FCF!B18</f>
        <v>923.74307117575972</v>
      </c>
      <c r="D807" s="4"/>
      <c r="E807" s="4"/>
    </row>
    <row r="808" spans="1:5" x14ac:dyDescent="0.3">
      <c r="A808" s="9">
        <v>800</v>
      </c>
      <c r="B808" s="10">
        <f t="shared" ca="1" si="12"/>
        <v>9.3001047501879722E-2</v>
      </c>
      <c r="C808" s="10">
        <f ca="1">NPV(B808,Project_FCF!C18:J18)+Project_FCF!B18</f>
        <v>834.36894803941823</v>
      </c>
      <c r="D808" s="4"/>
      <c r="E808" s="4"/>
    </row>
    <row r="809" spans="1:5" x14ac:dyDescent="0.3">
      <c r="A809" s="9">
        <v>801</v>
      </c>
      <c r="B809" s="10">
        <f t="shared" ca="1" si="12"/>
        <v>8.1581377246230574E-2</v>
      </c>
      <c r="C809" s="10">
        <f ca="1">NPV(B809,Project_FCF!C18:J18)+Project_FCF!B18</f>
        <v>925.12072385180636</v>
      </c>
      <c r="D809" s="4"/>
      <c r="E809" s="4"/>
    </row>
    <row r="810" spans="1:5" x14ac:dyDescent="0.3">
      <c r="A810" s="9">
        <v>802</v>
      </c>
      <c r="B810" s="10">
        <f t="shared" ca="1" si="12"/>
        <v>9.6651791169545309E-2</v>
      </c>
      <c r="C810" s="10">
        <f ca="1">NPV(B810,Project_FCF!C18:J18)+Project_FCF!B18</f>
        <v>807.03185049699755</v>
      </c>
      <c r="D810" s="4"/>
      <c r="E810" s="4"/>
    </row>
    <row r="811" spans="1:5" x14ac:dyDescent="0.3">
      <c r="A811" s="9">
        <v>803</v>
      </c>
      <c r="B811" s="10">
        <f t="shared" ca="1" si="12"/>
        <v>8.2638407394619737E-2</v>
      </c>
      <c r="C811" s="10">
        <f ca="1">NPV(B811,Project_FCF!C18:J18)+Project_FCF!B18</f>
        <v>916.37281490655073</v>
      </c>
      <c r="D811" s="4"/>
      <c r="E811" s="4"/>
    </row>
    <row r="812" spans="1:5" x14ac:dyDescent="0.3">
      <c r="A812" s="9">
        <v>804</v>
      </c>
      <c r="B812" s="10">
        <f t="shared" ca="1" si="12"/>
        <v>7.8494730410319943E-2</v>
      </c>
      <c r="C812" s="10">
        <f ca="1">NPV(B812,Project_FCF!C18:J18)+Project_FCF!B18</f>
        <v>951.08957079949664</v>
      </c>
      <c r="D812" s="4"/>
      <c r="E812" s="4"/>
    </row>
    <row r="813" spans="1:5" x14ac:dyDescent="0.3">
      <c r="A813" s="9">
        <v>805</v>
      </c>
      <c r="B813" s="10">
        <f t="shared" ca="1" si="12"/>
        <v>8.8634085871469259E-2</v>
      </c>
      <c r="C813" s="10">
        <f ca="1">NPV(B813,Project_FCF!C18:J18)+Project_FCF!B18</f>
        <v>868.11276797674964</v>
      </c>
      <c r="D813" s="4"/>
      <c r="E813" s="4"/>
    </row>
    <row r="814" spans="1:5" x14ac:dyDescent="0.3">
      <c r="A814" s="9">
        <v>806</v>
      </c>
      <c r="B814" s="10">
        <f t="shared" ca="1" si="12"/>
        <v>9.8732840639148695E-2</v>
      </c>
      <c r="C814" s="10">
        <f ca="1">NPV(B814,Project_FCF!C18:J18)+Project_FCF!B18</f>
        <v>791.79378679702677</v>
      </c>
      <c r="D814" s="4"/>
      <c r="E814" s="4"/>
    </row>
    <row r="815" spans="1:5" x14ac:dyDescent="0.3">
      <c r="A815" s="9">
        <v>807</v>
      </c>
      <c r="B815" s="10">
        <f t="shared" ca="1" si="12"/>
        <v>9.8448002704921073E-2</v>
      </c>
      <c r="C815" s="10">
        <f ca="1">NPV(B815,Project_FCF!C18:J18)+Project_FCF!B18</f>
        <v>793.86489344789834</v>
      </c>
      <c r="D815" s="4"/>
      <c r="E815" s="4"/>
    </row>
    <row r="816" spans="1:5" x14ac:dyDescent="0.3">
      <c r="A816" s="9">
        <v>808</v>
      </c>
      <c r="B816" s="10">
        <f t="shared" ca="1" si="12"/>
        <v>6.9356327419862057E-2</v>
      </c>
      <c r="C816" s="10">
        <f ca="1">NPV(B816,Project_FCF!C18:J18)+Project_FCF!B18</f>
        <v>1031.8291409766687</v>
      </c>
      <c r="D816" s="4"/>
      <c r="E816" s="4"/>
    </row>
    <row r="817" spans="1:5" x14ac:dyDescent="0.3">
      <c r="A817" s="9">
        <v>809</v>
      </c>
      <c r="B817" s="10">
        <f t="shared" ca="1" si="12"/>
        <v>6.4496535633134192E-2</v>
      </c>
      <c r="C817" s="10">
        <f ca="1">NPV(B817,Project_FCF!C18:J18)+Project_FCF!B18</f>
        <v>1077.2390264402882</v>
      </c>
      <c r="D817" s="4"/>
      <c r="E817" s="4"/>
    </row>
    <row r="818" spans="1:5" x14ac:dyDescent="0.3">
      <c r="A818" s="9">
        <v>810</v>
      </c>
      <c r="B818" s="10">
        <f t="shared" ca="1" si="12"/>
        <v>9.6996093607006881E-2</v>
      </c>
      <c r="C818" s="10">
        <f ca="1">NPV(B818,Project_FCF!C18:J18)+Project_FCF!B18</f>
        <v>804.49367359103644</v>
      </c>
      <c r="D818" s="4"/>
      <c r="E818" s="4"/>
    </row>
    <row r="819" spans="1:5" x14ac:dyDescent="0.3">
      <c r="A819" s="9">
        <v>811</v>
      </c>
      <c r="B819" s="10">
        <f t="shared" ca="1" si="12"/>
        <v>0.1017477354913888</v>
      </c>
      <c r="C819" s="10">
        <f ca="1">NPV(B819,Project_FCF!C18:J18)+Project_FCF!B18</f>
        <v>770.15087040160279</v>
      </c>
      <c r="D819" s="4"/>
      <c r="E819" s="4"/>
    </row>
    <row r="820" spans="1:5" x14ac:dyDescent="0.3">
      <c r="A820" s="9">
        <v>812</v>
      </c>
      <c r="B820" s="10">
        <f t="shared" ca="1" si="12"/>
        <v>9.0058518196079115E-2</v>
      </c>
      <c r="C820" s="10">
        <f ca="1">NPV(B820,Project_FCF!C18:J18)+Project_FCF!B18</f>
        <v>856.978682365037</v>
      </c>
      <c r="D820" s="4"/>
      <c r="E820" s="4"/>
    </row>
    <row r="821" spans="1:5" x14ac:dyDescent="0.3">
      <c r="A821" s="9">
        <v>813</v>
      </c>
      <c r="B821" s="10">
        <f t="shared" ca="1" si="12"/>
        <v>7.1113237713547398E-2</v>
      </c>
      <c r="C821" s="10">
        <f ca="1">NPV(B821,Project_FCF!C18:J18)+Project_FCF!B18</f>
        <v>1015.8445823873608</v>
      </c>
      <c r="D821" s="4"/>
      <c r="E821" s="4"/>
    </row>
    <row r="822" spans="1:5" x14ac:dyDescent="0.3">
      <c r="A822" s="9">
        <v>814</v>
      </c>
      <c r="B822" s="10">
        <f t="shared" ca="1" si="12"/>
        <v>9.9253921683560717E-2</v>
      </c>
      <c r="C822" s="10">
        <f ca="1">NPV(B822,Project_FCF!C18:J18)+Project_FCF!B18</f>
        <v>788.01677551711646</v>
      </c>
      <c r="D822" s="4"/>
      <c r="E822" s="4"/>
    </row>
    <row r="823" spans="1:5" x14ac:dyDescent="0.3">
      <c r="A823" s="9">
        <v>815</v>
      </c>
      <c r="B823" s="10">
        <f t="shared" ca="1" si="12"/>
        <v>7.879269606019404E-2</v>
      </c>
      <c r="C823" s="10">
        <f ca="1">NPV(B823,Project_FCF!C18:J18)+Project_FCF!B18</f>
        <v>948.55483590656195</v>
      </c>
      <c r="D823" s="4"/>
      <c r="E823" s="4"/>
    </row>
    <row r="824" spans="1:5" x14ac:dyDescent="0.3">
      <c r="A824" s="9">
        <v>816</v>
      </c>
      <c r="B824" s="10">
        <f t="shared" ca="1" si="12"/>
        <v>7.7967098215277822E-2</v>
      </c>
      <c r="C824" s="10">
        <f ca="1">NPV(B824,Project_FCF!C18:J18)+Project_FCF!B18</f>
        <v>955.59280094846167</v>
      </c>
      <c r="D824" s="4"/>
      <c r="E824" s="4"/>
    </row>
    <row r="825" spans="1:5" x14ac:dyDescent="0.3">
      <c r="A825" s="9">
        <v>817</v>
      </c>
      <c r="B825" s="10">
        <f t="shared" ca="1" si="12"/>
        <v>6.8065848337127866E-2</v>
      </c>
      <c r="C825" s="10">
        <f ca="1">NPV(B825,Project_FCF!C18:J18)+Project_FCF!B18</f>
        <v>1043.714612132105</v>
      </c>
      <c r="D825" s="4"/>
      <c r="E825" s="4"/>
    </row>
    <row r="826" spans="1:5" x14ac:dyDescent="0.3">
      <c r="A826" s="9">
        <v>818</v>
      </c>
      <c r="B826" s="10">
        <f t="shared" ca="1" si="12"/>
        <v>7.72386176206422E-2</v>
      </c>
      <c r="C826" s="10">
        <f ca="1">NPV(B826,Project_FCF!C18:J18)+Project_FCF!B18</f>
        <v>961.84139638078273</v>
      </c>
      <c r="D826" s="4"/>
      <c r="E826" s="4"/>
    </row>
    <row r="827" spans="1:5" x14ac:dyDescent="0.3">
      <c r="A827" s="9">
        <v>819</v>
      </c>
      <c r="B827" s="10">
        <f t="shared" ca="1" si="12"/>
        <v>8.7505298873901377E-2</v>
      </c>
      <c r="C827" s="10">
        <f ca="1">NPV(B827,Project_FCF!C18:J18)+Project_FCF!B18</f>
        <v>877.02498294425709</v>
      </c>
      <c r="D827" s="4"/>
      <c r="E827" s="4"/>
    </row>
    <row r="828" spans="1:5" x14ac:dyDescent="0.3">
      <c r="A828" s="9">
        <v>820</v>
      </c>
      <c r="B828" s="10">
        <f t="shared" ca="1" si="12"/>
        <v>9.2745213141990746E-2</v>
      </c>
      <c r="C828" s="10">
        <f ca="1">NPV(B828,Project_FCF!C18:J18)+Project_FCF!B18</f>
        <v>836.31408457851353</v>
      </c>
      <c r="D828" s="4"/>
      <c r="E828" s="4"/>
    </row>
    <row r="829" spans="1:5" x14ac:dyDescent="0.3">
      <c r="A829" s="9">
        <v>821</v>
      </c>
      <c r="B829" s="10">
        <f t="shared" ca="1" si="12"/>
        <v>8.2788902138340767E-2</v>
      </c>
      <c r="C829" s="10">
        <f ca="1">NPV(B829,Project_FCF!C18:J18)+Project_FCF!B18</f>
        <v>915.13327723409247</v>
      </c>
      <c r="D829" s="4"/>
      <c r="E829" s="4"/>
    </row>
    <row r="830" spans="1:5" x14ac:dyDescent="0.3">
      <c r="A830" s="9">
        <v>822</v>
      </c>
      <c r="B830" s="10">
        <f t="shared" ca="1" si="12"/>
        <v>7.4921580950415081E-2</v>
      </c>
      <c r="C830" s="10">
        <f ca="1">NPV(B830,Project_FCF!C18:J18)+Project_FCF!B18</f>
        <v>981.95890102978137</v>
      </c>
      <c r="D830" s="4"/>
      <c r="E830" s="4"/>
    </row>
    <row r="831" spans="1:5" x14ac:dyDescent="0.3">
      <c r="A831" s="9">
        <v>823</v>
      </c>
      <c r="B831" s="10">
        <f t="shared" ca="1" si="12"/>
        <v>6.9699846907314872E-2</v>
      </c>
      <c r="C831" s="10">
        <f ca="1">NPV(B831,Project_FCF!C18:J18)+Project_FCF!B18</f>
        <v>1028.6860054795711</v>
      </c>
      <c r="D831" s="4"/>
      <c r="E831" s="4"/>
    </row>
    <row r="832" spans="1:5" x14ac:dyDescent="0.3">
      <c r="A832" s="9">
        <v>824</v>
      </c>
      <c r="B832" s="10">
        <f t="shared" ca="1" si="12"/>
        <v>8.394178307631317E-2</v>
      </c>
      <c r="C832" s="10">
        <f ca="1">NPV(B832,Project_FCF!C18:J18)+Project_FCF!B18</f>
        <v>905.68649007555928</v>
      </c>
      <c r="D832" s="4"/>
      <c r="E832" s="4"/>
    </row>
    <row r="833" spans="1:5" x14ac:dyDescent="0.3">
      <c r="A833" s="9">
        <v>825</v>
      </c>
      <c r="B833" s="10">
        <f t="shared" ca="1" si="12"/>
        <v>7.3189678827977236E-2</v>
      </c>
      <c r="C833" s="10">
        <f ca="1">NPV(B833,Project_FCF!C18:J18)+Project_FCF!B18</f>
        <v>997.24096284386042</v>
      </c>
      <c r="D833" s="4"/>
      <c r="E833" s="4"/>
    </row>
    <row r="834" spans="1:5" x14ac:dyDescent="0.3">
      <c r="A834" s="9">
        <v>826</v>
      </c>
      <c r="B834" s="10">
        <f t="shared" ca="1" si="12"/>
        <v>9.441121185264946E-2</v>
      </c>
      <c r="C834" s="10">
        <f ca="1">NPV(B834,Project_FCF!C18:J18)+Project_FCF!B18</f>
        <v>823.71694427146076</v>
      </c>
      <c r="D834" s="4"/>
      <c r="E834" s="4"/>
    </row>
    <row r="835" spans="1:5" x14ac:dyDescent="0.3">
      <c r="A835" s="9">
        <v>827</v>
      </c>
      <c r="B835" s="10">
        <f t="shared" ca="1" si="12"/>
        <v>9.0465599869561458E-2</v>
      </c>
      <c r="C835" s="10">
        <f ca="1">NPV(B835,Project_FCF!C18:J18)+Project_FCF!B18</f>
        <v>853.81955812734486</v>
      </c>
      <c r="D835" s="4"/>
      <c r="E835" s="4"/>
    </row>
    <row r="836" spans="1:5" x14ac:dyDescent="0.3">
      <c r="A836" s="9">
        <v>828</v>
      </c>
      <c r="B836" s="10">
        <f t="shared" ca="1" si="12"/>
        <v>8.4643590493214571E-2</v>
      </c>
      <c r="C836" s="10">
        <f ca="1">NPV(B836,Project_FCF!C18:J18)+Project_FCF!B18</f>
        <v>899.97786918544261</v>
      </c>
      <c r="D836" s="4"/>
      <c r="E836" s="4"/>
    </row>
    <row r="837" spans="1:5" x14ac:dyDescent="0.3">
      <c r="A837" s="9">
        <v>829</v>
      </c>
      <c r="B837" s="10">
        <f t="shared" ca="1" si="12"/>
        <v>6.4450749670056526E-2</v>
      </c>
      <c r="C837" s="10">
        <f ca="1">NPV(B837,Project_FCF!C18:J18)+Project_FCF!B18</f>
        <v>1077.67536829392</v>
      </c>
      <c r="D837" s="4"/>
      <c r="E837" s="4"/>
    </row>
    <row r="838" spans="1:5" x14ac:dyDescent="0.3">
      <c r="A838" s="9">
        <v>830</v>
      </c>
      <c r="B838" s="10">
        <f t="shared" ca="1" si="12"/>
        <v>9.7686378594747741E-2</v>
      </c>
      <c r="C838" s="10">
        <f ca="1">NPV(B838,Project_FCF!C18:J18)+Project_FCF!B18</f>
        <v>799.42541044173845</v>
      </c>
      <c r="D838" s="4"/>
      <c r="E838" s="4"/>
    </row>
    <row r="839" spans="1:5" x14ac:dyDescent="0.3">
      <c r="A839" s="9">
        <v>831</v>
      </c>
      <c r="B839" s="10">
        <f t="shared" ca="1" si="12"/>
        <v>9.5039917882264013E-2</v>
      </c>
      <c r="C839" s="10">
        <f ca="1">NPV(B839,Project_FCF!C18:J18)+Project_FCF!B18</f>
        <v>819.00560096958611</v>
      </c>
      <c r="D839" s="4"/>
      <c r="E839" s="4"/>
    </row>
    <row r="840" spans="1:5" x14ac:dyDescent="0.3">
      <c r="A840" s="9">
        <v>832</v>
      </c>
      <c r="B840" s="10">
        <f t="shared" ca="1" si="12"/>
        <v>6.4995332726334468E-2</v>
      </c>
      <c r="C840" s="10">
        <f ca="1">NPV(B840,Project_FCF!C18:J18)+Project_FCF!B18</f>
        <v>1072.495911388032</v>
      </c>
      <c r="D840" s="4"/>
      <c r="E840" s="4"/>
    </row>
    <row r="841" spans="1:5" x14ac:dyDescent="0.3">
      <c r="A841" s="9">
        <v>833</v>
      </c>
      <c r="B841" s="10">
        <f t="shared" ref="B841:B904" ca="1" si="13">$B$4+RAND()*($B$5-$B$4)</f>
        <v>7.4512948496090595E-2</v>
      </c>
      <c r="C841" s="10">
        <f ca="1">NPV(B841,Project_FCF!C18:J18)+Project_FCF!B18</f>
        <v>985.54557258849604</v>
      </c>
      <c r="D841" s="4"/>
      <c r="E841" s="4"/>
    </row>
    <row r="842" spans="1:5" x14ac:dyDescent="0.3">
      <c r="A842" s="9">
        <v>834</v>
      </c>
      <c r="B842" s="10">
        <f t="shared" ca="1" si="13"/>
        <v>8.7211348210470829E-2</v>
      </c>
      <c r="C842" s="10">
        <f ca="1">NPV(B842,Project_FCF!C18:J18)+Project_FCF!B18</f>
        <v>879.35886974018194</v>
      </c>
      <c r="D842" s="4"/>
      <c r="E842" s="4"/>
    </row>
    <row r="843" spans="1:5" x14ac:dyDescent="0.3">
      <c r="A843" s="9">
        <v>835</v>
      </c>
      <c r="B843" s="10">
        <f t="shared" ca="1" si="13"/>
        <v>9.3033517634971155E-2</v>
      </c>
      <c r="C843" s="10">
        <f ca="1">NPV(B843,Project_FCF!C18:J18)+Project_FCF!B18</f>
        <v>834.12235266278822</v>
      </c>
      <c r="D843" s="4"/>
      <c r="E843" s="4"/>
    </row>
    <row r="844" spans="1:5" x14ac:dyDescent="0.3">
      <c r="A844" s="9">
        <v>836</v>
      </c>
      <c r="B844" s="10">
        <f t="shared" ca="1" si="13"/>
        <v>7.4945611344851809E-2</v>
      </c>
      <c r="C844" s="10">
        <f ca="1">NPV(B844,Project_FCF!C18:J18)+Project_FCF!B18</f>
        <v>981.74834434296076</v>
      </c>
      <c r="D844" s="4"/>
      <c r="E844" s="4"/>
    </row>
    <row r="845" spans="1:5" x14ac:dyDescent="0.3">
      <c r="A845" s="9">
        <v>837</v>
      </c>
      <c r="B845" s="10">
        <f t="shared" ca="1" si="13"/>
        <v>9.8878087096534756E-2</v>
      </c>
      <c r="C845" s="10">
        <f ca="1">NPV(B845,Project_FCF!C18:J18)+Project_FCF!B18</f>
        <v>790.73944052694469</v>
      </c>
      <c r="D845" s="4"/>
      <c r="E845" s="4"/>
    </row>
    <row r="846" spans="1:5" x14ac:dyDescent="0.3">
      <c r="A846" s="9">
        <v>838</v>
      </c>
      <c r="B846" s="10">
        <f t="shared" ca="1" si="13"/>
        <v>8.7812503006307316E-2</v>
      </c>
      <c r="C846" s="10">
        <f ca="1">NPV(B846,Project_FCF!C18:J18)+Project_FCF!B18</f>
        <v>874.59163582318956</v>
      </c>
      <c r="D846" s="4"/>
      <c r="E846" s="4"/>
    </row>
    <row r="847" spans="1:5" x14ac:dyDescent="0.3">
      <c r="A847" s="9">
        <v>839</v>
      </c>
      <c r="B847" s="10">
        <f t="shared" ca="1" si="13"/>
        <v>7.7835692171340759E-2</v>
      </c>
      <c r="C847" s="10">
        <f ca="1">NPV(B847,Project_FCF!C18:J18)+Project_FCF!B18</f>
        <v>956.71726827722478</v>
      </c>
      <c r="D847" s="4"/>
      <c r="E847" s="4"/>
    </row>
    <row r="848" spans="1:5" x14ac:dyDescent="0.3">
      <c r="A848" s="9">
        <v>840</v>
      </c>
      <c r="B848" s="10">
        <f t="shared" ca="1" si="13"/>
        <v>7.5982441924305144E-2</v>
      </c>
      <c r="C848" s="10">
        <f ca="1">NPV(B848,Project_FCF!C18:J18)+Project_FCF!B18</f>
        <v>972.7018946688936</v>
      </c>
      <c r="D848" s="4"/>
      <c r="E848" s="4"/>
    </row>
    <row r="849" spans="1:5" x14ac:dyDescent="0.3">
      <c r="A849" s="9">
        <v>841</v>
      </c>
      <c r="B849" s="10">
        <f t="shared" ca="1" si="13"/>
        <v>9.3771177808965656E-2</v>
      </c>
      <c r="C849" s="10">
        <f ca="1">NPV(B849,Project_FCF!C18:J18)+Project_FCF!B18</f>
        <v>828.53702559608928</v>
      </c>
      <c r="D849" s="4"/>
      <c r="E849" s="4"/>
    </row>
    <row r="850" spans="1:5" x14ac:dyDescent="0.3">
      <c r="A850" s="9">
        <v>842</v>
      </c>
      <c r="B850" s="10">
        <f t="shared" ca="1" si="13"/>
        <v>0.10321189247269108</v>
      </c>
      <c r="C850" s="10">
        <f ca="1">NPV(B850,Project_FCF!C18:J18)+Project_FCF!B18</f>
        <v>759.82147902605811</v>
      </c>
      <c r="D850" s="4"/>
      <c r="E850" s="4"/>
    </row>
    <row r="851" spans="1:5" x14ac:dyDescent="0.3">
      <c r="A851" s="9">
        <v>843</v>
      </c>
      <c r="B851" s="10">
        <f t="shared" ca="1" si="13"/>
        <v>0.10212469480280417</v>
      </c>
      <c r="C851" s="10">
        <f ca="1">NPV(B851,Project_FCF!C18:J18)+Project_FCF!B18</f>
        <v>767.48026638193869</v>
      </c>
      <c r="D851" s="4"/>
      <c r="E851" s="4"/>
    </row>
    <row r="852" spans="1:5" x14ac:dyDescent="0.3">
      <c r="A852" s="9">
        <v>844</v>
      </c>
      <c r="B852" s="10">
        <f t="shared" ca="1" si="13"/>
        <v>8.7048838342211735E-2</v>
      </c>
      <c r="C852" s="10">
        <f ca="1">NPV(B852,Project_FCF!C18:J18)+Project_FCF!B18</f>
        <v>880.65147539779878</v>
      </c>
      <c r="D852" s="4"/>
      <c r="E852" s="4"/>
    </row>
    <row r="853" spans="1:5" x14ac:dyDescent="0.3">
      <c r="A853" s="9">
        <v>845</v>
      </c>
      <c r="B853" s="10">
        <f t="shared" ca="1" si="13"/>
        <v>0.10383887158127658</v>
      </c>
      <c r="C853" s="10">
        <f ca="1">NPV(B853,Project_FCF!C18:J18)+Project_FCF!B18</f>
        <v>755.43394636524658</v>
      </c>
      <c r="D853" s="4"/>
      <c r="E853" s="4"/>
    </row>
    <row r="854" spans="1:5" x14ac:dyDescent="0.3">
      <c r="A854" s="9">
        <v>846</v>
      </c>
      <c r="B854" s="10">
        <f t="shared" ca="1" si="13"/>
        <v>8.5339751669296179E-2</v>
      </c>
      <c r="C854" s="10">
        <f ca="1">NPV(B854,Project_FCF!C18:J18)+Project_FCF!B18</f>
        <v>894.34636761981278</v>
      </c>
      <c r="D854" s="4"/>
      <c r="E854" s="4"/>
    </row>
    <row r="855" spans="1:5" x14ac:dyDescent="0.3">
      <c r="A855" s="9">
        <v>847</v>
      </c>
      <c r="B855" s="10">
        <f t="shared" ca="1" si="13"/>
        <v>8.5890885794134231E-2</v>
      </c>
      <c r="C855" s="10">
        <f ca="1">NPV(B855,Project_FCF!C18:J18)+Project_FCF!B18</f>
        <v>889.9099468116558</v>
      </c>
      <c r="D855" s="4"/>
      <c r="E855" s="4"/>
    </row>
    <row r="856" spans="1:5" x14ac:dyDescent="0.3">
      <c r="A856" s="9">
        <v>848</v>
      </c>
      <c r="B856" s="10">
        <f t="shared" ca="1" si="13"/>
        <v>7.4562079891399291E-2</v>
      </c>
      <c r="C856" s="10">
        <f ca="1">NPV(B856,Project_FCF!C18:J18)+Project_FCF!B18</f>
        <v>985.11371428339362</v>
      </c>
      <c r="D856" s="4"/>
      <c r="E856" s="4"/>
    </row>
    <row r="857" spans="1:5" x14ac:dyDescent="0.3">
      <c r="A857" s="9">
        <v>849</v>
      </c>
      <c r="B857" s="10">
        <f t="shared" ca="1" si="13"/>
        <v>6.7356940817981811E-2</v>
      </c>
      <c r="C857" s="10">
        <f ca="1">NPV(B857,Project_FCF!C18:J18)+Project_FCF!B18</f>
        <v>1050.296436114271</v>
      </c>
      <c r="D857" s="4"/>
      <c r="E857" s="4"/>
    </row>
    <row r="858" spans="1:5" x14ac:dyDescent="0.3">
      <c r="A858" s="9">
        <v>850</v>
      </c>
      <c r="B858" s="10">
        <f t="shared" ca="1" si="13"/>
        <v>6.6125402841638467E-2</v>
      </c>
      <c r="C858" s="10">
        <f ca="1">NPV(B858,Project_FCF!C18:J18)+Project_FCF!B18</f>
        <v>1061.820331876422</v>
      </c>
      <c r="D858" s="4"/>
      <c r="E858" s="4"/>
    </row>
    <row r="859" spans="1:5" x14ac:dyDescent="0.3">
      <c r="A859" s="9">
        <v>851</v>
      </c>
      <c r="B859" s="10">
        <f t="shared" ca="1" si="13"/>
        <v>6.8973935962964292E-2</v>
      </c>
      <c r="C859" s="10">
        <f ca="1">NPV(B859,Project_FCF!C18:J18)+Project_FCF!B18</f>
        <v>1035.3381661801704</v>
      </c>
      <c r="D859" s="4"/>
      <c r="E859" s="4"/>
    </row>
    <row r="860" spans="1:5" x14ac:dyDescent="0.3">
      <c r="A860" s="9">
        <v>852</v>
      </c>
      <c r="B860" s="10">
        <f t="shared" ca="1" si="13"/>
        <v>0.10066336151477247</v>
      </c>
      <c r="C860" s="10">
        <f ca="1">NPV(B860,Project_FCF!C18:J18)+Project_FCF!B18</f>
        <v>777.87691828216271</v>
      </c>
      <c r="D860" s="4"/>
      <c r="E860" s="4"/>
    </row>
    <row r="861" spans="1:5" x14ac:dyDescent="0.3">
      <c r="A861" s="9">
        <v>853</v>
      </c>
      <c r="B861" s="10">
        <f t="shared" ca="1" si="13"/>
        <v>8.1271577092944317E-2</v>
      </c>
      <c r="C861" s="10">
        <f ca="1">NPV(B861,Project_FCF!C18:J18)+Project_FCF!B18</f>
        <v>927.69852802238961</v>
      </c>
      <c r="D861" s="4"/>
      <c r="E861" s="4"/>
    </row>
    <row r="862" spans="1:5" x14ac:dyDescent="0.3">
      <c r="A862" s="9">
        <v>854</v>
      </c>
      <c r="B862" s="10">
        <f t="shared" ca="1" si="13"/>
        <v>0.10326488303337134</v>
      </c>
      <c r="C862" s="10">
        <f ca="1">NPV(B862,Project_FCF!C18:J18)+Project_FCF!B18</f>
        <v>759.44983216355081</v>
      </c>
      <c r="D862" s="4"/>
      <c r="E862" s="4"/>
    </row>
    <row r="863" spans="1:5" x14ac:dyDescent="0.3">
      <c r="A863" s="9">
        <v>855</v>
      </c>
      <c r="B863" s="10">
        <f t="shared" ca="1" si="13"/>
        <v>7.8035638703380442E-2</v>
      </c>
      <c r="C863" s="10">
        <f ca="1">NPV(B863,Project_FCF!C18:J18)+Project_FCF!B18</f>
        <v>955.00675310005886</v>
      </c>
      <c r="D863" s="4"/>
      <c r="E863" s="4"/>
    </row>
    <row r="864" spans="1:5" x14ac:dyDescent="0.3">
      <c r="A864" s="9">
        <v>856</v>
      </c>
      <c r="B864" s="10">
        <f t="shared" ca="1" si="13"/>
        <v>6.660690971859129E-2</v>
      </c>
      <c r="C864" s="10">
        <f ca="1">NPV(B864,Project_FCF!C18:J18)+Project_FCF!B18</f>
        <v>1057.3010969084444</v>
      </c>
      <c r="D864" s="4"/>
      <c r="E864" s="4"/>
    </row>
    <row r="865" spans="1:5" x14ac:dyDescent="0.3">
      <c r="A865" s="9">
        <v>857</v>
      </c>
      <c r="B865" s="10">
        <f t="shared" ca="1" si="13"/>
        <v>9.9875367286014885E-2</v>
      </c>
      <c r="C865" s="10">
        <f ca="1">NPV(B865,Project_FCF!C18:J18)+Project_FCF!B18</f>
        <v>783.53224887477631</v>
      </c>
      <c r="D865" s="4"/>
      <c r="E865" s="4"/>
    </row>
    <row r="866" spans="1:5" x14ac:dyDescent="0.3">
      <c r="A866" s="9">
        <v>858</v>
      </c>
      <c r="B866" s="10">
        <f t="shared" ca="1" si="13"/>
        <v>6.766671570461498E-2</v>
      </c>
      <c r="C866" s="10">
        <f ca="1">NPV(B866,Project_FCF!C18:J18)+Project_FCF!B18</f>
        <v>1047.4157226610505</v>
      </c>
      <c r="D866" s="4"/>
      <c r="E866" s="4"/>
    </row>
    <row r="867" spans="1:5" x14ac:dyDescent="0.3">
      <c r="A867" s="9">
        <v>859</v>
      </c>
      <c r="B867" s="10">
        <f t="shared" ca="1" si="13"/>
        <v>7.5306886345527249E-2</v>
      </c>
      <c r="C867" s="10">
        <f ca="1">NPV(B867,Project_FCF!C18:J18)+Project_FCF!B18</f>
        <v>978.58768195668904</v>
      </c>
      <c r="D867" s="4"/>
      <c r="E867" s="4"/>
    </row>
    <row r="868" spans="1:5" x14ac:dyDescent="0.3">
      <c r="A868" s="9">
        <v>860</v>
      </c>
      <c r="B868" s="10">
        <f t="shared" ca="1" si="13"/>
        <v>6.830295109872149E-2</v>
      </c>
      <c r="C868" s="10">
        <f ca="1">NPV(B868,Project_FCF!C18:J18)+Project_FCF!B18</f>
        <v>1041.5216072024946</v>
      </c>
      <c r="D868" s="4"/>
      <c r="E868" s="4"/>
    </row>
    <row r="869" spans="1:5" x14ac:dyDescent="0.3">
      <c r="A869" s="9">
        <v>861</v>
      </c>
      <c r="B869" s="10">
        <f t="shared" ca="1" si="13"/>
        <v>9.1556116993408973E-2</v>
      </c>
      <c r="C869" s="10">
        <f ca="1">NPV(B869,Project_FCF!C18:J18)+Project_FCF!B18</f>
        <v>845.40626899639028</v>
      </c>
      <c r="D869" s="4"/>
      <c r="E869" s="4"/>
    </row>
    <row r="870" spans="1:5" x14ac:dyDescent="0.3">
      <c r="A870" s="9">
        <v>862</v>
      </c>
      <c r="B870" s="10">
        <f t="shared" ca="1" si="13"/>
        <v>8.3069160245057547E-2</v>
      </c>
      <c r="C870" s="10">
        <f ca="1">NPV(B870,Project_FCF!C18:J18)+Project_FCF!B18</f>
        <v>912.82888689663946</v>
      </c>
      <c r="D870" s="4"/>
      <c r="E870" s="4"/>
    </row>
    <row r="871" spans="1:5" x14ac:dyDescent="0.3">
      <c r="A871" s="9">
        <v>863</v>
      </c>
      <c r="B871" s="10">
        <f t="shared" ca="1" si="13"/>
        <v>7.9053041795733817E-2</v>
      </c>
      <c r="C871" s="10">
        <f ca="1">NPV(B871,Project_FCF!C18:J18)+Project_FCF!B18</f>
        <v>946.34503761684095</v>
      </c>
      <c r="D871" s="4"/>
      <c r="E871" s="4"/>
    </row>
    <row r="872" spans="1:5" x14ac:dyDescent="0.3">
      <c r="A872" s="9">
        <v>864</v>
      </c>
      <c r="B872" s="10">
        <f t="shared" ca="1" si="13"/>
        <v>9.7353364861838126E-2</v>
      </c>
      <c r="C872" s="10">
        <f ca="1">NPV(B872,Project_FCF!C18:J18)+Project_FCF!B18</f>
        <v>801.86708510068524</v>
      </c>
      <c r="D872" s="4"/>
      <c r="E872" s="4"/>
    </row>
    <row r="873" spans="1:5" x14ac:dyDescent="0.3">
      <c r="A873" s="9">
        <v>865</v>
      </c>
      <c r="B873" s="10">
        <f t="shared" ca="1" si="13"/>
        <v>7.5255205381583284E-2</v>
      </c>
      <c r="C873" s="10">
        <f ca="1">NPV(B873,Project_FCF!C18:J18)+Project_FCF!B18</f>
        <v>979.03926113333409</v>
      </c>
      <c r="D873" s="4"/>
      <c r="E873" s="4"/>
    </row>
    <row r="874" spans="1:5" x14ac:dyDescent="0.3">
      <c r="A874" s="9">
        <v>866</v>
      </c>
      <c r="B874" s="10">
        <f t="shared" ca="1" si="13"/>
        <v>8.783778194327263E-2</v>
      </c>
      <c r="C874" s="10">
        <f ca="1">NPV(B874,Project_FCF!C18:J18)+Project_FCF!B18</f>
        <v>874.39166478735251</v>
      </c>
      <c r="D874" s="4"/>
      <c r="E874" s="4"/>
    </row>
    <row r="875" spans="1:5" x14ac:dyDescent="0.3">
      <c r="A875" s="9">
        <v>867</v>
      </c>
      <c r="B875" s="10">
        <f t="shared" ca="1" si="13"/>
        <v>7.6214363406615887E-2</v>
      </c>
      <c r="C875" s="10">
        <f ca="1">NPV(B875,Project_FCF!C18:J18)+Project_FCF!B18</f>
        <v>970.68857922571851</v>
      </c>
      <c r="D875" s="4"/>
      <c r="E875" s="4"/>
    </row>
    <row r="876" spans="1:5" x14ac:dyDescent="0.3">
      <c r="A876" s="9">
        <v>868</v>
      </c>
      <c r="B876" s="10">
        <f t="shared" ca="1" si="13"/>
        <v>7.0280932860107101E-2</v>
      </c>
      <c r="C876" s="10">
        <f ca="1">NPV(B876,Project_FCF!C18:J18)+Project_FCF!B18</f>
        <v>1023.3888844120008</v>
      </c>
      <c r="D876" s="4"/>
      <c r="E876" s="4"/>
    </row>
    <row r="877" spans="1:5" x14ac:dyDescent="0.3">
      <c r="A877" s="9">
        <v>869</v>
      </c>
      <c r="B877" s="10">
        <f t="shared" ca="1" si="13"/>
        <v>6.8957640926098268E-2</v>
      </c>
      <c r="C877" s="10">
        <f ca="1">NPV(B877,Project_FCF!C18:J18)+Project_FCF!B18</f>
        <v>1035.4879377177499</v>
      </c>
      <c r="D877" s="4"/>
      <c r="E877" s="4"/>
    </row>
    <row r="878" spans="1:5" x14ac:dyDescent="0.3">
      <c r="A878" s="9">
        <v>870</v>
      </c>
      <c r="B878" s="10">
        <f t="shared" ca="1" si="13"/>
        <v>7.9709347121146426E-2</v>
      </c>
      <c r="C878" s="10">
        <f ca="1">NPV(B878,Project_FCF!C18:J18)+Project_FCF!B18</f>
        <v>940.7946127189141</v>
      </c>
      <c r="D878" s="4"/>
      <c r="E878" s="4"/>
    </row>
    <row r="879" spans="1:5" x14ac:dyDescent="0.3">
      <c r="A879" s="9">
        <v>871</v>
      </c>
      <c r="B879" s="10">
        <f t="shared" ca="1" si="13"/>
        <v>6.4180392413469151E-2</v>
      </c>
      <c r="C879" s="10">
        <f ca="1">NPV(B879,Project_FCF!C18:J18)+Project_FCF!B18</f>
        <v>1080.255175403259</v>
      </c>
      <c r="D879" s="4"/>
      <c r="E879" s="4"/>
    </row>
    <row r="880" spans="1:5" x14ac:dyDescent="0.3">
      <c r="A880" s="9">
        <v>872</v>
      </c>
      <c r="B880" s="10">
        <f t="shared" ca="1" si="13"/>
        <v>6.5673182859235998E-2</v>
      </c>
      <c r="C880" s="10">
        <f ca="1">NPV(B880,Project_FCF!C18:J18)+Project_FCF!B18</f>
        <v>1066.0806988393142</v>
      </c>
      <c r="D880" s="4"/>
      <c r="E880" s="4"/>
    </row>
    <row r="881" spans="1:5" x14ac:dyDescent="0.3">
      <c r="A881" s="9">
        <v>873</v>
      </c>
      <c r="B881" s="10">
        <f t="shared" ca="1" si="13"/>
        <v>0.10111880306044019</v>
      </c>
      <c r="C881" s="10">
        <f ca="1">NPV(B881,Project_FCF!C18:J18)+Project_FCF!B18</f>
        <v>774.62402397977075</v>
      </c>
      <c r="D881" s="4"/>
      <c r="E881" s="4"/>
    </row>
    <row r="882" spans="1:5" x14ac:dyDescent="0.3">
      <c r="A882" s="9">
        <v>874</v>
      </c>
      <c r="B882" s="10">
        <f t="shared" ca="1" si="13"/>
        <v>8.0943688951602533E-2</v>
      </c>
      <c r="C882" s="10">
        <f ca="1">NPV(B882,Project_FCF!C18:J18)+Project_FCF!B18</f>
        <v>930.43374808785416</v>
      </c>
      <c r="D882" s="4"/>
      <c r="E882" s="4"/>
    </row>
    <row r="883" spans="1:5" x14ac:dyDescent="0.3">
      <c r="A883" s="9">
        <v>875</v>
      </c>
      <c r="B883" s="10">
        <f t="shared" ca="1" si="13"/>
        <v>6.9226661626115252E-2</v>
      </c>
      <c r="C883" s="10">
        <f ca="1">NPV(B883,Project_FCF!C18:J18)+Project_FCF!B18</f>
        <v>1033.0178144020972</v>
      </c>
      <c r="D883" s="4"/>
      <c r="E883" s="4"/>
    </row>
    <row r="884" spans="1:5" x14ac:dyDescent="0.3">
      <c r="A884" s="9">
        <v>876</v>
      </c>
      <c r="B884" s="10">
        <f t="shared" ca="1" si="13"/>
        <v>9.9766498915421192E-2</v>
      </c>
      <c r="C884" s="10">
        <f ca="1">NPV(B884,Project_FCF!C18:J18)+Project_FCF!B18</f>
        <v>784.31630909500382</v>
      </c>
      <c r="D884" s="4"/>
      <c r="E884" s="4"/>
    </row>
    <row r="885" spans="1:5" x14ac:dyDescent="0.3">
      <c r="A885" s="9">
        <v>877</v>
      </c>
      <c r="B885" s="10">
        <f t="shared" ca="1" si="13"/>
        <v>6.8511282759581307E-2</v>
      </c>
      <c r="C885" s="10">
        <f ca="1">NPV(B885,Project_FCF!C18:J18)+Project_FCF!B18</f>
        <v>1039.5981603836317</v>
      </c>
      <c r="D885" s="4"/>
      <c r="E885" s="4"/>
    </row>
    <row r="886" spans="1:5" x14ac:dyDescent="0.3">
      <c r="A886" s="9">
        <v>878</v>
      </c>
      <c r="B886" s="10">
        <f t="shared" ca="1" si="13"/>
        <v>9.3525260882492328E-2</v>
      </c>
      <c r="C886" s="10">
        <f ca="1">NPV(B886,Project_FCF!C18:J18)+Project_FCF!B18</f>
        <v>830.39544774871911</v>
      </c>
      <c r="D886" s="4"/>
      <c r="E886" s="4"/>
    </row>
    <row r="887" spans="1:5" x14ac:dyDescent="0.3">
      <c r="A887" s="9">
        <v>879</v>
      </c>
      <c r="B887" s="10">
        <f t="shared" ca="1" si="13"/>
        <v>8.04884854206038E-2</v>
      </c>
      <c r="C887" s="10">
        <f ca="1">NPV(B887,Project_FCF!C18:J18)+Project_FCF!B18</f>
        <v>934.24284052272856</v>
      </c>
      <c r="D887" s="4"/>
      <c r="E887" s="4"/>
    </row>
    <row r="888" spans="1:5" x14ac:dyDescent="0.3">
      <c r="A888" s="9">
        <v>880</v>
      </c>
      <c r="B888" s="10">
        <f t="shared" ca="1" si="13"/>
        <v>9.5855037917998806E-2</v>
      </c>
      <c r="C888" s="10">
        <f ca="1">NPV(B888,Project_FCF!C18:J18)+Project_FCF!B18</f>
        <v>812.93167615293305</v>
      </c>
      <c r="D888" s="4"/>
      <c r="E888" s="4"/>
    </row>
    <row r="889" spans="1:5" x14ac:dyDescent="0.3">
      <c r="A889" s="9">
        <v>881</v>
      </c>
      <c r="B889" s="10">
        <f t="shared" ca="1" si="13"/>
        <v>0.10240949379800701</v>
      </c>
      <c r="C889" s="10">
        <f ca="1">NPV(B889,Project_FCF!C18:J18)+Project_FCF!B18</f>
        <v>765.46775135284042</v>
      </c>
      <c r="D889" s="4"/>
      <c r="E889" s="4"/>
    </row>
    <row r="890" spans="1:5" x14ac:dyDescent="0.3">
      <c r="A890" s="9">
        <v>882</v>
      </c>
      <c r="B890" s="10">
        <f t="shared" ca="1" si="13"/>
        <v>6.9051859563559415E-2</v>
      </c>
      <c r="C890" s="10">
        <f ca="1">NPV(B890,Project_FCF!C18:J18)+Project_FCF!B18</f>
        <v>1034.6222230820285</v>
      </c>
      <c r="D890" s="4"/>
      <c r="E890" s="4"/>
    </row>
    <row r="891" spans="1:5" x14ac:dyDescent="0.3">
      <c r="A891" s="9">
        <v>883</v>
      </c>
      <c r="B891" s="10">
        <f t="shared" ca="1" si="13"/>
        <v>7.2308224918514019E-2</v>
      </c>
      <c r="C891" s="10">
        <f ca="1">NPV(B891,Project_FCF!C18:J18)+Project_FCF!B18</f>
        <v>1005.1004616621917</v>
      </c>
      <c r="D891" s="4"/>
      <c r="E891" s="4"/>
    </row>
    <row r="892" spans="1:5" x14ac:dyDescent="0.3">
      <c r="A892" s="9">
        <v>884</v>
      </c>
      <c r="B892" s="10">
        <f t="shared" ca="1" si="13"/>
        <v>7.836656995925774E-2</v>
      </c>
      <c r="C892" s="10">
        <f ca="1">NPV(B892,Project_FCF!C18:J18)+Project_FCF!B18</f>
        <v>952.18165557369775</v>
      </c>
      <c r="D892" s="4"/>
      <c r="E892" s="4"/>
    </row>
    <row r="893" spans="1:5" x14ac:dyDescent="0.3">
      <c r="A893" s="9">
        <v>885</v>
      </c>
      <c r="B893" s="10">
        <f t="shared" ca="1" si="13"/>
        <v>7.1921453703753691E-2</v>
      </c>
      <c r="C893" s="10">
        <f ca="1">NPV(B893,Project_FCF!C18:J18)+Project_FCF!B18</f>
        <v>1008.5666637399008</v>
      </c>
      <c r="D893" s="4"/>
      <c r="E893" s="4"/>
    </row>
    <row r="894" spans="1:5" x14ac:dyDescent="0.3">
      <c r="A894" s="9">
        <v>886</v>
      </c>
      <c r="B894" s="10">
        <f t="shared" ca="1" si="13"/>
        <v>0.10036719433828312</v>
      </c>
      <c r="C894" s="10">
        <f ca="1">NPV(B894,Project_FCF!C18:J18)+Project_FCF!B18</f>
        <v>779.99841104288816</v>
      </c>
      <c r="D894" s="4"/>
      <c r="E894" s="4"/>
    </row>
    <row r="895" spans="1:5" x14ac:dyDescent="0.3">
      <c r="A895" s="9">
        <v>887</v>
      </c>
      <c r="B895" s="10">
        <f t="shared" ca="1" si="13"/>
        <v>8.3220439778259464E-2</v>
      </c>
      <c r="C895" s="10">
        <f ca="1">NPV(B895,Project_FCF!C18:J18)+Project_FCF!B18</f>
        <v>911.58713114293892</v>
      </c>
      <c r="D895" s="4"/>
      <c r="E895" s="4"/>
    </row>
    <row r="896" spans="1:5" x14ac:dyDescent="0.3">
      <c r="A896" s="9">
        <v>888</v>
      </c>
      <c r="B896" s="10">
        <f t="shared" ca="1" si="13"/>
        <v>9.2316387929677154E-2</v>
      </c>
      <c r="C896" s="10">
        <f ca="1">NPV(B896,Project_FCF!C18:J18)+Project_FCF!B18</f>
        <v>839.58324542585819</v>
      </c>
      <c r="D896" s="4"/>
      <c r="E896" s="4"/>
    </row>
    <row r="897" spans="1:5" x14ac:dyDescent="0.3">
      <c r="A897" s="9">
        <v>889</v>
      </c>
      <c r="B897" s="10">
        <f t="shared" ca="1" si="13"/>
        <v>7.2924864483205773E-2</v>
      </c>
      <c r="C897" s="10">
        <f ca="1">NPV(B897,Project_FCF!C18:J18)+Project_FCF!B18</f>
        <v>999.59635973335185</v>
      </c>
      <c r="D897" s="4"/>
      <c r="E897" s="4"/>
    </row>
    <row r="898" spans="1:5" x14ac:dyDescent="0.3">
      <c r="A898" s="9">
        <v>890</v>
      </c>
      <c r="B898" s="10">
        <f t="shared" ca="1" si="13"/>
        <v>6.4747288913394957E-2</v>
      </c>
      <c r="C898" s="10">
        <f ca="1">NPV(B898,Project_FCF!C18:J18)+Project_FCF!B18</f>
        <v>1074.8521985190873</v>
      </c>
      <c r="D898" s="4"/>
      <c r="E898" s="4"/>
    </row>
    <row r="899" spans="1:5" x14ac:dyDescent="0.3">
      <c r="A899" s="9">
        <v>891</v>
      </c>
      <c r="B899" s="10">
        <f t="shared" ca="1" si="13"/>
        <v>6.8362103703725849E-2</v>
      </c>
      <c r="C899" s="10">
        <f ca="1">NPV(B899,Project_FCF!C18:J18)+Project_FCF!B18</f>
        <v>1040.9751460553764</v>
      </c>
      <c r="D899" s="4"/>
      <c r="E899" s="4"/>
    </row>
    <row r="900" spans="1:5" x14ac:dyDescent="0.3">
      <c r="A900" s="9">
        <v>892</v>
      </c>
      <c r="B900" s="10">
        <f t="shared" ca="1" si="13"/>
        <v>8.3141600339233013E-2</v>
      </c>
      <c r="C900" s="10">
        <f ca="1">NPV(B900,Project_FCF!C18:J18)+Project_FCF!B18</f>
        <v>912.2340875325558</v>
      </c>
      <c r="D900" s="4"/>
      <c r="E900" s="4"/>
    </row>
    <row r="901" spans="1:5" x14ac:dyDescent="0.3">
      <c r="A901" s="9">
        <v>893</v>
      </c>
      <c r="B901" s="10">
        <f t="shared" ca="1" si="13"/>
        <v>8.0362962155821061E-2</v>
      </c>
      <c r="C901" s="10">
        <f ca="1">NPV(B901,Project_FCF!C18:J18)+Project_FCF!B18</f>
        <v>935.29562816622047</v>
      </c>
      <c r="D901" s="4"/>
      <c r="E901" s="4"/>
    </row>
    <row r="902" spans="1:5" x14ac:dyDescent="0.3">
      <c r="A902" s="9">
        <v>894</v>
      </c>
      <c r="B902" s="10">
        <f t="shared" ca="1" si="13"/>
        <v>9.1998606928636775E-2</v>
      </c>
      <c r="C902" s="10">
        <f ca="1">NPV(B902,Project_FCF!C18:J18)+Project_FCF!B18</f>
        <v>842.01295448741007</v>
      </c>
      <c r="D902" s="4"/>
      <c r="E902" s="4"/>
    </row>
    <row r="903" spans="1:5" x14ac:dyDescent="0.3">
      <c r="A903" s="9">
        <v>895</v>
      </c>
      <c r="B903" s="10">
        <f t="shared" ca="1" si="13"/>
        <v>7.8420520155322027E-2</v>
      </c>
      <c r="C903" s="10">
        <f ca="1">NPV(B903,Project_FCF!C18:J18)+Project_FCF!B18</f>
        <v>951.72179779141857</v>
      </c>
      <c r="D903" s="4"/>
      <c r="E903" s="4"/>
    </row>
    <row r="904" spans="1:5" x14ac:dyDescent="0.3">
      <c r="A904" s="9">
        <v>896</v>
      </c>
      <c r="B904" s="10">
        <f t="shared" ca="1" si="13"/>
        <v>9.7627785646540094E-2</v>
      </c>
      <c r="C904" s="10">
        <f ca="1">NPV(B904,Project_FCF!C18:J18)+Project_FCF!B18</f>
        <v>799.85455789585671</v>
      </c>
      <c r="D904" s="4"/>
      <c r="E904" s="4"/>
    </row>
    <row r="905" spans="1:5" x14ac:dyDescent="0.3">
      <c r="A905" s="9">
        <v>897</v>
      </c>
      <c r="B905" s="10">
        <f t="shared" ref="B905:B968" ca="1" si="14">$B$4+RAND()*($B$5-$B$4)</f>
        <v>9.0326274857807198E-2</v>
      </c>
      <c r="C905" s="10">
        <f ca="1">NPV(B905,Project_FCF!C18:J18)+Project_FCF!B18</f>
        <v>854.89964187058968</v>
      </c>
      <c r="D905" s="4"/>
      <c r="E905" s="4"/>
    </row>
    <row r="906" spans="1:5" x14ac:dyDescent="0.3">
      <c r="A906" s="9">
        <v>898</v>
      </c>
      <c r="B906" s="10">
        <f t="shared" ca="1" si="14"/>
        <v>6.6911276626239566E-2</v>
      </c>
      <c r="C906" s="10">
        <f ca="1">NPV(B906,Project_FCF!C18:J18)+Project_FCF!B18</f>
        <v>1054.4534618593225</v>
      </c>
      <c r="D906" s="4"/>
      <c r="E906" s="4"/>
    </row>
    <row r="907" spans="1:5" x14ac:dyDescent="0.3">
      <c r="A907" s="9">
        <v>899</v>
      </c>
      <c r="B907" s="10">
        <f t="shared" ca="1" si="14"/>
        <v>7.4073720123389045E-2</v>
      </c>
      <c r="C907" s="10">
        <f ca="1">NPV(B907,Project_FCF!C18:J18)+Project_FCF!B18</f>
        <v>989.41387294369906</v>
      </c>
      <c r="D907" s="4"/>
      <c r="E907" s="4"/>
    </row>
    <row r="908" spans="1:5" x14ac:dyDescent="0.3">
      <c r="A908" s="9">
        <v>900</v>
      </c>
      <c r="B908" s="10">
        <f t="shared" ca="1" si="14"/>
        <v>7.5651032805328922E-2</v>
      </c>
      <c r="C908" s="10">
        <f ca="1">NPV(B908,Project_FCF!C18:J18)+Project_FCF!B18</f>
        <v>975.58533647534705</v>
      </c>
      <c r="D908" s="4"/>
      <c r="E908" s="4"/>
    </row>
    <row r="909" spans="1:5" x14ac:dyDescent="0.3">
      <c r="A909" s="9">
        <v>901</v>
      </c>
      <c r="B909" s="10">
        <f t="shared" ca="1" si="14"/>
        <v>0.10320457366040806</v>
      </c>
      <c r="C909" s="10">
        <f ca="1">NPV(B909,Project_FCF!C18:J18)+Project_FCF!B18</f>
        <v>759.87282116845313</v>
      </c>
      <c r="D909" s="4"/>
      <c r="E909" s="4"/>
    </row>
    <row r="910" spans="1:5" x14ac:dyDescent="0.3">
      <c r="A910" s="9">
        <v>902</v>
      </c>
      <c r="B910" s="10">
        <f t="shared" ca="1" si="14"/>
        <v>0.10331990438552022</v>
      </c>
      <c r="C910" s="10">
        <f ca="1">NPV(B910,Project_FCF!C18:J18)+Project_FCF!B18</f>
        <v>759.06410380123793</v>
      </c>
      <c r="D910" s="4"/>
      <c r="E910" s="4"/>
    </row>
    <row r="911" spans="1:5" x14ac:dyDescent="0.3">
      <c r="A911" s="9">
        <v>903</v>
      </c>
      <c r="B911" s="10">
        <f t="shared" ca="1" si="14"/>
        <v>7.2155805232505005E-2</v>
      </c>
      <c r="C911" s="10">
        <f ca="1">NPV(B911,Project_FCF!C18:J18)+Project_FCF!B18</f>
        <v>1006.4651484943984</v>
      </c>
      <c r="D911" s="4"/>
      <c r="E911" s="4"/>
    </row>
    <row r="912" spans="1:5" x14ac:dyDescent="0.3">
      <c r="A912" s="9">
        <v>904</v>
      </c>
      <c r="B912" s="10">
        <f t="shared" ca="1" si="14"/>
        <v>7.470094768537433E-2</v>
      </c>
      <c r="C912" s="10">
        <f ca="1">NPV(B912,Project_FCF!C18:J18)+Project_FCF!B18</f>
        <v>983.8940014552652</v>
      </c>
      <c r="D912" s="4"/>
      <c r="E912" s="4"/>
    </row>
    <row r="913" spans="1:5" x14ac:dyDescent="0.3">
      <c r="A913" s="9">
        <v>905</v>
      </c>
      <c r="B913" s="10">
        <f t="shared" ca="1" si="14"/>
        <v>6.7108112680252546E-2</v>
      </c>
      <c r="C913" s="10">
        <f ca="1">NPV(B913,Project_FCF!C18:J18)+Project_FCF!B18</f>
        <v>1052.6155924980408</v>
      </c>
      <c r="D913" s="4"/>
      <c r="E913" s="4"/>
    </row>
    <row r="914" spans="1:5" x14ac:dyDescent="0.3">
      <c r="A914" s="9">
        <v>906</v>
      </c>
      <c r="B914" s="10">
        <f t="shared" ca="1" si="14"/>
        <v>7.3775485442435756E-2</v>
      </c>
      <c r="C914" s="10">
        <f ca="1">NPV(B914,Project_FCF!C18:J18)+Project_FCF!B18</f>
        <v>992.04818876436207</v>
      </c>
      <c r="D914" s="4"/>
      <c r="E914" s="4"/>
    </row>
    <row r="915" spans="1:5" x14ac:dyDescent="0.3">
      <c r="A915" s="9">
        <v>907</v>
      </c>
      <c r="B915" s="10">
        <f t="shared" ca="1" si="14"/>
        <v>6.6904226452905807E-2</v>
      </c>
      <c r="C915" s="10">
        <f ca="1">NPV(B915,Project_FCF!C18:J18)+Project_FCF!B18</f>
        <v>1054.5193438015585</v>
      </c>
      <c r="D915" s="4"/>
      <c r="E915" s="4"/>
    </row>
    <row r="916" spans="1:5" x14ac:dyDescent="0.3">
      <c r="A916" s="9">
        <v>908</v>
      </c>
      <c r="B916" s="10">
        <f t="shared" ca="1" si="14"/>
        <v>6.9569057219070848E-2</v>
      </c>
      <c r="C916" s="10">
        <f ca="1">NPV(B916,Project_FCF!C18:J18)+Project_FCF!B18</f>
        <v>1029.8816828957613</v>
      </c>
      <c r="D916" s="4"/>
      <c r="E916" s="4"/>
    </row>
    <row r="917" spans="1:5" x14ac:dyDescent="0.3">
      <c r="A917" s="9">
        <v>909</v>
      </c>
      <c r="B917" s="10">
        <f t="shared" ca="1" si="14"/>
        <v>7.0563707775975565E-2</v>
      </c>
      <c r="C917" s="10">
        <f ca="1">NPV(B917,Project_FCF!C18:J18)+Project_FCF!B18</f>
        <v>1020.8200610517029</v>
      </c>
      <c r="D917" s="4"/>
      <c r="E917" s="4"/>
    </row>
    <row r="918" spans="1:5" x14ac:dyDescent="0.3">
      <c r="A918" s="9">
        <v>910</v>
      </c>
      <c r="B918" s="10">
        <f t="shared" ca="1" si="14"/>
        <v>7.6636777969688472E-2</v>
      </c>
      <c r="C918" s="10">
        <f ca="1">NPV(B918,Project_FCF!C18:J18)+Project_FCF!B18</f>
        <v>967.03114260348684</v>
      </c>
      <c r="D918" s="4"/>
      <c r="E918" s="4"/>
    </row>
    <row r="919" spans="1:5" x14ac:dyDescent="0.3">
      <c r="A919" s="9">
        <v>911</v>
      </c>
      <c r="B919" s="10">
        <f t="shared" ca="1" si="14"/>
        <v>8.4586704161745116E-2</v>
      </c>
      <c r="C919" s="10">
        <f ca="1">NPV(B919,Project_FCF!C18:J18)+Project_FCF!B18</f>
        <v>900.43941378713021</v>
      </c>
      <c r="D919" s="4"/>
      <c r="E919" s="4"/>
    </row>
    <row r="920" spans="1:5" x14ac:dyDescent="0.3">
      <c r="A920" s="9">
        <v>912</v>
      </c>
      <c r="B920" s="10">
        <f t="shared" ca="1" si="14"/>
        <v>9.6536797224692161E-2</v>
      </c>
      <c r="C920" s="10">
        <f ca="1">NPV(B920,Project_FCF!C18:J18)+Project_FCF!B18</f>
        <v>807.88109846169436</v>
      </c>
      <c r="D920" s="4"/>
      <c r="E920" s="4"/>
    </row>
    <row r="921" spans="1:5" x14ac:dyDescent="0.3">
      <c r="A921" s="9">
        <v>913</v>
      </c>
      <c r="B921" s="10">
        <f t="shared" ca="1" si="14"/>
        <v>9.8575116668413218E-2</v>
      </c>
      <c r="C921" s="10">
        <f ca="1">NPV(B921,Project_FCF!C18:J18)+Project_FCF!B18</f>
        <v>792.94005811915167</v>
      </c>
      <c r="D921" s="4"/>
      <c r="E921" s="4"/>
    </row>
    <row r="922" spans="1:5" x14ac:dyDescent="0.3">
      <c r="A922" s="9">
        <v>914</v>
      </c>
      <c r="B922" s="10">
        <f t="shared" ca="1" si="14"/>
        <v>8.755814069194584E-2</v>
      </c>
      <c r="C922" s="10">
        <f ca="1">NPV(B922,Project_FCF!C18:J18)+Project_FCF!B18</f>
        <v>876.60600639057407</v>
      </c>
      <c r="D922" s="4"/>
      <c r="E922" s="4"/>
    </row>
    <row r="923" spans="1:5" x14ac:dyDescent="0.3">
      <c r="A923" s="9">
        <v>915</v>
      </c>
      <c r="B923" s="10">
        <f t="shared" ca="1" si="14"/>
        <v>8.8865621563083003E-2</v>
      </c>
      <c r="C923" s="10">
        <f ca="1">NPV(B923,Project_FCF!C18:J18)+Project_FCF!B18</f>
        <v>866.29446880161254</v>
      </c>
      <c r="D923" s="4"/>
      <c r="E923" s="4"/>
    </row>
    <row r="924" spans="1:5" x14ac:dyDescent="0.3">
      <c r="A924" s="9">
        <v>916</v>
      </c>
      <c r="B924" s="10">
        <f t="shared" ca="1" si="14"/>
        <v>6.9669247206179924E-2</v>
      </c>
      <c r="C924" s="10">
        <f ca="1">NPV(B924,Project_FCF!C18:J18)+Project_FCF!B18</f>
        <v>1028.9656349478287</v>
      </c>
      <c r="D924" s="4"/>
      <c r="E924" s="4"/>
    </row>
    <row r="925" spans="1:5" x14ac:dyDescent="0.3">
      <c r="A925" s="9">
        <v>917</v>
      </c>
      <c r="B925" s="10">
        <f t="shared" ca="1" si="14"/>
        <v>9.0394900224508329E-2</v>
      </c>
      <c r="C925" s="10">
        <f ca="1">NPV(B925,Project_FCF!C18:J18)+Project_FCF!B18</f>
        <v>854.36749248633487</v>
      </c>
      <c r="D925" s="4"/>
      <c r="E925" s="4"/>
    </row>
    <row r="926" spans="1:5" x14ac:dyDescent="0.3">
      <c r="A926" s="9">
        <v>918</v>
      </c>
      <c r="B926" s="10">
        <f t="shared" ca="1" si="14"/>
        <v>9.8709686852223158E-2</v>
      </c>
      <c r="C926" s="10">
        <f ca="1">NPV(B926,Project_FCF!C18:J18)+Project_FCF!B18</f>
        <v>791.96197065119441</v>
      </c>
      <c r="D926" s="4"/>
      <c r="E926" s="4"/>
    </row>
    <row r="927" spans="1:5" x14ac:dyDescent="0.3">
      <c r="A927" s="9">
        <v>919</v>
      </c>
      <c r="B927" s="10">
        <f t="shared" ca="1" si="14"/>
        <v>6.5872584676070794E-2</v>
      </c>
      <c r="C927" s="10">
        <f ca="1">NPV(B927,Project_FCF!C18:J18)+Project_FCF!B18</f>
        <v>1064.2002178174769</v>
      </c>
      <c r="D927" s="4"/>
      <c r="E927" s="4"/>
    </row>
    <row r="928" spans="1:5" x14ac:dyDescent="0.3">
      <c r="A928" s="9">
        <v>920</v>
      </c>
      <c r="B928" s="10">
        <f t="shared" ca="1" si="14"/>
        <v>7.7064553395993551E-2</v>
      </c>
      <c r="C928" s="10">
        <f ca="1">NPV(B928,Project_FCF!C18:J18)+Project_FCF!B18</f>
        <v>963.3398188738588</v>
      </c>
      <c r="D928" s="4"/>
      <c r="E928" s="4"/>
    </row>
    <row r="929" spans="1:5" x14ac:dyDescent="0.3">
      <c r="A929" s="9">
        <v>921</v>
      </c>
      <c r="B929" s="10">
        <f t="shared" ca="1" si="14"/>
        <v>7.0190083613509466E-2</v>
      </c>
      <c r="C929" s="10">
        <f ca="1">NPV(B929,Project_FCF!C18:J18)+Project_FCF!B18</f>
        <v>1024.2154280415416</v>
      </c>
      <c r="D929" s="4"/>
      <c r="E929" s="4"/>
    </row>
    <row r="930" spans="1:5" x14ac:dyDescent="0.3">
      <c r="A930" s="9">
        <v>922</v>
      </c>
      <c r="B930" s="10">
        <f t="shared" ca="1" si="14"/>
        <v>6.5186693772548487E-2</v>
      </c>
      <c r="C930" s="10">
        <f ca="1">NPV(B930,Project_FCF!C18:J18)+Project_FCF!B18</f>
        <v>1070.6813026844775</v>
      </c>
      <c r="D930" s="4"/>
      <c r="E930" s="4"/>
    </row>
    <row r="931" spans="1:5" x14ac:dyDescent="0.3">
      <c r="A931" s="9">
        <v>923</v>
      </c>
      <c r="B931" s="10">
        <f t="shared" ca="1" si="14"/>
        <v>9.9711493621249342E-2</v>
      </c>
      <c r="C931" s="10">
        <f ca="1">NPV(B931,Project_FCF!C18:J18)+Project_FCF!B18</f>
        <v>784.71270467298064</v>
      </c>
      <c r="D931" s="4"/>
      <c r="E931" s="4"/>
    </row>
    <row r="932" spans="1:5" x14ac:dyDescent="0.3">
      <c r="A932" s="9">
        <v>924</v>
      </c>
      <c r="B932" s="10">
        <f t="shared" ca="1" si="14"/>
        <v>8.6111564435277177E-2</v>
      </c>
      <c r="C932" s="10">
        <f ca="1">NPV(B932,Project_FCF!C18:J18)+Project_FCF!B18</f>
        <v>888.13897072086047</v>
      </c>
      <c r="D932" s="4"/>
      <c r="E932" s="4"/>
    </row>
    <row r="933" spans="1:5" x14ac:dyDescent="0.3">
      <c r="A933" s="9">
        <v>925</v>
      </c>
      <c r="B933" s="10">
        <f t="shared" ca="1" si="14"/>
        <v>9.7716649245687376E-2</v>
      </c>
      <c r="C933" s="10">
        <f ca="1">NPV(B933,Project_FCF!C18:J18)+Project_FCF!B18</f>
        <v>799.20377837239676</v>
      </c>
      <c r="D933" s="4"/>
      <c r="E933" s="4"/>
    </row>
    <row r="934" spans="1:5" x14ac:dyDescent="0.3">
      <c r="A934" s="9">
        <v>926</v>
      </c>
      <c r="B934" s="10">
        <f t="shared" ca="1" si="14"/>
        <v>0.10149478429860083</v>
      </c>
      <c r="C934" s="10">
        <f ca="1">NPV(B934,Project_FCF!C18:J18)+Project_FCF!B18</f>
        <v>771.94731020897507</v>
      </c>
      <c r="D934" s="4"/>
      <c r="E934" s="4"/>
    </row>
    <row r="935" spans="1:5" x14ac:dyDescent="0.3">
      <c r="A935" s="9">
        <v>927</v>
      </c>
      <c r="B935" s="10">
        <f t="shared" ca="1" si="14"/>
        <v>6.8780210990417229E-2</v>
      </c>
      <c r="C935" s="10">
        <f ca="1">NPV(B935,Project_FCF!C18:J18)+Project_FCF!B18</f>
        <v>1037.1200086910576</v>
      </c>
      <c r="D935" s="4"/>
      <c r="E935" s="4"/>
    </row>
    <row r="936" spans="1:5" x14ac:dyDescent="0.3">
      <c r="A936" s="9">
        <v>928</v>
      </c>
      <c r="B936" s="10">
        <f t="shared" ca="1" si="14"/>
        <v>0.10283531682324816</v>
      </c>
      <c r="C936" s="10">
        <f ca="1">NPV(B936,Project_FCF!C18:J18)+Project_FCF!B18</f>
        <v>762.4669735161624</v>
      </c>
      <c r="D936" s="4"/>
      <c r="E936" s="4"/>
    </row>
    <row r="937" spans="1:5" x14ac:dyDescent="0.3">
      <c r="A937" s="9">
        <v>929</v>
      </c>
      <c r="B937" s="10">
        <f t="shared" ca="1" si="14"/>
        <v>7.4774387672306153E-2</v>
      </c>
      <c r="C937" s="10">
        <f ca="1">NPV(B937,Project_FCF!C18:J18)+Project_FCF!B18</f>
        <v>983.24950526902558</v>
      </c>
      <c r="D937" s="4"/>
      <c r="E937" s="4"/>
    </row>
    <row r="938" spans="1:5" x14ac:dyDescent="0.3">
      <c r="A938" s="9">
        <v>930</v>
      </c>
      <c r="B938" s="10">
        <f t="shared" ca="1" si="14"/>
        <v>8.5108915677289398E-2</v>
      </c>
      <c r="C938" s="10">
        <f ca="1">NPV(B938,Project_FCF!C18:J18)+Project_FCF!B18</f>
        <v>896.21025348578996</v>
      </c>
      <c r="D938" s="4"/>
      <c r="E938" s="4"/>
    </row>
    <row r="939" spans="1:5" x14ac:dyDescent="0.3">
      <c r="A939" s="9">
        <v>931</v>
      </c>
      <c r="B939" s="10">
        <f t="shared" ca="1" si="14"/>
        <v>9.2557375368635703E-2</v>
      </c>
      <c r="C939" s="10">
        <f ca="1">NPV(B939,Project_FCF!C18:J18)+Project_FCF!B18</f>
        <v>837.74471926870888</v>
      </c>
      <c r="D939" s="4"/>
      <c r="E939" s="4"/>
    </row>
    <row r="940" spans="1:5" x14ac:dyDescent="0.3">
      <c r="A940" s="9">
        <v>932</v>
      </c>
      <c r="B940" s="10">
        <f t="shared" ca="1" si="14"/>
        <v>8.0931821582881411E-2</v>
      </c>
      <c r="C940" s="10">
        <f ca="1">NPV(B940,Project_FCF!C18:J18)+Project_FCF!B18</f>
        <v>930.53287832806836</v>
      </c>
      <c r="D940" s="4"/>
      <c r="E940" s="4"/>
    </row>
    <row r="941" spans="1:5" x14ac:dyDescent="0.3">
      <c r="A941" s="9">
        <v>933</v>
      </c>
      <c r="B941" s="10">
        <f t="shared" ca="1" si="14"/>
        <v>0.1027181808680597</v>
      </c>
      <c r="C941" s="10">
        <f ca="1">NPV(B941,Project_FCF!C18:J18)+Project_FCF!B18</f>
        <v>763.2914443312211</v>
      </c>
      <c r="D941" s="4"/>
      <c r="E941" s="4"/>
    </row>
    <row r="942" spans="1:5" x14ac:dyDescent="0.3">
      <c r="A942" s="9">
        <v>934</v>
      </c>
      <c r="B942" s="10">
        <f t="shared" ca="1" si="14"/>
        <v>0.10169147885734658</v>
      </c>
      <c r="C942" s="10">
        <f ca="1">NPV(B942,Project_FCF!C18:J18)+Project_FCF!B18</f>
        <v>770.55009588779171</v>
      </c>
      <c r="D942" s="4"/>
      <c r="E942" s="4"/>
    </row>
    <row r="943" spans="1:5" x14ac:dyDescent="0.3">
      <c r="A943" s="9">
        <v>935</v>
      </c>
      <c r="B943" s="10">
        <f t="shared" ca="1" si="14"/>
        <v>0.10242770904622674</v>
      </c>
      <c r="C943" s="10">
        <f ca="1">NPV(B943,Project_FCF!C18:J18)+Project_FCF!B18</f>
        <v>765.33918551299917</v>
      </c>
      <c r="D943" s="4"/>
      <c r="E943" s="4"/>
    </row>
    <row r="944" spans="1:5" x14ac:dyDescent="0.3">
      <c r="A944" s="9">
        <v>936</v>
      </c>
      <c r="B944" s="10">
        <f t="shared" ca="1" si="14"/>
        <v>9.9955594132209877E-2</v>
      </c>
      <c r="C944" s="10">
        <f ca="1">NPV(B944,Project_FCF!C18:J18)+Project_FCF!B18</f>
        <v>782.95488681312531</v>
      </c>
      <c r="D944" s="4"/>
      <c r="E944" s="4"/>
    </row>
    <row r="945" spans="1:5" x14ac:dyDescent="0.3">
      <c r="A945" s="9">
        <v>937</v>
      </c>
      <c r="B945" s="10">
        <f t="shared" ca="1" si="14"/>
        <v>9.005578087818783E-2</v>
      </c>
      <c r="C945" s="10">
        <f ca="1">NPV(B945,Project_FCF!C18:J18)+Project_FCF!B18</f>
        <v>856.99995930686896</v>
      </c>
      <c r="D945" s="4"/>
      <c r="E945" s="4"/>
    </row>
    <row r="946" spans="1:5" x14ac:dyDescent="0.3">
      <c r="A946" s="9">
        <v>938</v>
      </c>
      <c r="B946" s="10">
        <f t="shared" ca="1" si="14"/>
        <v>6.4950322983509917E-2</v>
      </c>
      <c r="C946" s="10">
        <f ca="1">NPV(B946,Project_FCF!C18:J18)+Project_FCF!B18</f>
        <v>1072.9231301328621</v>
      </c>
      <c r="D946" s="4"/>
      <c r="E946" s="4"/>
    </row>
    <row r="947" spans="1:5" x14ac:dyDescent="0.3">
      <c r="A947" s="9">
        <v>939</v>
      </c>
      <c r="B947" s="10">
        <f t="shared" ca="1" si="14"/>
        <v>6.6480510699162054E-2</v>
      </c>
      <c r="C947" s="10">
        <f ca="1">NPV(B947,Project_FCF!C18:J18)+Project_FCF!B18</f>
        <v>1058.4857312086085</v>
      </c>
      <c r="D947" s="4"/>
      <c r="E947" s="4"/>
    </row>
    <row r="948" spans="1:5" x14ac:dyDescent="0.3">
      <c r="A948" s="9">
        <v>940</v>
      </c>
      <c r="B948" s="10">
        <f t="shared" ca="1" si="14"/>
        <v>9.3574597274798471E-2</v>
      </c>
      <c r="C948" s="10">
        <f ca="1">NPV(B948,Project_FCF!C18:J18)+Project_FCF!B18</f>
        <v>830.02232019030953</v>
      </c>
      <c r="D948" s="4"/>
      <c r="E948" s="4"/>
    </row>
    <row r="949" spans="1:5" x14ac:dyDescent="0.3">
      <c r="A949" s="9">
        <v>941</v>
      </c>
      <c r="B949" s="10">
        <f t="shared" ca="1" si="14"/>
        <v>9.0558194165325304E-2</v>
      </c>
      <c r="C949" s="10">
        <f ca="1">NPV(B949,Project_FCF!C18:J18)+Project_FCF!B18</f>
        <v>853.10239640314285</v>
      </c>
      <c r="D949" s="4"/>
      <c r="E949" s="4"/>
    </row>
    <row r="950" spans="1:5" x14ac:dyDescent="0.3">
      <c r="A950" s="9">
        <v>942</v>
      </c>
      <c r="B950" s="10">
        <f t="shared" ca="1" si="14"/>
        <v>9.1823262846626702E-2</v>
      </c>
      <c r="C950" s="10">
        <f ca="1">NPV(B950,Project_FCF!C18:J18)+Project_FCF!B18</f>
        <v>843.35620428132643</v>
      </c>
      <c r="D950" s="4"/>
      <c r="E950" s="4"/>
    </row>
    <row r="951" spans="1:5" x14ac:dyDescent="0.3">
      <c r="A951" s="9">
        <v>943</v>
      </c>
      <c r="B951" s="10">
        <f t="shared" ca="1" si="14"/>
        <v>7.6057029353013547E-2</v>
      </c>
      <c r="C951" s="10">
        <f ca="1">NPV(B951,Project_FCF!C18:J18)+Project_FCF!B18</f>
        <v>972.05399325523103</v>
      </c>
      <c r="D951" s="4"/>
      <c r="E951" s="4"/>
    </row>
    <row r="952" spans="1:5" x14ac:dyDescent="0.3">
      <c r="A952" s="9">
        <v>944</v>
      </c>
      <c r="B952" s="10">
        <f t="shared" ca="1" si="14"/>
        <v>9.9758396393534204E-2</v>
      </c>
      <c r="C952" s="10">
        <f ca="1">NPV(B952,Project_FCF!C18:J18)+Project_FCF!B18</f>
        <v>784.37468926333668</v>
      </c>
      <c r="D952" s="4"/>
      <c r="E952" s="4"/>
    </row>
    <row r="953" spans="1:5" x14ac:dyDescent="0.3">
      <c r="A953" s="9">
        <v>945</v>
      </c>
      <c r="B953" s="10">
        <f t="shared" ca="1" si="14"/>
        <v>8.2791425447651099E-2</v>
      </c>
      <c r="C953" s="10">
        <f ca="1">NPV(B953,Project_FCF!C18:J18)+Project_FCF!B18</f>
        <v>915.11250679152863</v>
      </c>
      <c r="D953" s="4"/>
      <c r="E953" s="4"/>
    </row>
    <row r="954" spans="1:5" x14ac:dyDescent="0.3">
      <c r="A954" s="9">
        <v>946</v>
      </c>
      <c r="B954" s="10">
        <f t="shared" ca="1" si="14"/>
        <v>8.6288610388723236E-2</v>
      </c>
      <c r="C954" s="10">
        <f ca="1">NPV(B954,Project_FCF!C18:J18)+Project_FCF!B18</f>
        <v>886.72038041159544</v>
      </c>
      <c r="D954" s="4"/>
      <c r="E954" s="4"/>
    </row>
    <row r="955" spans="1:5" x14ac:dyDescent="0.3">
      <c r="A955" s="9">
        <v>947</v>
      </c>
      <c r="B955" s="10">
        <f t="shared" ca="1" si="14"/>
        <v>9.7721600762105676E-2</v>
      </c>
      <c r="C955" s="10">
        <f ca="1">NPV(B955,Project_FCF!C18:J18)+Project_FCF!B18</f>
        <v>799.16752991957514</v>
      </c>
      <c r="D955" s="4"/>
      <c r="E955" s="4"/>
    </row>
    <row r="956" spans="1:5" x14ac:dyDescent="0.3">
      <c r="A956" s="9">
        <v>948</v>
      </c>
      <c r="B956" s="10">
        <f t="shared" ca="1" si="14"/>
        <v>9.5448865648551123E-2</v>
      </c>
      <c r="C956" s="10">
        <f ca="1">NPV(B956,Project_FCF!C18:J18)+Project_FCF!B18</f>
        <v>815.95346424527816</v>
      </c>
      <c r="D956" s="4"/>
      <c r="E956" s="4"/>
    </row>
    <row r="957" spans="1:5" x14ac:dyDescent="0.3">
      <c r="A957" s="9">
        <v>949</v>
      </c>
      <c r="B957" s="10">
        <f t="shared" ca="1" si="14"/>
        <v>6.6403550197365491E-2</v>
      </c>
      <c r="C957" s="10">
        <f ca="1">NPV(B957,Project_FCF!C18:J18)+Project_FCF!B18</f>
        <v>1059.2076101932068</v>
      </c>
      <c r="D957" s="4"/>
      <c r="E957" s="4"/>
    </row>
    <row r="958" spans="1:5" x14ac:dyDescent="0.3">
      <c r="A958" s="9">
        <v>950</v>
      </c>
      <c r="B958" s="10">
        <f t="shared" ca="1" si="14"/>
        <v>7.3069843399736281E-2</v>
      </c>
      <c r="C958" s="10">
        <f ca="1">NPV(B958,Project_FCF!C18:J18)+Project_FCF!B18</f>
        <v>998.30622335309772</v>
      </c>
      <c r="D958" s="4"/>
      <c r="E958" s="4"/>
    </row>
    <row r="959" spans="1:5" x14ac:dyDescent="0.3">
      <c r="A959" s="9">
        <v>951</v>
      </c>
      <c r="B959" s="10">
        <f t="shared" ca="1" si="14"/>
        <v>9.0631169786868235E-2</v>
      </c>
      <c r="C959" s="10">
        <f ca="1">NPV(B959,Project_FCF!C18:J18)+Project_FCF!B18</f>
        <v>852.53755258915999</v>
      </c>
      <c r="D959" s="4"/>
      <c r="E959" s="4"/>
    </row>
    <row r="960" spans="1:5" x14ac:dyDescent="0.3">
      <c r="A960" s="9">
        <v>952</v>
      </c>
      <c r="B960" s="10">
        <f t="shared" ca="1" si="14"/>
        <v>7.3789457677972542E-2</v>
      </c>
      <c r="C960" s="10">
        <f ca="1">NPV(B960,Project_FCF!C18:J18)+Project_FCF!B18</f>
        <v>991.92463129228099</v>
      </c>
      <c r="D960" s="4"/>
      <c r="E960" s="4"/>
    </row>
    <row r="961" spans="1:5" x14ac:dyDescent="0.3">
      <c r="A961" s="9">
        <v>953</v>
      </c>
      <c r="B961" s="10">
        <f t="shared" ca="1" si="14"/>
        <v>8.3117983460594513E-2</v>
      </c>
      <c r="C961" s="10">
        <f ca="1">NPV(B961,Project_FCF!C18:J18)+Project_FCF!B18</f>
        <v>912.42796621718321</v>
      </c>
      <c r="D961" s="4"/>
      <c r="E961" s="4"/>
    </row>
    <row r="962" spans="1:5" x14ac:dyDescent="0.3">
      <c r="A962" s="9">
        <v>954</v>
      </c>
      <c r="B962" s="10">
        <f t="shared" ca="1" si="14"/>
        <v>0.10065881324401676</v>
      </c>
      <c r="C962" s="10">
        <f ca="1">NPV(B962,Project_FCF!C18:J18)+Project_FCF!B18</f>
        <v>777.9094613880518</v>
      </c>
      <c r="D962" s="4"/>
      <c r="E962" s="4"/>
    </row>
    <row r="963" spans="1:5" x14ac:dyDescent="0.3">
      <c r="A963" s="9">
        <v>955</v>
      </c>
      <c r="B963" s="10">
        <f t="shared" ca="1" si="14"/>
        <v>8.4533218862048815E-2</v>
      </c>
      <c r="C963" s="10">
        <f ca="1">NPV(B963,Project_FCF!C18:J18)+Project_FCF!B18</f>
        <v>900.8735535688204</v>
      </c>
      <c r="D963" s="4"/>
      <c r="E963" s="4"/>
    </row>
    <row r="964" spans="1:5" x14ac:dyDescent="0.3">
      <c r="A964" s="9">
        <v>956</v>
      </c>
      <c r="B964" s="10">
        <f t="shared" ca="1" si="14"/>
        <v>0.10046933531075217</v>
      </c>
      <c r="C964" s="10">
        <f ca="1">NPV(B964,Project_FCF!C18:J18)+Project_FCF!B18</f>
        <v>779.266207543983</v>
      </c>
      <c r="D964" s="4"/>
      <c r="E964" s="4"/>
    </row>
    <row r="965" spans="1:5" x14ac:dyDescent="0.3">
      <c r="A965" s="9">
        <v>957</v>
      </c>
      <c r="B965" s="10">
        <f t="shared" ca="1" si="14"/>
        <v>8.7185617723998701E-2</v>
      </c>
      <c r="C965" s="10">
        <f ca="1">NPV(B965,Project_FCF!C18:J18)+Project_FCF!B18</f>
        <v>879.56342008472188</v>
      </c>
      <c r="D965" s="4"/>
      <c r="E965" s="4"/>
    </row>
    <row r="966" spans="1:5" x14ac:dyDescent="0.3">
      <c r="A966" s="9">
        <v>958</v>
      </c>
      <c r="B966" s="10">
        <f t="shared" ca="1" si="14"/>
        <v>7.7486406548671102E-2</v>
      </c>
      <c r="C966" s="10">
        <f ca="1">NPV(B966,Project_FCF!C18:J18)+Project_FCF!B18</f>
        <v>959.71189959262074</v>
      </c>
      <c r="D966" s="4"/>
      <c r="E966" s="4"/>
    </row>
    <row r="967" spans="1:5" x14ac:dyDescent="0.3">
      <c r="A967" s="9">
        <v>959</v>
      </c>
      <c r="B967" s="10">
        <f t="shared" ca="1" si="14"/>
        <v>7.4012833507377418E-2</v>
      </c>
      <c r="C967" s="10">
        <f ca="1">NPV(B967,Project_FCF!C18:J18)+Project_FCF!B18</f>
        <v>989.95117610282341</v>
      </c>
      <c r="D967" s="4"/>
      <c r="E967" s="4"/>
    </row>
    <row r="968" spans="1:5" x14ac:dyDescent="0.3">
      <c r="A968" s="9">
        <v>960</v>
      </c>
      <c r="B968" s="10">
        <f t="shared" ca="1" si="14"/>
        <v>8.8658646841105804E-2</v>
      </c>
      <c r="C968" s="10">
        <f ca="1">NPV(B968,Project_FCF!C18:J18)+Project_FCF!B18</f>
        <v>867.91972836721607</v>
      </c>
      <c r="D968" s="4"/>
      <c r="E968" s="4"/>
    </row>
    <row r="969" spans="1:5" x14ac:dyDescent="0.3">
      <c r="A969" s="9">
        <v>961</v>
      </c>
      <c r="B969" s="10">
        <f t="shared" ref="B969:B1032" ca="1" si="15">$B$4+RAND()*($B$5-$B$4)</f>
        <v>8.9754491625821789E-2</v>
      </c>
      <c r="C969" s="10">
        <f ca="1">NPV(B969,Project_FCF!C18:J18)+Project_FCF!B18</f>
        <v>859.34465455101326</v>
      </c>
      <c r="D969" s="4"/>
      <c r="E969" s="4"/>
    </row>
    <row r="970" spans="1:5" x14ac:dyDescent="0.3">
      <c r="A970" s="9">
        <v>962</v>
      </c>
      <c r="B970" s="10">
        <f t="shared" ca="1" si="15"/>
        <v>9.119811702528921E-2</v>
      </c>
      <c r="C970" s="10">
        <f ca="1">NPV(B970,Project_FCF!C18:J18)+Project_FCF!B18</f>
        <v>848.16028789084567</v>
      </c>
      <c r="D970" s="4"/>
      <c r="E970" s="4"/>
    </row>
    <row r="971" spans="1:5" x14ac:dyDescent="0.3">
      <c r="A971" s="9">
        <v>963</v>
      </c>
      <c r="B971" s="10">
        <f t="shared" ca="1" si="15"/>
        <v>6.9635791795872315E-2</v>
      </c>
      <c r="C971" s="10">
        <f ca="1">NPV(B971,Project_FCF!C18:J18)+Project_FCF!B18</f>
        <v>1029.2714394216821</v>
      </c>
      <c r="D971" s="4"/>
      <c r="E971" s="4"/>
    </row>
    <row r="972" spans="1:5" x14ac:dyDescent="0.3">
      <c r="A972" s="9">
        <v>964</v>
      </c>
      <c r="B972" s="10">
        <f t="shared" ca="1" si="15"/>
        <v>7.7595776714754594E-2</v>
      </c>
      <c r="C972" s="10">
        <f ca="1">NPV(B972,Project_FCF!C18:J18)+Project_FCF!B18</f>
        <v>958.77330893931594</v>
      </c>
      <c r="D972" s="4"/>
      <c r="E972" s="4"/>
    </row>
    <row r="973" spans="1:5" x14ac:dyDescent="0.3">
      <c r="A973" s="9">
        <v>965</v>
      </c>
      <c r="B973" s="10">
        <f t="shared" ca="1" si="15"/>
        <v>8.832349842847384E-2</v>
      </c>
      <c r="C973" s="10">
        <f ca="1">NPV(B973,Project_FCF!C18:J18)+Project_FCF!B18</f>
        <v>870.55708532298581</v>
      </c>
      <c r="D973" s="4"/>
      <c r="E973" s="4"/>
    </row>
    <row r="974" spans="1:5" x14ac:dyDescent="0.3">
      <c r="A974" s="9">
        <v>966</v>
      </c>
      <c r="B974" s="10">
        <f t="shared" ca="1" si="15"/>
        <v>7.4450689406907966E-2</v>
      </c>
      <c r="C974" s="10">
        <f ca="1">NPV(B974,Project_FCF!C18:J18)+Project_FCF!B18</f>
        <v>986.09306512234389</v>
      </c>
      <c r="D974" s="4"/>
      <c r="E974" s="4"/>
    </row>
    <row r="975" spans="1:5" x14ac:dyDescent="0.3">
      <c r="A975" s="9">
        <v>967</v>
      </c>
      <c r="B975" s="10">
        <f t="shared" ca="1" si="15"/>
        <v>9.9988949449684103E-2</v>
      </c>
      <c r="C975" s="10">
        <f ca="1">NPV(B975,Project_FCF!C18:J18)+Project_FCF!B18</f>
        <v>782.71494723035585</v>
      </c>
      <c r="D975" s="4"/>
      <c r="E975" s="4"/>
    </row>
    <row r="976" spans="1:5" x14ac:dyDescent="0.3">
      <c r="A976" s="9">
        <v>968</v>
      </c>
      <c r="B976" s="10">
        <f t="shared" ca="1" si="15"/>
        <v>6.7930628183280856E-2</v>
      </c>
      <c r="C976" s="10">
        <f ca="1">NPV(B976,Project_FCF!C18:J18)+Project_FCF!B18</f>
        <v>1044.9671615767932</v>
      </c>
      <c r="D976" s="4"/>
      <c r="E976" s="4"/>
    </row>
    <row r="977" spans="1:5" x14ac:dyDescent="0.3">
      <c r="A977" s="9">
        <v>969</v>
      </c>
      <c r="B977" s="10">
        <f t="shared" ca="1" si="15"/>
        <v>8.5881839102848273E-2</v>
      </c>
      <c r="C977" s="10">
        <f ca="1">NPV(B977,Project_FCF!C18:J18)+Project_FCF!B18</f>
        <v>889.98261356264697</v>
      </c>
      <c r="D977" s="4"/>
      <c r="E977" s="4"/>
    </row>
    <row r="978" spans="1:5" x14ac:dyDescent="0.3">
      <c r="A978" s="9">
        <v>970</v>
      </c>
      <c r="B978" s="10">
        <f t="shared" ca="1" si="15"/>
        <v>9.3784235932630647E-2</v>
      </c>
      <c r="C978" s="10">
        <f ca="1">NPV(B978,Project_FCF!C18:J18)+Project_FCF!B18</f>
        <v>828.43844382477141</v>
      </c>
      <c r="D978" s="4"/>
      <c r="E978" s="4"/>
    </row>
    <row r="979" spans="1:5" x14ac:dyDescent="0.3">
      <c r="A979" s="9">
        <v>971</v>
      </c>
      <c r="B979" s="10">
        <f t="shared" ca="1" si="15"/>
        <v>6.8684737314988906E-2</v>
      </c>
      <c r="C979" s="10">
        <f ca="1">NPV(B979,Project_FCF!C18:J18)+Project_FCF!B18</f>
        <v>1037.9991773440681</v>
      </c>
      <c r="D979" s="4"/>
      <c r="E979" s="4"/>
    </row>
    <row r="980" spans="1:5" x14ac:dyDescent="0.3">
      <c r="A980" s="9">
        <v>972</v>
      </c>
      <c r="B980" s="10">
        <f t="shared" ca="1" si="15"/>
        <v>6.6613355695859133E-2</v>
      </c>
      <c r="C980" s="10">
        <f ca="1">NPV(B980,Project_FCF!C18:J18)+Project_FCF!B18</f>
        <v>1057.2407163868174</v>
      </c>
      <c r="D980" s="4"/>
      <c r="E980" s="4"/>
    </row>
    <row r="981" spans="1:5" x14ac:dyDescent="0.3">
      <c r="A981" s="9">
        <v>973</v>
      </c>
      <c r="B981" s="10">
        <f t="shared" ca="1" si="15"/>
        <v>7.3027719412212144E-2</v>
      </c>
      <c r="C981" s="10">
        <f ca="1">NPV(B981,Project_FCF!C18:J18)+Project_FCF!B18</f>
        <v>998.68092144650336</v>
      </c>
      <c r="D981" s="4"/>
      <c r="E981" s="4"/>
    </row>
    <row r="982" spans="1:5" x14ac:dyDescent="0.3">
      <c r="A982" s="9">
        <v>974</v>
      </c>
      <c r="B982" s="10">
        <f t="shared" ca="1" si="15"/>
        <v>9.9509059701737623E-2</v>
      </c>
      <c r="C982" s="10">
        <f ca="1">NPV(B982,Project_FCF!C18:J18)+Project_FCF!B18</f>
        <v>786.17300524185634</v>
      </c>
      <c r="D982" s="4"/>
      <c r="E982" s="4"/>
    </row>
    <row r="983" spans="1:5" x14ac:dyDescent="0.3">
      <c r="A983" s="9">
        <v>975</v>
      </c>
      <c r="B983" s="10">
        <f t="shared" ca="1" si="15"/>
        <v>7.7284179440988296E-2</v>
      </c>
      <c r="C983" s="10">
        <f ca="1">NPV(B983,Project_FCF!C18:J18)+Project_FCF!B18</f>
        <v>961.44952290476886</v>
      </c>
      <c r="D983" s="4"/>
      <c r="E983" s="4"/>
    </row>
    <row r="984" spans="1:5" x14ac:dyDescent="0.3">
      <c r="A984" s="9">
        <v>976</v>
      </c>
      <c r="B984" s="10">
        <f t="shared" ca="1" si="15"/>
        <v>0.10182100926442361</v>
      </c>
      <c r="C984" s="10">
        <f ca="1">NPV(B984,Project_FCF!C18:J18)+Project_FCF!B18</f>
        <v>769.63114387109954</v>
      </c>
      <c r="D984" s="4"/>
      <c r="E984" s="4"/>
    </row>
    <row r="985" spans="1:5" x14ac:dyDescent="0.3">
      <c r="A985" s="9">
        <v>977</v>
      </c>
      <c r="B985" s="10">
        <f t="shared" ca="1" si="15"/>
        <v>9.3678077446734856E-2</v>
      </c>
      <c r="C985" s="10">
        <f ca="1">NPV(B985,Project_FCF!C18:J18)+Project_FCF!B18</f>
        <v>829.24017496666443</v>
      </c>
      <c r="D985" s="4"/>
      <c r="E985" s="4"/>
    </row>
    <row r="986" spans="1:5" x14ac:dyDescent="0.3">
      <c r="A986" s="9">
        <v>978</v>
      </c>
      <c r="B986" s="10">
        <f t="shared" ca="1" si="15"/>
        <v>8.202664278122708E-2</v>
      </c>
      <c r="C986" s="10">
        <f ca="1">NPV(B986,Project_FCF!C18:J18)+Project_FCF!B18</f>
        <v>921.42680295515675</v>
      </c>
      <c r="D986" s="4"/>
      <c r="E986" s="4"/>
    </row>
    <row r="987" spans="1:5" x14ac:dyDescent="0.3">
      <c r="A987" s="9">
        <v>979</v>
      </c>
      <c r="B987" s="10">
        <f t="shared" ca="1" si="15"/>
        <v>7.8174435680061397E-2</v>
      </c>
      <c r="C987" s="10">
        <f ca="1">NPV(B987,Project_FCF!C18:J18)+Project_FCF!B18</f>
        <v>953.82096367909821</v>
      </c>
      <c r="D987" s="4"/>
      <c r="E987" s="4"/>
    </row>
    <row r="988" spans="1:5" x14ac:dyDescent="0.3">
      <c r="A988" s="9">
        <v>980</v>
      </c>
      <c r="B988" s="10">
        <f t="shared" ca="1" si="15"/>
        <v>6.6375530801125709E-2</v>
      </c>
      <c r="C988" s="10">
        <f ca="1">NPV(B988,Project_FCF!C18:J18)+Project_FCF!B18</f>
        <v>1059.4705395185913</v>
      </c>
      <c r="D988" s="4"/>
      <c r="E988" s="4"/>
    </row>
    <row r="989" spans="1:5" x14ac:dyDescent="0.3">
      <c r="A989" s="9">
        <v>981</v>
      </c>
      <c r="B989" s="10">
        <f t="shared" ca="1" si="15"/>
        <v>8.5767275447610675E-2</v>
      </c>
      <c r="C989" s="10">
        <f ca="1">NPV(B989,Project_FCF!C18:J18)+Project_FCF!B18</f>
        <v>890.90328501970953</v>
      </c>
      <c r="D989" s="4"/>
      <c r="E989" s="4"/>
    </row>
    <row r="990" spans="1:5" x14ac:dyDescent="0.3">
      <c r="A990" s="9">
        <v>982</v>
      </c>
      <c r="B990" s="10">
        <f t="shared" ca="1" si="15"/>
        <v>7.1848772421795784E-2</v>
      </c>
      <c r="C990" s="10">
        <f ca="1">NPV(B990,Project_FCF!C18:J18)+Project_FCF!B18</f>
        <v>1009.2192252289715</v>
      </c>
      <c r="D990" s="4"/>
      <c r="E990" s="4"/>
    </row>
    <row r="991" spans="1:5" x14ac:dyDescent="0.3">
      <c r="A991" s="9">
        <v>983</v>
      </c>
      <c r="B991" s="10">
        <f t="shared" ca="1" si="15"/>
        <v>7.4936466715665812E-2</v>
      </c>
      <c r="C991" s="10">
        <f ca="1">NPV(B991,Project_FCF!C18:J18)+Project_FCF!B18</f>
        <v>981.82846572344124</v>
      </c>
      <c r="D991" s="4"/>
      <c r="E991" s="4"/>
    </row>
    <row r="992" spans="1:5" x14ac:dyDescent="0.3">
      <c r="A992" s="9">
        <v>984</v>
      </c>
      <c r="B992" s="10">
        <f t="shared" ca="1" si="15"/>
        <v>7.7370430388190026E-2</v>
      </c>
      <c r="C992" s="10">
        <f ca="1">NPV(B992,Project_FCF!C18:J18)+Project_FCF!B18</f>
        <v>960.70807492753192</v>
      </c>
      <c r="D992" s="4"/>
      <c r="E992" s="4"/>
    </row>
    <row r="993" spans="1:5" x14ac:dyDescent="0.3">
      <c r="A993" s="9">
        <v>985</v>
      </c>
      <c r="B993" s="10">
        <f t="shared" ca="1" si="15"/>
        <v>9.6046220242980124E-2</v>
      </c>
      <c r="C993" s="10">
        <f ca="1">NPV(B993,Project_FCF!C18:J18)+Project_FCF!B18</f>
        <v>811.51265583063741</v>
      </c>
      <c r="D993" s="4"/>
      <c r="E993" s="4"/>
    </row>
    <row r="994" spans="1:5" x14ac:dyDescent="0.3">
      <c r="A994" s="9">
        <v>986</v>
      </c>
      <c r="B994" s="10">
        <f t="shared" ca="1" si="15"/>
        <v>7.2561468297264162E-2</v>
      </c>
      <c r="C994" s="10">
        <f ca="1">NPV(B994,Project_FCF!C18:J18)+Project_FCF!B18</f>
        <v>1002.8367317543052</v>
      </c>
      <c r="D994" s="4"/>
      <c r="E994" s="4"/>
    </row>
    <row r="995" spans="1:5" x14ac:dyDescent="0.3">
      <c r="A995" s="9">
        <v>987</v>
      </c>
      <c r="B995" s="10">
        <f t="shared" ca="1" si="15"/>
        <v>9.1957570911802455E-2</v>
      </c>
      <c r="C995" s="10">
        <f ca="1">NPV(B995,Project_FCF!C18:J18)+Project_FCF!B18</f>
        <v>842.3271515977076</v>
      </c>
      <c r="D995" s="4"/>
      <c r="E995" s="4"/>
    </row>
    <row r="996" spans="1:5" x14ac:dyDescent="0.3">
      <c r="A996" s="9">
        <v>988</v>
      </c>
      <c r="B996" s="10">
        <f t="shared" ca="1" si="15"/>
        <v>0.10073808901955857</v>
      </c>
      <c r="C996" s="10">
        <f ca="1">NPV(B996,Project_FCF!C18:J18)+Project_FCF!B18</f>
        <v>777.3424037861339</v>
      </c>
      <c r="D996" s="4"/>
      <c r="E996" s="4"/>
    </row>
    <row r="997" spans="1:5" x14ac:dyDescent="0.3">
      <c r="A997" s="9">
        <v>989</v>
      </c>
      <c r="B997" s="10">
        <f t="shared" ca="1" si="15"/>
        <v>9.5865247640337145E-2</v>
      </c>
      <c r="C997" s="10">
        <f ca="1">NPV(B997,Project_FCF!C18:J18)+Project_FCF!B18</f>
        <v>812.8558425777926</v>
      </c>
      <c r="D997" s="4"/>
      <c r="E997" s="4"/>
    </row>
    <row r="998" spans="1:5" x14ac:dyDescent="0.3">
      <c r="A998" s="9">
        <v>990</v>
      </c>
      <c r="B998" s="10">
        <f t="shared" ca="1" si="15"/>
        <v>7.5487586372980725E-2</v>
      </c>
      <c r="C998" s="10">
        <f ca="1">NPV(B998,Project_FCF!C18:J18)+Project_FCF!B18</f>
        <v>977.01022051769814</v>
      </c>
      <c r="D998" s="4"/>
      <c r="E998" s="4"/>
    </row>
    <row r="999" spans="1:5" x14ac:dyDescent="0.3">
      <c r="A999" s="9">
        <v>991</v>
      </c>
      <c r="B999" s="10">
        <f t="shared" ca="1" si="15"/>
        <v>8.4882931202011638E-2</v>
      </c>
      <c r="C999" s="10">
        <f ca="1">NPV(B999,Project_FCF!C18:J18)+Project_FCF!B18</f>
        <v>898.03826054966498</v>
      </c>
      <c r="D999" s="4"/>
      <c r="E999" s="4"/>
    </row>
    <row r="1000" spans="1:5" x14ac:dyDescent="0.3">
      <c r="A1000" s="9">
        <v>992</v>
      </c>
      <c r="B1000" s="10">
        <f t="shared" ca="1" si="15"/>
        <v>8.1985699216493985E-2</v>
      </c>
      <c r="C1000" s="10">
        <f ca="1">NPV(B1000,Project_FCF!C18:J18)+Project_FCF!B18</f>
        <v>921.76592658298114</v>
      </c>
      <c r="D1000" s="4"/>
      <c r="E1000" s="4"/>
    </row>
    <row r="1001" spans="1:5" x14ac:dyDescent="0.3">
      <c r="A1001" s="9">
        <v>993</v>
      </c>
      <c r="B1001" s="10">
        <f t="shared" ca="1" si="15"/>
        <v>0.10131736882771031</v>
      </c>
      <c r="C1001" s="10">
        <f ca="1">NPV(B1001,Project_FCF!C18:J18)+Project_FCF!B18</f>
        <v>773.20940652010177</v>
      </c>
      <c r="D1001" s="4"/>
      <c r="E1001" s="4"/>
    </row>
    <row r="1002" spans="1:5" x14ac:dyDescent="0.3">
      <c r="A1002" s="9">
        <v>994</v>
      </c>
      <c r="B1002" s="10">
        <f t="shared" ca="1" si="15"/>
        <v>7.5897591273124801E-2</v>
      </c>
      <c r="C1002" s="10">
        <f ca="1">NPV(B1002,Project_FCF!C18:J18)+Project_FCF!B18</f>
        <v>973.43941610874117</v>
      </c>
      <c r="D1002" s="4"/>
      <c r="E1002" s="4"/>
    </row>
    <row r="1003" spans="1:5" x14ac:dyDescent="0.3">
      <c r="A1003" s="9">
        <v>995</v>
      </c>
      <c r="B1003" s="10">
        <f t="shared" ca="1" si="15"/>
        <v>0.10027346734167535</v>
      </c>
      <c r="C1003" s="10">
        <f ca="1">NPV(B1003,Project_FCF!C18:J18)+Project_FCF!B18</f>
        <v>780.670809843386</v>
      </c>
      <c r="D1003" s="4"/>
      <c r="E1003" s="4"/>
    </row>
    <row r="1004" spans="1:5" x14ac:dyDescent="0.3">
      <c r="A1004" s="9">
        <v>996</v>
      </c>
      <c r="B1004" s="10">
        <f t="shared" ca="1" si="15"/>
        <v>8.3118531206751847E-2</v>
      </c>
      <c r="C1004" s="10">
        <f ca="1">NPV(B1004,Project_FCF!C18:J18)+Project_FCF!B18</f>
        <v>912.42346917919531</v>
      </c>
      <c r="D1004" s="4"/>
      <c r="E1004" s="4"/>
    </row>
    <row r="1005" spans="1:5" x14ac:dyDescent="0.3">
      <c r="A1005" s="9">
        <v>997</v>
      </c>
      <c r="B1005" s="10">
        <f t="shared" ca="1" si="15"/>
        <v>6.4191136418642478E-2</v>
      </c>
      <c r="C1005" s="10">
        <f ca="1">NPV(B1005,Project_FCF!C18:J18)+Project_FCF!B18</f>
        <v>1080.1525462346751</v>
      </c>
      <c r="D1005" s="4"/>
      <c r="E1005" s="4"/>
    </row>
    <row r="1006" spans="1:5" x14ac:dyDescent="0.3">
      <c r="A1006" s="9">
        <v>998</v>
      </c>
      <c r="B1006" s="10">
        <f t="shared" ca="1" si="15"/>
        <v>0.10245008453929016</v>
      </c>
      <c r="C1006" s="10">
        <f ca="1">NPV(B1006,Project_FCF!C18:J18)+Project_FCF!B18</f>
        <v>765.18128091030621</v>
      </c>
      <c r="D1006" s="4"/>
      <c r="E1006" s="4"/>
    </row>
    <row r="1007" spans="1:5" x14ac:dyDescent="0.3">
      <c r="A1007" s="9">
        <v>999</v>
      </c>
      <c r="B1007" s="10">
        <f t="shared" ca="1" si="15"/>
        <v>9.6948479305592847E-2</v>
      </c>
      <c r="C1007" s="10">
        <f ca="1">NPV(B1007,Project_FCF!C18:J18)+Project_FCF!B18</f>
        <v>804.84427744182972</v>
      </c>
      <c r="D1007" s="4"/>
      <c r="E1007" s="4"/>
    </row>
    <row r="1008" spans="1:5" x14ac:dyDescent="0.3">
      <c r="A1008" s="9">
        <v>1000</v>
      </c>
      <c r="B1008" s="10">
        <f t="shared" ca="1" si="15"/>
        <v>8.8948327427356616E-2</v>
      </c>
      <c r="C1008" s="10">
        <f ca="1">NPV(B1008,Project_FCF!C18:J18)+Project_FCF!B18</f>
        <v>865.64576437112896</v>
      </c>
      <c r="D1008" s="4"/>
      <c r="E1008" s="4"/>
    </row>
    <row r="1009" spans="1:5" x14ac:dyDescent="0.3">
      <c r="A1009" s="9">
        <v>1001</v>
      </c>
      <c r="B1009" s="10">
        <f t="shared" ca="1" si="15"/>
        <v>7.5331206647871185E-2</v>
      </c>
      <c r="C1009" s="10">
        <f ca="1">NPV(B1009,Project_FCF!C18:J18)+Project_FCF!B18</f>
        <v>978.37523988736916</v>
      </c>
      <c r="D1009" s="4"/>
      <c r="E1009" s="4"/>
    </row>
    <row r="1010" spans="1:5" x14ac:dyDescent="0.3">
      <c r="A1010" s="9">
        <v>1002</v>
      </c>
      <c r="B1010" s="10">
        <f t="shared" ca="1" si="15"/>
        <v>9.3238498995233204E-2</v>
      </c>
      <c r="C1010" s="10">
        <f ca="1">NPV(B1010,Project_FCF!C18:J18)+Project_FCF!B18</f>
        <v>832.56706208200558</v>
      </c>
      <c r="D1010" s="4"/>
      <c r="E1010" s="4"/>
    </row>
    <row r="1011" spans="1:5" x14ac:dyDescent="0.3">
      <c r="A1011" s="9">
        <v>1003</v>
      </c>
      <c r="B1011" s="10">
        <f t="shared" ca="1" si="15"/>
        <v>6.6616356006971009E-2</v>
      </c>
      <c r="C1011" s="10">
        <f ca="1">NPV(B1011,Project_FCF!C18:J18)+Project_FCF!B18</f>
        <v>1057.212613052458</v>
      </c>
      <c r="D1011" s="4"/>
      <c r="E1011" s="4"/>
    </row>
    <row r="1012" spans="1:5" x14ac:dyDescent="0.3">
      <c r="A1012" s="9">
        <v>1004</v>
      </c>
      <c r="B1012" s="10">
        <f t="shared" ca="1" si="15"/>
        <v>8.3907456445444881E-2</v>
      </c>
      <c r="C1012" s="10">
        <f ca="1">NPV(B1012,Project_FCF!C18:J18)+Project_FCF!B18</f>
        <v>905.96652209331137</v>
      </c>
      <c r="D1012" s="4"/>
      <c r="E1012" s="4"/>
    </row>
    <row r="1013" spans="1:5" x14ac:dyDescent="0.3">
      <c r="A1013" s="9">
        <v>1005</v>
      </c>
      <c r="B1013" s="10">
        <f t="shared" ca="1" si="15"/>
        <v>8.7820897639314152E-2</v>
      </c>
      <c r="C1013" s="10">
        <f ca="1">NPV(B1013,Project_FCF!C18:J18)+Project_FCF!B18</f>
        <v>874.52522499813244</v>
      </c>
      <c r="D1013" s="4"/>
      <c r="E1013" s="4"/>
    </row>
    <row r="1014" spans="1:5" x14ac:dyDescent="0.3">
      <c r="A1014" s="9">
        <v>1006</v>
      </c>
      <c r="B1014" s="10">
        <f t="shared" ca="1" si="15"/>
        <v>9.7006420729972148E-2</v>
      </c>
      <c r="C1014" s="10">
        <f ca="1">NPV(B1014,Project_FCF!C18:J18)+Project_FCF!B18</f>
        <v>804.41764787696479</v>
      </c>
      <c r="D1014" s="4"/>
      <c r="E1014" s="4"/>
    </row>
    <row r="1015" spans="1:5" x14ac:dyDescent="0.3">
      <c r="A1015" s="9">
        <v>1007</v>
      </c>
      <c r="B1015" s="10">
        <f t="shared" ca="1" si="15"/>
        <v>8.8099512801709967E-2</v>
      </c>
      <c r="C1015" s="10">
        <f ca="1">NPV(B1015,Project_FCF!C18:J18)+Project_FCF!B18</f>
        <v>872.32355994577233</v>
      </c>
      <c r="D1015" s="4"/>
      <c r="E1015" s="4"/>
    </row>
    <row r="1016" spans="1:5" x14ac:dyDescent="0.3">
      <c r="A1016" s="9">
        <v>1008</v>
      </c>
      <c r="B1016" s="10">
        <f t="shared" ca="1" si="15"/>
        <v>9.3213489620410733E-2</v>
      </c>
      <c r="C1016" s="10">
        <f ca="1">NPV(B1016,Project_FCF!C18:J18)+Project_FCF!B18</f>
        <v>832.75668637745707</v>
      </c>
      <c r="D1016" s="4"/>
      <c r="E1016" s="4"/>
    </row>
    <row r="1017" spans="1:5" x14ac:dyDescent="0.3">
      <c r="A1017" s="9">
        <v>1009</v>
      </c>
      <c r="B1017" s="10">
        <f t="shared" ca="1" si="15"/>
        <v>9.4569748365587208E-2</v>
      </c>
      <c r="C1017" s="10">
        <f ca="1">NPV(B1017,Project_FCF!C18:J18)+Project_FCF!B18</f>
        <v>822.52673296351827</v>
      </c>
      <c r="D1017" s="4"/>
      <c r="E1017" s="4"/>
    </row>
    <row r="1018" spans="1:5" x14ac:dyDescent="0.3">
      <c r="A1018" s="9">
        <v>1010</v>
      </c>
      <c r="B1018" s="10">
        <f t="shared" ca="1" si="15"/>
        <v>7.7762602039483139E-2</v>
      </c>
      <c r="C1018" s="10">
        <f ca="1">NPV(B1018,Project_FCF!C18:J18)+Project_FCF!B18</f>
        <v>957.34322417388739</v>
      </c>
      <c r="D1018" s="4"/>
      <c r="E1018" s="4"/>
    </row>
    <row r="1019" spans="1:5" x14ac:dyDescent="0.3">
      <c r="A1019" s="9">
        <v>1011</v>
      </c>
      <c r="B1019" s="10">
        <f t="shared" ca="1" si="15"/>
        <v>7.2944058333750061E-2</v>
      </c>
      <c r="C1019" s="10">
        <f ca="1">NPV(B1019,Project_FCF!C18:J18)+Project_FCF!B18</f>
        <v>999.42547177786741</v>
      </c>
      <c r="D1019" s="4"/>
      <c r="E1019" s="4"/>
    </row>
    <row r="1020" spans="1:5" x14ac:dyDescent="0.3">
      <c r="A1020" s="9">
        <v>1012</v>
      </c>
      <c r="B1020" s="10">
        <f t="shared" ca="1" si="15"/>
        <v>8.4651646102678765E-2</v>
      </c>
      <c r="C1020" s="10">
        <f ca="1">NPV(B1020,Project_FCF!C18:J18)+Project_FCF!B18</f>
        <v>899.91252714232292</v>
      </c>
      <c r="D1020" s="4"/>
      <c r="E1020" s="4"/>
    </row>
    <row r="1021" spans="1:5" x14ac:dyDescent="0.3">
      <c r="A1021" s="9">
        <v>1013</v>
      </c>
      <c r="B1021" s="10">
        <f t="shared" ca="1" si="15"/>
        <v>0.10191049806456851</v>
      </c>
      <c r="C1021" s="10">
        <f ca="1">NPV(B1021,Project_FCF!C18:J18)+Project_FCF!B18</f>
        <v>768.99680565127164</v>
      </c>
      <c r="D1021" s="4"/>
      <c r="E1021" s="4"/>
    </row>
    <row r="1022" spans="1:5" x14ac:dyDescent="0.3">
      <c r="A1022" s="9">
        <v>1014</v>
      </c>
      <c r="B1022" s="10">
        <f t="shared" ca="1" si="15"/>
        <v>0.10150701280833241</v>
      </c>
      <c r="C1022" s="10">
        <f ca="1">NPV(B1022,Project_FCF!C18:J18)+Project_FCF!B18</f>
        <v>771.86038315568635</v>
      </c>
      <c r="D1022" s="4"/>
      <c r="E1022" s="4"/>
    </row>
    <row r="1023" spans="1:5" x14ac:dyDescent="0.3">
      <c r="A1023" s="9">
        <v>1015</v>
      </c>
      <c r="B1023" s="10">
        <f t="shared" ca="1" si="15"/>
        <v>8.2398834359924525E-2</v>
      </c>
      <c r="C1023" s="10">
        <f ca="1">NPV(B1023,Project_FCF!C18:J18)+Project_FCF!B18</f>
        <v>918.34908903481596</v>
      </c>
      <c r="D1023" s="4"/>
      <c r="E1023" s="4"/>
    </row>
    <row r="1024" spans="1:5" x14ac:dyDescent="0.3">
      <c r="A1024" s="9">
        <v>1016</v>
      </c>
      <c r="B1024" s="10">
        <f t="shared" ca="1" si="15"/>
        <v>8.2556623669991017E-2</v>
      </c>
      <c r="C1024" s="10">
        <f ca="1">NPV(B1024,Project_FCF!C18:J18)+Project_FCF!B18</f>
        <v>917.04703967148089</v>
      </c>
      <c r="D1024" s="4"/>
      <c r="E1024" s="4"/>
    </row>
    <row r="1025" spans="1:5" x14ac:dyDescent="0.3">
      <c r="A1025" s="9">
        <v>1017</v>
      </c>
      <c r="B1025" s="10">
        <f t="shared" ca="1" si="15"/>
        <v>7.5054033549260823E-2</v>
      </c>
      <c r="C1025" s="10">
        <f ca="1">NPV(B1025,Project_FCF!C18:J18)+Project_FCF!B18</f>
        <v>980.79884055738262</v>
      </c>
      <c r="D1025" s="4"/>
      <c r="E1025" s="4"/>
    </row>
    <row r="1026" spans="1:5" x14ac:dyDescent="0.3">
      <c r="A1026" s="9">
        <v>1018</v>
      </c>
      <c r="B1026" s="10">
        <f t="shared" ca="1" si="15"/>
        <v>7.969366210554274E-2</v>
      </c>
      <c r="C1026" s="10">
        <f ca="1">NPV(B1026,Project_FCF!C18:J18)+Project_FCF!B18</f>
        <v>940.92692474509499</v>
      </c>
      <c r="D1026" s="4"/>
      <c r="E1026" s="4"/>
    </row>
    <row r="1027" spans="1:5" x14ac:dyDescent="0.3">
      <c r="A1027" s="9">
        <v>1019</v>
      </c>
      <c r="B1027" s="10">
        <f t="shared" ca="1" si="15"/>
        <v>6.671978128497974E-2</v>
      </c>
      <c r="C1027" s="10">
        <f ca="1">NPV(B1027,Project_FCF!C18:J18)+Project_FCF!B18</f>
        <v>1056.2442637730712</v>
      </c>
      <c r="D1027" s="4"/>
      <c r="E1027" s="4"/>
    </row>
    <row r="1028" spans="1:5" x14ac:dyDescent="0.3">
      <c r="A1028" s="9">
        <v>1020</v>
      </c>
      <c r="B1028" s="10">
        <f t="shared" ca="1" si="15"/>
        <v>8.0264635244762364E-2</v>
      </c>
      <c r="C1028" s="10">
        <f ca="1">NPV(B1028,Project_FCF!C18:J18)+Project_FCF!B18</f>
        <v>936.12104788906754</v>
      </c>
      <c r="D1028" s="4"/>
      <c r="E1028" s="4"/>
    </row>
    <row r="1029" spans="1:5" x14ac:dyDescent="0.3">
      <c r="A1029" s="9">
        <v>1021</v>
      </c>
      <c r="B1029" s="10">
        <f t="shared" ca="1" si="15"/>
        <v>7.1756314944847049E-2</v>
      </c>
      <c r="C1029" s="10">
        <f ca="1">NPV(B1029,Project_FCF!C18:J18)+Project_FCF!B18</f>
        <v>1010.0498946965408</v>
      </c>
      <c r="D1029" s="4"/>
      <c r="E1029" s="4"/>
    </row>
    <row r="1030" spans="1:5" x14ac:dyDescent="0.3">
      <c r="A1030" s="9">
        <v>1022</v>
      </c>
      <c r="B1030" s="10">
        <f t="shared" ca="1" si="15"/>
        <v>0.10240756272315132</v>
      </c>
      <c r="C1030" s="10">
        <f ca="1">NPV(B1030,Project_FCF!C18:J18)+Project_FCF!B18</f>
        <v>765.48138222098987</v>
      </c>
      <c r="D1030" s="4"/>
      <c r="E1030" s="4"/>
    </row>
    <row r="1031" spans="1:5" x14ac:dyDescent="0.3">
      <c r="A1031" s="9">
        <v>1023</v>
      </c>
      <c r="B1031" s="10">
        <f t="shared" ca="1" si="15"/>
        <v>8.1742991113865543E-2</v>
      </c>
      <c r="C1031" s="10">
        <f ca="1">NPV(B1031,Project_FCF!C18:J18)+Project_FCF!B18</f>
        <v>923.77846838491564</v>
      </c>
      <c r="D1031" s="4"/>
      <c r="E1031" s="4"/>
    </row>
    <row r="1032" spans="1:5" x14ac:dyDescent="0.3">
      <c r="A1032" s="9">
        <v>1024</v>
      </c>
      <c r="B1032" s="10">
        <f t="shared" ca="1" si="15"/>
        <v>8.3894442595892182E-2</v>
      </c>
      <c r="C1032" s="10">
        <f ca="1">NPV(B1032,Project_FCF!C18:J18)+Project_FCF!B18</f>
        <v>906.07270719517919</v>
      </c>
      <c r="D1032" s="4"/>
      <c r="E1032" s="4"/>
    </row>
    <row r="1033" spans="1:5" x14ac:dyDescent="0.3">
      <c r="A1033" s="9">
        <v>1025</v>
      </c>
      <c r="B1033" s="10">
        <f t="shared" ref="B1033:B1096" ca="1" si="16">$B$4+RAND()*($B$5-$B$4)</f>
        <v>8.5352649298081132E-2</v>
      </c>
      <c r="C1033" s="10">
        <f ca="1">NPV(B1033,Project_FCF!C18:J18)+Project_FCF!B18</f>
        <v>894.24232586826201</v>
      </c>
      <c r="D1033" s="4"/>
      <c r="E1033" s="4"/>
    </row>
    <row r="1034" spans="1:5" x14ac:dyDescent="0.3">
      <c r="A1034" s="9">
        <v>1026</v>
      </c>
      <c r="B1034" s="10">
        <f t="shared" ca="1" si="16"/>
        <v>7.4547681035651639E-2</v>
      </c>
      <c r="C1034" s="10">
        <f ca="1">NPV(B1034,Project_FCF!C18:J18)+Project_FCF!B18</f>
        <v>985.24026071361823</v>
      </c>
      <c r="D1034" s="4"/>
      <c r="E1034" s="4"/>
    </row>
    <row r="1035" spans="1:5" x14ac:dyDescent="0.3">
      <c r="A1035" s="9">
        <v>1027</v>
      </c>
      <c r="B1035" s="10">
        <f t="shared" ca="1" si="16"/>
        <v>8.7146130371719685E-2</v>
      </c>
      <c r="C1035" s="10">
        <f ca="1">NPV(B1035,Project_FCF!C18:J18)+Project_FCF!B18</f>
        <v>879.87741443589539</v>
      </c>
      <c r="D1035" s="4"/>
      <c r="E1035" s="4"/>
    </row>
    <row r="1036" spans="1:5" x14ac:dyDescent="0.3">
      <c r="A1036" s="9">
        <v>1028</v>
      </c>
      <c r="B1036" s="10">
        <f t="shared" ca="1" si="16"/>
        <v>8.020208170187404E-2</v>
      </c>
      <c r="C1036" s="10">
        <f ca="1">NPV(B1036,Project_FCF!C18:J18)+Project_FCF!B18</f>
        <v>936.64649828736196</v>
      </c>
      <c r="D1036" s="4"/>
      <c r="E1036" s="4"/>
    </row>
    <row r="1037" spans="1:5" x14ac:dyDescent="0.3">
      <c r="A1037" s="9">
        <v>1029</v>
      </c>
      <c r="B1037" s="10">
        <f t="shared" ca="1" si="16"/>
        <v>0.10337566111711423</v>
      </c>
      <c r="C1037" s="10">
        <f ca="1">NPV(B1037,Project_FCF!C18:J18)+Project_FCF!B18</f>
        <v>758.67338767211709</v>
      </c>
      <c r="D1037" s="4"/>
      <c r="E1037" s="4"/>
    </row>
    <row r="1038" spans="1:5" x14ac:dyDescent="0.3">
      <c r="A1038" s="9">
        <v>1030</v>
      </c>
      <c r="B1038" s="10">
        <f t="shared" ca="1" si="16"/>
        <v>8.0744720456750393E-2</v>
      </c>
      <c r="C1038" s="10">
        <f ca="1">NPV(B1038,Project_FCF!C18:J18)+Project_FCF!B18</f>
        <v>932.09700161780665</v>
      </c>
      <c r="D1038" s="4"/>
      <c r="E1038" s="4"/>
    </row>
    <row r="1039" spans="1:5" x14ac:dyDescent="0.3">
      <c r="A1039" s="9">
        <v>1031</v>
      </c>
      <c r="B1039" s="10">
        <f t="shared" ca="1" si="16"/>
        <v>8.3861368354264609E-2</v>
      </c>
      <c r="C1039" s="10">
        <f ca="1">NPV(B1039,Project_FCF!C18:J18)+Project_FCF!B18</f>
        <v>906.34262209018561</v>
      </c>
      <c r="D1039" s="4"/>
      <c r="E1039" s="4"/>
    </row>
    <row r="1040" spans="1:5" x14ac:dyDescent="0.3">
      <c r="A1040" s="9">
        <v>1032</v>
      </c>
      <c r="B1040" s="10">
        <f t="shared" ca="1" si="16"/>
        <v>7.7863034336303968E-2</v>
      </c>
      <c r="C1040" s="10">
        <f ca="1">NPV(B1040,Project_FCF!C18:J18)+Project_FCF!B18</f>
        <v>956.48319908057124</v>
      </c>
      <c r="D1040" s="4"/>
      <c r="E1040" s="4"/>
    </row>
    <row r="1041" spans="1:5" x14ac:dyDescent="0.3">
      <c r="A1041" s="9">
        <v>1033</v>
      </c>
      <c r="B1041" s="10">
        <f t="shared" ca="1" si="16"/>
        <v>0.10236196712590864</v>
      </c>
      <c r="C1041" s="10">
        <f ca="1">NPV(B1041,Project_FCF!C18:J18)+Project_FCF!B18</f>
        <v>765.8032869220367</v>
      </c>
      <c r="D1041" s="4"/>
      <c r="E1041" s="4"/>
    </row>
    <row r="1042" spans="1:5" x14ac:dyDescent="0.3">
      <c r="A1042" s="9">
        <v>1034</v>
      </c>
      <c r="B1042" s="10">
        <f t="shared" ca="1" si="16"/>
        <v>6.542026889158023E-2</v>
      </c>
      <c r="C1042" s="10">
        <f ca="1">NPV(B1042,Project_FCF!C18:J18)+Project_FCF!B18</f>
        <v>1068.4701879903116</v>
      </c>
      <c r="D1042" s="4"/>
      <c r="E1042" s="4"/>
    </row>
    <row r="1043" spans="1:5" x14ac:dyDescent="0.3">
      <c r="A1043" s="9">
        <v>1035</v>
      </c>
      <c r="B1043" s="10">
        <f t="shared" ca="1" si="16"/>
        <v>7.3376280314955605E-2</v>
      </c>
      <c r="C1043" s="10">
        <f ca="1">NPV(B1043,Project_FCF!C18:J18)+Project_FCF!B18</f>
        <v>995.58422684334028</v>
      </c>
      <c r="D1043" s="4"/>
      <c r="E1043" s="4"/>
    </row>
    <row r="1044" spans="1:5" x14ac:dyDescent="0.3">
      <c r="A1044" s="9">
        <v>1036</v>
      </c>
      <c r="B1044" s="10">
        <f t="shared" ca="1" si="16"/>
        <v>7.5395923296833714E-2</v>
      </c>
      <c r="C1044" s="10">
        <f ca="1">NPV(B1044,Project_FCF!C18:J18)+Project_FCF!B18</f>
        <v>977.81012956060158</v>
      </c>
      <c r="D1044" s="4"/>
      <c r="E1044" s="4"/>
    </row>
    <row r="1045" spans="1:5" x14ac:dyDescent="0.3">
      <c r="A1045" s="9">
        <v>1037</v>
      </c>
      <c r="B1045" s="10">
        <f t="shared" ca="1" si="16"/>
        <v>9.4899647835514883E-2</v>
      </c>
      <c r="C1045" s="10">
        <f ca="1">NPV(B1045,Project_FCF!C18:J18)+Project_FCF!B18</f>
        <v>820.05473914879985</v>
      </c>
      <c r="D1045" s="4"/>
      <c r="E1045" s="4"/>
    </row>
    <row r="1046" spans="1:5" x14ac:dyDescent="0.3">
      <c r="A1046" s="9">
        <v>1038</v>
      </c>
      <c r="B1046" s="10">
        <f t="shared" ca="1" si="16"/>
        <v>0.10289271293976238</v>
      </c>
      <c r="C1046" s="10">
        <f ca="1">NPV(B1046,Project_FCF!C18:J18)+Project_FCF!B18</f>
        <v>762.06325942303602</v>
      </c>
      <c r="D1046" s="4"/>
      <c r="E1046" s="4"/>
    </row>
    <row r="1047" spans="1:5" x14ac:dyDescent="0.3">
      <c r="A1047" s="9">
        <v>1039</v>
      </c>
      <c r="B1047" s="10">
        <f t="shared" ca="1" si="16"/>
        <v>8.4215164817730115E-2</v>
      </c>
      <c r="C1047" s="10">
        <f ca="1">NPV(B1047,Project_FCF!C18:J18)+Project_FCF!B18</f>
        <v>903.4589899670143</v>
      </c>
      <c r="D1047" s="4"/>
      <c r="E1047" s="4"/>
    </row>
    <row r="1048" spans="1:5" x14ac:dyDescent="0.3">
      <c r="A1048" s="9">
        <v>1040</v>
      </c>
      <c r="B1048" s="10">
        <f t="shared" ca="1" si="16"/>
        <v>7.8037620190840748E-2</v>
      </c>
      <c r="C1048" s="10">
        <f ca="1">NPV(B1048,Project_FCF!C18:J18)+Project_FCF!B18</f>
        <v>954.9898153656361</v>
      </c>
      <c r="D1048" s="4"/>
      <c r="E1048" s="4"/>
    </row>
    <row r="1049" spans="1:5" x14ac:dyDescent="0.3">
      <c r="A1049" s="9">
        <v>1041</v>
      </c>
      <c r="B1049" s="10">
        <f t="shared" ca="1" si="16"/>
        <v>8.4460649951677499E-2</v>
      </c>
      <c r="C1049" s="10">
        <f ca="1">NPV(B1049,Project_FCF!C18:J18)+Project_FCF!B18</f>
        <v>901.46288836386384</v>
      </c>
      <c r="D1049" s="4"/>
      <c r="E1049" s="4"/>
    </row>
    <row r="1050" spans="1:5" x14ac:dyDescent="0.3">
      <c r="A1050" s="9">
        <v>1042</v>
      </c>
      <c r="B1050" s="10">
        <f t="shared" ca="1" si="16"/>
        <v>0.10330644715376966</v>
      </c>
      <c r="C1050" s="10">
        <f ca="1">NPV(B1050,Project_FCF!C18:J18)+Project_FCF!B18</f>
        <v>759.15843082845663</v>
      </c>
      <c r="D1050" s="4"/>
      <c r="E1050" s="4"/>
    </row>
    <row r="1051" spans="1:5" x14ac:dyDescent="0.3">
      <c r="A1051" s="9">
        <v>1043</v>
      </c>
      <c r="B1051" s="10">
        <f t="shared" ca="1" si="16"/>
        <v>0.10162718551356116</v>
      </c>
      <c r="C1051" s="10">
        <f ca="1">NPV(B1051,Project_FCF!C18:J18)+Project_FCF!B18</f>
        <v>771.0065673184215</v>
      </c>
      <c r="D1051" s="4"/>
      <c r="E1051" s="4"/>
    </row>
    <row r="1052" spans="1:5" x14ac:dyDescent="0.3">
      <c r="A1052" s="9">
        <v>1044</v>
      </c>
      <c r="B1052" s="10">
        <f t="shared" ca="1" si="16"/>
        <v>9.3996171946985424E-2</v>
      </c>
      <c r="C1052" s="10">
        <f ca="1">NPV(B1052,Project_FCF!C18:J18)+Project_FCF!B18</f>
        <v>826.83984896379047</v>
      </c>
      <c r="D1052" s="4"/>
      <c r="E1052" s="4"/>
    </row>
    <row r="1053" spans="1:5" x14ac:dyDescent="0.3">
      <c r="A1053" s="9">
        <v>1045</v>
      </c>
      <c r="B1053" s="10">
        <f t="shared" ca="1" si="16"/>
        <v>7.7846935338140855E-2</v>
      </c>
      <c r="C1053" s="10">
        <f ca="1">NPV(B1053,Project_FCF!C18:J18)+Project_FCF!B18</f>
        <v>956.62101226881214</v>
      </c>
      <c r="D1053" s="4"/>
      <c r="E1053" s="4"/>
    </row>
    <row r="1054" spans="1:5" x14ac:dyDescent="0.3">
      <c r="A1054" s="9">
        <v>1046</v>
      </c>
      <c r="B1054" s="10">
        <f t="shared" ca="1" si="16"/>
        <v>8.346010242165347E-2</v>
      </c>
      <c r="C1054" s="10">
        <f ca="1">NPV(B1054,Project_FCF!C18:J18)+Project_FCF!B18</f>
        <v>909.62293641389556</v>
      </c>
      <c r="D1054" s="4"/>
      <c r="E1054" s="4"/>
    </row>
    <row r="1055" spans="1:5" x14ac:dyDescent="0.3">
      <c r="A1055" s="9">
        <v>1047</v>
      </c>
      <c r="B1055" s="10">
        <f t="shared" ca="1" si="16"/>
        <v>0.10114855861162778</v>
      </c>
      <c r="C1055" s="10">
        <f ca="1">NPV(B1055,Project_FCF!C18:J18)+Project_FCF!B18</f>
        <v>774.41190129555616</v>
      </c>
      <c r="D1055" s="4"/>
      <c r="E1055" s="4"/>
    </row>
    <row r="1056" spans="1:5" x14ac:dyDescent="0.3">
      <c r="A1056" s="9">
        <v>1048</v>
      </c>
      <c r="B1056" s="10">
        <f t="shared" ca="1" si="16"/>
        <v>8.4063144451002839E-2</v>
      </c>
      <c r="C1056" s="10">
        <f ca="1">NPV(B1056,Project_FCF!C18:J18)+Project_FCF!B18</f>
        <v>904.69704961349134</v>
      </c>
      <c r="D1056" s="4"/>
      <c r="E1056" s="4"/>
    </row>
    <row r="1057" spans="1:5" x14ac:dyDescent="0.3">
      <c r="A1057" s="9">
        <v>1049</v>
      </c>
      <c r="B1057" s="10">
        <f t="shared" ca="1" si="16"/>
        <v>9.6303993509639294E-2</v>
      </c>
      <c r="C1057" s="10">
        <f ca="1">NPV(B1057,Project_FCF!C18:J18)+Project_FCF!B18</f>
        <v>809.60272390671935</v>
      </c>
      <c r="D1057" s="4"/>
      <c r="E1057" s="4"/>
    </row>
    <row r="1058" spans="1:5" x14ac:dyDescent="0.3">
      <c r="A1058" s="9">
        <v>1050</v>
      </c>
      <c r="B1058" s="10">
        <f t="shared" ca="1" si="16"/>
        <v>0.10224227790758858</v>
      </c>
      <c r="C1058" s="10">
        <f ca="1">NPV(B1058,Project_FCF!C18:J18)+Project_FCF!B18</f>
        <v>766.64883379903381</v>
      </c>
      <c r="D1058" s="4"/>
      <c r="E1058" s="4"/>
    </row>
    <row r="1059" spans="1:5" x14ac:dyDescent="0.3">
      <c r="A1059" s="9">
        <v>1051</v>
      </c>
      <c r="B1059" s="10">
        <f t="shared" ca="1" si="16"/>
        <v>9.8330085950407237E-2</v>
      </c>
      <c r="C1059" s="10">
        <f ca="1">NPV(B1059,Project_FCF!C18:J18)+Project_FCF!B18</f>
        <v>794.72363183847301</v>
      </c>
      <c r="D1059" s="4"/>
      <c r="E1059" s="4"/>
    </row>
    <row r="1060" spans="1:5" x14ac:dyDescent="0.3">
      <c r="A1060" s="9">
        <v>1052</v>
      </c>
      <c r="B1060" s="10">
        <f t="shared" ca="1" si="16"/>
        <v>7.2913493586925338E-2</v>
      </c>
      <c r="C1060" s="10">
        <f ca="1">NPV(B1060,Project_FCF!C18:J18)+Project_FCF!B18</f>
        <v>999.6976102302483</v>
      </c>
      <c r="D1060" s="4"/>
      <c r="E1060" s="4"/>
    </row>
    <row r="1061" spans="1:5" x14ac:dyDescent="0.3">
      <c r="A1061" s="9">
        <v>1053</v>
      </c>
      <c r="B1061" s="10">
        <f t="shared" ca="1" si="16"/>
        <v>8.487394710971724E-2</v>
      </c>
      <c r="C1061" s="10">
        <f ca="1">NPV(B1061,Project_FCF!C18:J18)+Project_FCF!B18</f>
        <v>898.11100108056803</v>
      </c>
      <c r="D1061" s="4"/>
      <c r="E1061" s="4"/>
    </row>
    <row r="1062" spans="1:5" x14ac:dyDescent="0.3">
      <c r="A1062" s="9">
        <v>1054</v>
      </c>
      <c r="B1062" s="10">
        <f t="shared" ca="1" si="16"/>
        <v>9.567907330252659E-2</v>
      </c>
      <c r="C1062" s="10">
        <f ca="1">NPV(B1062,Project_FCF!C18:J18)+Project_FCF!B18</f>
        <v>814.23961850108049</v>
      </c>
      <c r="D1062" s="4"/>
      <c r="E1062" s="4"/>
    </row>
    <row r="1063" spans="1:5" x14ac:dyDescent="0.3">
      <c r="A1063" s="9">
        <v>1055</v>
      </c>
      <c r="B1063" s="10">
        <f t="shared" ca="1" si="16"/>
        <v>9.4174852431846284E-2</v>
      </c>
      <c r="C1063" s="10">
        <f ca="1">NPV(B1063,Project_FCF!C18:J18)+Project_FCF!B18</f>
        <v>825.49415209940207</v>
      </c>
      <c r="D1063" s="4"/>
      <c r="E1063" s="4"/>
    </row>
    <row r="1064" spans="1:5" x14ac:dyDescent="0.3">
      <c r="A1064" s="9">
        <v>1056</v>
      </c>
      <c r="B1064" s="10">
        <f t="shared" ca="1" si="16"/>
        <v>8.7796907374303054E-2</v>
      </c>
      <c r="C1064" s="10">
        <f ca="1">NPV(B1064,Project_FCF!C18:J18)+Project_FCF!B18</f>
        <v>874.71502616430257</v>
      </c>
      <c r="D1064" s="4"/>
      <c r="E1064" s="4"/>
    </row>
    <row r="1065" spans="1:5" x14ac:dyDescent="0.3">
      <c r="A1065" s="9">
        <v>1057</v>
      </c>
      <c r="B1065" s="10">
        <f t="shared" ca="1" si="16"/>
        <v>7.4443761572356354E-2</v>
      </c>
      <c r="C1065" s="10">
        <f ca="1">NPV(B1065,Project_FCF!C18:J18)+Project_FCF!B18</f>
        <v>986.15400379400671</v>
      </c>
      <c r="D1065" s="4"/>
      <c r="E1065" s="4"/>
    </row>
    <row r="1066" spans="1:5" x14ac:dyDescent="0.3">
      <c r="A1066" s="9">
        <v>1058</v>
      </c>
      <c r="B1066" s="10">
        <f t="shared" ca="1" si="16"/>
        <v>6.5075177189525157E-2</v>
      </c>
      <c r="C1066" s="10">
        <f ca="1">NPV(B1066,Project_FCF!C18:J18)+Project_FCF!B18</f>
        <v>1071.7384339503512</v>
      </c>
      <c r="D1066" s="4"/>
      <c r="E1066" s="4"/>
    </row>
    <row r="1067" spans="1:5" x14ac:dyDescent="0.3">
      <c r="A1067" s="9">
        <v>1059</v>
      </c>
      <c r="B1067" s="10">
        <f t="shared" ca="1" si="16"/>
        <v>0.10113997636239967</v>
      </c>
      <c r="C1067" s="10">
        <f ca="1">NPV(B1067,Project_FCF!C18:J18)+Project_FCF!B18</f>
        <v>774.47307778435447</v>
      </c>
      <c r="D1067" s="4"/>
      <c r="E1067" s="4"/>
    </row>
    <row r="1068" spans="1:5" x14ac:dyDescent="0.3">
      <c r="A1068" s="9">
        <v>1060</v>
      </c>
      <c r="B1068" s="10">
        <f t="shared" ca="1" si="16"/>
        <v>7.3182056052283187E-2</v>
      </c>
      <c r="C1068" s="10">
        <f ca="1">NPV(B1068,Project_FCF!C18:J18)+Project_FCF!B18</f>
        <v>997.3086940399246</v>
      </c>
      <c r="D1068" s="4"/>
      <c r="E1068" s="4"/>
    </row>
    <row r="1069" spans="1:5" x14ac:dyDescent="0.3">
      <c r="A1069" s="9">
        <v>1061</v>
      </c>
      <c r="B1069" s="10">
        <f t="shared" ca="1" si="16"/>
        <v>8.0195299968282452E-2</v>
      </c>
      <c r="C1069" s="10">
        <f ca="1">NPV(B1069,Project_FCF!C18:J18)+Project_FCF!B18</f>
        <v>936.70348060149308</v>
      </c>
      <c r="D1069" s="4"/>
      <c r="E1069" s="4"/>
    </row>
    <row r="1070" spans="1:5" x14ac:dyDescent="0.3">
      <c r="A1070" s="9">
        <v>1062</v>
      </c>
      <c r="B1070" s="10">
        <f t="shared" ca="1" si="16"/>
        <v>9.9243145566658475E-2</v>
      </c>
      <c r="C1070" s="10">
        <f ca="1">NPV(B1070,Project_FCF!C18:J18)+Project_FCF!B18</f>
        <v>788.09473033122208</v>
      </c>
      <c r="D1070" s="4"/>
      <c r="E1070" s="4"/>
    </row>
    <row r="1071" spans="1:5" x14ac:dyDescent="0.3">
      <c r="A1071" s="9">
        <v>1063</v>
      </c>
      <c r="B1071" s="10">
        <f t="shared" ca="1" si="16"/>
        <v>8.833212406233501E-2</v>
      </c>
      <c r="C1071" s="10">
        <f ca="1">NPV(B1071,Project_FCF!C18:J18)+Project_FCF!B18</f>
        <v>870.48912105717227</v>
      </c>
      <c r="D1071" s="4"/>
      <c r="E1071" s="4"/>
    </row>
    <row r="1072" spans="1:5" x14ac:dyDescent="0.3">
      <c r="A1072" s="9">
        <v>1064</v>
      </c>
      <c r="B1072" s="10">
        <f t="shared" ca="1" si="16"/>
        <v>6.8211653288320531E-2</v>
      </c>
      <c r="C1072" s="10">
        <f ca="1">NPV(B1072,Project_FCF!C18:J18)+Project_FCF!B18</f>
        <v>1042.3655413994495</v>
      </c>
      <c r="D1072" s="4"/>
      <c r="E1072" s="4"/>
    </row>
    <row r="1073" spans="1:5" x14ac:dyDescent="0.3">
      <c r="A1073" s="9">
        <v>1065</v>
      </c>
      <c r="B1073" s="10">
        <f t="shared" ca="1" si="16"/>
        <v>0.10051205374778524</v>
      </c>
      <c r="C1073" s="10">
        <f ca="1">NPV(B1073,Project_FCF!C18:J18)+Project_FCF!B18</f>
        <v>778.96015019872561</v>
      </c>
      <c r="D1073" s="4"/>
      <c r="E1073" s="4"/>
    </row>
    <row r="1074" spans="1:5" x14ac:dyDescent="0.3">
      <c r="A1074" s="9">
        <v>1066</v>
      </c>
      <c r="B1074" s="10">
        <f t="shared" ca="1" si="16"/>
        <v>8.8981512608853966E-2</v>
      </c>
      <c r="C1074" s="10">
        <f ca="1">NPV(B1074,Project_FCF!C18:J18)+Project_FCF!B18</f>
        <v>865.38559461353043</v>
      </c>
      <c r="D1074" s="4"/>
      <c r="E1074" s="4"/>
    </row>
    <row r="1075" spans="1:5" x14ac:dyDescent="0.3">
      <c r="A1075" s="9">
        <v>1067</v>
      </c>
      <c r="B1075" s="10">
        <f t="shared" ca="1" si="16"/>
        <v>7.3303592985813321E-2</v>
      </c>
      <c r="C1075" s="10">
        <f ca="1">NPV(B1075,Project_FCF!C18:J18)+Project_FCF!B18</f>
        <v>996.22928517108789</v>
      </c>
      <c r="D1075" s="4"/>
      <c r="E1075" s="4"/>
    </row>
    <row r="1076" spans="1:5" x14ac:dyDescent="0.3">
      <c r="A1076" s="9">
        <v>1068</v>
      </c>
      <c r="B1076" s="10">
        <f t="shared" ca="1" si="16"/>
        <v>9.5372427222345013E-2</v>
      </c>
      <c r="C1076" s="10">
        <f ca="1">NPV(B1076,Project_FCF!C18:J18)+Project_FCF!B18</f>
        <v>816.5232133929519</v>
      </c>
      <c r="D1076" s="4"/>
      <c r="E1076" s="4"/>
    </row>
    <row r="1077" spans="1:5" x14ac:dyDescent="0.3">
      <c r="A1077" s="9">
        <v>1069</v>
      </c>
      <c r="B1077" s="10">
        <f t="shared" ca="1" si="16"/>
        <v>7.1581228764770008E-2</v>
      </c>
      <c r="C1077" s="10">
        <f ca="1">NPV(B1077,Project_FCF!C18:J18)+Project_FCF!B18</f>
        <v>1011.6246159592276</v>
      </c>
      <c r="D1077" s="4"/>
      <c r="E1077" s="4"/>
    </row>
    <row r="1078" spans="1:5" x14ac:dyDescent="0.3">
      <c r="A1078" s="9">
        <v>1070</v>
      </c>
      <c r="B1078" s="10">
        <f t="shared" ca="1" si="16"/>
        <v>8.6582104329196719E-2</v>
      </c>
      <c r="C1078" s="10">
        <f ca="1">NPV(B1078,Project_FCF!C18:J18)+Project_FCF!B18</f>
        <v>884.37310395249233</v>
      </c>
      <c r="D1078" s="4"/>
      <c r="E1078" s="4"/>
    </row>
    <row r="1079" spans="1:5" x14ac:dyDescent="0.3">
      <c r="A1079" s="9">
        <v>1071</v>
      </c>
      <c r="B1079" s="10">
        <f t="shared" ca="1" si="16"/>
        <v>9.4013146579018061E-2</v>
      </c>
      <c r="C1079" s="10">
        <f ca="1">NPV(B1079,Project_FCF!C18:J18)+Project_FCF!B18</f>
        <v>826.711927002528</v>
      </c>
      <c r="D1079" s="4"/>
      <c r="E1079" s="4"/>
    </row>
    <row r="1080" spans="1:5" x14ac:dyDescent="0.3">
      <c r="A1080" s="9">
        <v>1072</v>
      </c>
      <c r="B1080" s="10">
        <f t="shared" ca="1" si="16"/>
        <v>7.2799195788709539E-2</v>
      </c>
      <c r="C1080" s="10">
        <f ca="1">NPV(B1080,Project_FCF!C18:J18)+Project_FCF!B18</f>
        <v>1000.7158704159974</v>
      </c>
      <c r="D1080" s="4"/>
      <c r="E1080" s="4"/>
    </row>
    <row r="1081" spans="1:5" x14ac:dyDescent="0.3">
      <c r="A1081" s="9">
        <v>1073</v>
      </c>
      <c r="B1081" s="10">
        <f t="shared" ca="1" si="16"/>
        <v>0.10008274778249243</v>
      </c>
      <c r="C1081" s="10">
        <f ca="1">NPV(B1081,Project_FCF!C18:J18)+Project_FCF!B18</f>
        <v>782.04054753925288</v>
      </c>
      <c r="D1081" s="4"/>
      <c r="E1081" s="4"/>
    </row>
    <row r="1082" spans="1:5" x14ac:dyDescent="0.3">
      <c r="A1082" s="9">
        <v>1074</v>
      </c>
      <c r="B1082" s="10">
        <f t="shared" ca="1" si="16"/>
        <v>9.4464585869246609E-2</v>
      </c>
      <c r="C1082" s="10">
        <f ca="1">NPV(B1082,Project_FCF!C18:J18)+Project_FCF!B18</f>
        <v>823.31607462824923</v>
      </c>
      <c r="D1082" s="4"/>
      <c r="E1082" s="4"/>
    </row>
    <row r="1083" spans="1:5" x14ac:dyDescent="0.3">
      <c r="A1083" s="9">
        <v>1075</v>
      </c>
      <c r="B1083" s="10">
        <f t="shared" ca="1" si="16"/>
        <v>6.9743095850499759E-2</v>
      </c>
      <c r="C1083" s="10">
        <f ca="1">NPV(B1083,Project_FCF!C18:J18)+Project_FCF!B18</f>
        <v>1028.290900544278</v>
      </c>
      <c r="D1083" s="4"/>
      <c r="E1083" s="4"/>
    </row>
    <row r="1084" spans="1:5" x14ac:dyDescent="0.3">
      <c r="A1084" s="9">
        <v>1076</v>
      </c>
      <c r="B1084" s="10">
        <f t="shared" ca="1" si="16"/>
        <v>8.8217906064502596E-2</v>
      </c>
      <c r="C1084" s="10">
        <f ca="1">NPV(B1084,Project_FCF!C18:J18)+Project_FCF!B18</f>
        <v>871.38945711083738</v>
      </c>
      <c r="D1084" s="4"/>
      <c r="E1084" s="4"/>
    </row>
    <row r="1085" spans="1:5" x14ac:dyDescent="0.3">
      <c r="A1085" s="9">
        <v>1077</v>
      </c>
      <c r="B1085" s="10">
        <f t="shared" ca="1" si="16"/>
        <v>6.9571279564133989E-2</v>
      </c>
      <c r="C1085" s="10">
        <f ca="1">NPV(B1085,Project_FCF!C18:J18)+Project_FCF!B18</f>
        <v>1029.8613557571284</v>
      </c>
      <c r="D1085" s="4"/>
      <c r="E1085" s="4"/>
    </row>
    <row r="1086" spans="1:5" x14ac:dyDescent="0.3">
      <c r="A1086" s="9">
        <v>1078</v>
      </c>
      <c r="B1086" s="10">
        <f t="shared" ca="1" si="16"/>
        <v>0.10039561784877432</v>
      </c>
      <c r="C1086" s="10">
        <f ca="1">NPV(B1086,Project_FCF!C18:J18)+Project_FCF!B18</f>
        <v>779.79459711048708</v>
      </c>
      <c r="D1086" s="4"/>
      <c r="E1086" s="4"/>
    </row>
    <row r="1087" spans="1:5" x14ac:dyDescent="0.3">
      <c r="A1087" s="9">
        <v>1079</v>
      </c>
      <c r="B1087" s="10">
        <f t="shared" ca="1" si="16"/>
        <v>6.8603608442604921E-2</v>
      </c>
      <c r="C1087" s="10">
        <f ca="1">NPV(B1087,Project_FCF!C18:J18)+Project_FCF!B18</f>
        <v>1038.7467825916729</v>
      </c>
      <c r="D1087" s="4"/>
      <c r="E1087" s="4"/>
    </row>
    <row r="1088" spans="1:5" x14ac:dyDescent="0.3">
      <c r="A1088" s="9">
        <v>1080</v>
      </c>
      <c r="B1088" s="10">
        <f t="shared" ca="1" si="16"/>
        <v>8.2092961138659062E-2</v>
      </c>
      <c r="C1088" s="10">
        <f ca="1">NPV(B1088,Project_FCF!C18:J18)+Project_FCF!B18</f>
        <v>920.87774070565024</v>
      </c>
      <c r="D1088" s="4"/>
      <c r="E1088" s="4"/>
    </row>
    <row r="1089" spans="1:5" x14ac:dyDescent="0.3">
      <c r="A1089" s="9">
        <v>1081</v>
      </c>
      <c r="B1089" s="10">
        <f t="shared" ca="1" si="16"/>
        <v>7.434755274358254E-2</v>
      </c>
      <c r="C1089" s="10">
        <f ca="1">NPV(B1089,Project_FCF!C18:J18)+Project_FCF!B18</f>
        <v>987.00062544581738</v>
      </c>
      <c r="D1089" s="4"/>
      <c r="E1089" s="4"/>
    </row>
    <row r="1090" spans="1:5" x14ac:dyDescent="0.3">
      <c r="A1090" s="9">
        <v>1082</v>
      </c>
      <c r="B1090" s="10">
        <f t="shared" ca="1" si="16"/>
        <v>6.4338621469368834E-2</v>
      </c>
      <c r="C1090" s="10">
        <f ca="1">NPV(B1090,Project_FCF!C18:J18)+Project_FCF!B18</f>
        <v>1078.7446358579739</v>
      </c>
      <c r="D1090" s="4"/>
      <c r="E1090" s="4"/>
    </row>
    <row r="1091" spans="1:5" x14ac:dyDescent="0.3">
      <c r="A1091" s="9">
        <v>1083</v>
      </c>
      <c r="B1091" s="10">
        <f t="shared" ca="1" si="16"/>
        <v>9.1066824590110076E-2</v>
      </c>
      <c r="C1091" s="10">
        <f ca="1">NPV(B1091,Project_FCF!C18:J18)+Project_FCF!B18</f>
        <v>849.17223329948274</v>
      </c>
      <c r="D1091" s="4"/>
      <c r="E1091" s="4"/>
    </row>
    <row r="1092" spans="1:5" x14ac:dyDescent="0.3">
      <c r="A1092" s="9">
        <v>1084</v>
      </c>
      <c r="B1092" s="10">
        <f t="shared" ca="1" si="16"/>
        <v>6.5056128184227499E-2</v>
      </c>
      <c r="C1092" s="10">
        <f ca="1">NPV(B1092,Project_FCF!C18:J18)+Project_FCF!B18</f>
        <v>1071.9191058526699</v>
      </c>
      <c r="D1092" s="4"/>
      <c r="E1092" s="4"/>
    </row>
    <row r="1093" spans="1:5" x14ac:dyDescent="0.3">
      <c r="A1093" s="9">
        <v>1085</v>
      </c>
      <c r="B1093" s="10">
        <f t="shared" ca="1" si="16"/>
        <v>7.1795255470192221E-2</v>
      </c>
      <c r="C1093" s="10">
        <f ca="1">NPV(B1093,Project_FCF!C18:J18)+Project_FCF!B18</f>
        <v>1009.6999647321234</v>
      </c>
      <c r="D1093" s="4"/>
      <c r="E1093" s="4"/>
    </row>
    <row r="1094" spans="1:5" x14ac:dyDescent="0.3">
      <c r="A1094" s="9">
        <v>1086</v>
      </c>
      <c r="B1094" s="10">
        <f t="shared" ca="1" si="16"/>
        <v>6.8138265817228177E-2</v>
      </c>
      <c r="C1094" s="10">
        <f ca="1">NPV(B1094,Project_FCF!C18:J18)+Project_FCF!B18</f>
        <v>1043.0443664084644</v>
      </c>
      <c r="D1094" s="4"/>
      <c r="E1094" s="4"/>
    </row>
    <row r="1095" spans="1:5" x14ac:dyDescent="0.3">
      <c r="A1095" s="9">
        <v>1087</v>
      </c>
      <c r="B1095" s="10">
        <f t="shared" ca="1" si="16"/>
        <v>8.6334011564098506E-2</v>
      </c>
      <c r="C1095" s="10">
        <f ca="1">NPV(B1095,Project_FCF!C18:J18)+Project_FCF!B18</f>
        <v>886.35692009114882</v>
      </c>
      <c r="D1095" s="4"/>
      <c r="E1095" s="4"/>
    </row>
    <row r="1096" spans="1:5" x14ac:dyDescent="0.3">
      <c r="A1096" s="9">
        <v>1088</v>
      </c>
      <c r="B1096" s="10">
        <f t="shared" ca="1" si="16"/>
        <v>0.10331491183405997</v>
      </c>
      <c r="C1096" s="10">
        <f ca="1">NPV(B1096,Project_FCF!C18:J18)+Project_FCF!B18</f>
        <v>759.09909740997409</v>
      </c>
      <c r="D1096" s="4"/>
      <c r="E1096" s="4"/>
    </row>
    <row r="1097" spans="1:5" x14ac:dyDescent="0.3">
      <c r="A1097" s="9">
        <v>1089</v>
      </c>
      <c r="B1097" s="10">
        <f t="shared" ref="B1097:B1160" ca="1" si="17">$B$4+RAND()*($B$5-$B$4)</f>
        <v>8.3668287704684818E-2</v>
      </c>
      <c r="C1097" s="10">
        <f ca="1">NPV(B1097,Project_FCF!C18:J18)+Project_FCF!B18</f>
        <v>907.9197400173307</v>
      </c>
      <c r="D1097" s="4"/>
      <c r="E1097" s="4"/>
    </row>
    <row r="1098" spans="1:5" x14ac:dyDescent="0.3">
      <c r="A1098" s="9">
        <v>1090</v>
      </c>
      <c r="B1098" s="10">
        <f t="shared" ca="1" si="17"/>
        <v>6.7534211943889283E-2</v>
      </c>
      <c r="C1098" s="10">
        <f ca="1">NPV(B1098,Project_FCF!C18:J18)+Project_FCF!B18</f>
        <v>1048.6470458315816</v>
      </c>
      <c r="D1098" s="4"/>
      <c r="E1098" s="4"/>
    </row>
    <row r="1099" spans="1:5" x14ac:dyDescent="0.3">
      <c r="A1099" s="9">
        <v>1091</v>
      </c>
      <c r="B1099" s="10">
        <f t="shared" ca="1" si="17"/>
        <v>9.8925095157575735E-2</v>
      </c>
      <c r="C1099" s="10">
        <f ca="1">NPV(B1099,Project_FCF!C18:J18)+Project_FCF!B18</f>
        <v>790.39846345583715</v>
      </c>
      <c r="D1099" s="4"/>
      <c r="E1099" s="4"/>
    </row>
    <row r="1100" spans="1:5" x14ac:dyDescent="0.3">
      <c r="A1100" s="9">
        <v>1092</v>
      </c>
      <c r="B1100" s="10">
        <f t="shared" ca="1" si="17"/>
        <v>0.10369110547510016</v>
      </c>
      <c r="C1100" s="10">
        <f ca="1">NPV(B1100,Project_FCF!C18:J18)+Project_FCF!B18</f>
        <v>756.46608042104958</v>
      </c>
      <c r="D1100" s="4"/>
      <c r="E1100" s="4"/>
    </row>
    <row r="1101" spans="1:5" x14ac:dyDescent="0.3">
      <c r="A1101" s="9">
        <v>1093</v>
      </c>
      <c r="B1101" s="10">
        <f t="shared" ca="1" si="17"/>
        <v>8.6602180319375166E-2</v>
      </c>
      <c r="C1101" s="10">
        <f ca="1">NPV(B1101,Project_FCF!C18:J18)+Project_FCF!B18</f>
        <v>884.21274064888212</v>
      </c>
      <c r="D1101" s="4"/>
      <c r="E1101" s="4"/>
    </row>
    <row r="1102" spans="1:5" x14ac:dyDescent="0.3">
      <c r="A1102" s="9">
        <v>1094</v>
      </c>
      <c r="B1102" s="10">
        <f t="shared" ca="1" si="17"/>
        <v>9.2804865285208982E-2</v>
      </c>
      <c r="C1102" s="10">
        <f ca="1">NPV(B1102,Project_FCF!C18:J18)+Project_FCF!B18</f>
        <v>835.86019432612875</v>
      </c>
      <c r="D1102" s="4"/>
      <c r="E1102" s="4"/>
    </row>
    <row r="1103" spans="1:5" x14ac:dyDescent="0.3">
      <c r="A1103" s="9">
        <v>1095</v>
      </c>
      <c r="B1103" s="10">
        <f t="shared" ca="1" si="17"/>
        <v>7.6359679556904855E-2</v>
      </c>
      <c r="C1103" s="10">
        <f ca="1">NPV(B1103,Project_FCF!C18:J18)+Project_FCF!B18</f>
        <v>969.4289828740707</v>
      </c>
      <c r="D1103" s="4"/>
      <c r="E1103" s="4"/>
    </row>
    <row r="1104" spans="1:5" x14ac:dyDescent="0.3">
      <c r="A1104" s="9">
        <v>1096</v>
      </c>
      <c r="B1104" s="10">
        <f t="shared" ca="1" si="17"/>
        <v>7.5350608209920886E-2</v>
      </c>
      <c r="C1104" s="10">
        <f ca="1">NPV(B1104,Project_FCF!C18:J18)+Project_FCF!B18</f>
        <v>978.2057934422055</v>
      </c>
      <c r="D1104" s="4"/>
      <c r="E1104" s="4"/>
    </row>
    <row r="1105" spans="1:5" x14ac:dyDescent="0.3">
      <c r="A1105" s="9">
        <v>1097</v>
      </c>
      <c r="B1105" s="10">
        <f t="shared" ca="1" si="17"/>
        <v>9.8780022282859717E-2</v>
      </c>
      <c r="C1105" s="10">
        <f ca="1">NPV(B1105,Project_FCF!C18:J18)+Project_FCF!B18</f>
        <v>791.45116382699575</v>
      </c>
      <c r="D1105" s="4"/>
      <c r="E1105" s="4"/>
    </row>
    <row r="1106" spans="1:5" x14ac:dyDescent="0.3">
      <c r="A1106" s="9">
        <v>1098</v>
      </c>
      <c r="B1106" s="10">
        <f t="shared" ca="1" si="17"/>
        <v>9.7943372856801797E-2</v>
      </c>
      <c r="C1106" s="10">
        <f ca="1">NPV(B1106,Project_FCF!C18:J18)+Project_FCF!B18</f>
        <v>797.54544097086864</v>
      </c>
      <c r="D1106" s="4"/>
      <c r="E1106" s="4"/>
    </row>
    <row r="1107" spans="1:5" x14ac:dyDescent="0.3">
      <c r="A1107" s="9">
        <v>1099</v>
      </c>
      <c r="B1107" s="10">
        <f t="shared" ca="1" si="17"/>
        <v>0.10221320754985323</v>
      </c>
      <c r="C1107" s="10">
        <f ca="1">NPV(B1107,Project_FCF!C18:J18)+Project_FCF!B18</f>
        <v>766.85432037504597</v>
      </c>
      <c r="D1107" s="4"/>
      <c r="E1107" s="4"/>
    </row>
    <row r="1108" spans="1:5" x14ac:dyDescent="0.3">
      <c r="A1108" s="9">
        <v>1100</v>
      </c>
      <c r="B1108" s="10">
        <f t="shared" ca="1" si="17"/>
        <v>0.10047837449124444</v>
      </c>
      <c r="C1108" s="10">
        <f ca="1">NPV(B1108,Project_FCF!C18:J18)+Project_FCF!B18</f>
        <v>779.20143763050214</v>
      </c>
      <c r="D1108" s="4"/>
      <c r="E1108" s="4"/>
    </row>
    <row r="1109" spans="1:5" x14ac:dyDescent="0.3">
      <c r="A1109" s="9">
        <v>1101</v>
      </c>
      <c r="B1109" s="10">
        <f t="shared" ca="1" si="17"/>
        <v>9.6027750600456679E-2</v>
      </c>
      <c r="C1109" s="10">
        <f ca="1">NPV(B1109,Project_FCF!C18:J18)+Project_FCF!B18</f>
        <v>811.64965141874814</v>
      </c>
      <c r="D1109" s="4"/>
      <c r="E1109" s="4"/>
    </row>
    <row r="1110" spans="1:5" x14ac:dyDescent="0.3">
      <c r="A1110" s="9">
        <v>1102</v>
      </c>
      <c r="B1110" s="10">
        <f t="shared" ca="1" si="17"/>
        <v>7.2595523642599247E-2</v>
      </c>
      <c r="C1110" s="10">
        <f ca="1">NPV(B1110,Project_FCF!C18:J18)+Project_FCF!B18</f>
        <v>1002.5326627357801</v>
      </c>
      <c r="D1110" s="4"/>
      <c r="E1110" s="4"/>
    </row>
    <row r="1111" spans="1:5" x14ac:dyDescent="0.3">
      <c r="A1111" s="9">
        <v>1103</v>
      </c>
      <c r="B1111" s="10">
        <f t="shared" ca="1" si="17"/>
        <v>7.0185510905902956E-2</v>
      </c>
      <c r="C1111" s="10">
        <f ca="1">NPV(B1111,Project_FCF!C18:J18)+Project_FCF!B18</f>
        <v>1024.2570463290249</v>
      </c>
      <c r="D1111" s="4"/>
      <c r="E1111" s="4"/>
    </row>
    <row r="1112" spans="1:5" x14ac:dyDescent="0.3">
      <c r="A1112" s="9">
        <v>1104</v>
      </c>
      <c r="B1112" s="10">
        <f t="shared" ca="1" si="17"/>
        <v>9.2182473801573586E-2</v>
      </c>
      <c r="C1112" s="10">
        <f ca="1">NPV(B1112,Project_FCF!C18:J18)+Project_FCF!B18</f>
        <v>840.60639637279155</v>
      </c>
      <c r="D1112" s="4"/>
      <c r="E1112" s="4"/>
    </row>
    <row r="1113" spans="1:5" x14ac:dyDescent="0.3">
      <c r="A1113" s="9">
        <v>1105</v>
      </c>
      <c r="B1113" s="10">
        <f t="shared" ca="1" si="17"/>
        <v>0.10046853482317659</v>
      </c>
      <c r="C1113" s="10">
        <f ca="1">NPV(B1113,Project_FCF!C18:J18)+Project_FCF!B18</f>
        <v>779.27194362730529</v>
      </c>
      <c r="D1113" s="4"/>
      <c r="E1113" s="4"/>
    </row>
    <row r="1114" spans="1:5" x14ac:dyDescent="0.3">
      <c r="A1114" s="9">
        <v>1106</v>
      </c>
      <c r="B1114" s="10">
        <f t="shared" ca="1" si="17"/>
        <v>7.3806273293148816E-2</v>
      </c>
      <c r="C1114" s="10">
        <f ca="1">NPV(B1114,Project_FCF!C18:J18)+Project_FCF!B18</f>
        <v>991.7759479145825</v>
      </c>
      <c r="D1114" s="4"/>
      <c r="E1114" s="4"/>
    </row>
    <row r="1115" spans="1:5" x14ac:dyDescent="0.3">
      <c r="A1115" s="9">
        <v>1107</v>
      </c>
      <c r="B1115" s="10">
        <f t="shared" ca="1" si="17"/>
        <v>9.6144447275437139E-2</v>
      </c>
      <c r="C1115" s="10">
        <f ca="1">NPV(B1115,Project_FCF!C18:J18)+Project_FCF!B18</f>
        <v>810.78440439920155</v>
      </c>
      <c r="D1115" s="4"/>
      <c r="E1115" s="4"/>
    </row>
    <row r="1116" spans="1:5" x14ac:dyDescent="0.3">
      <c r="A1116" s="9">
        <v>1108</v>
      </c>
      <c r="B1116" s="10">
        <f t="shared" ca="1" si="17"/>
        <v>6.5931888262453553E-2</v>
      </c>
      <c r="C1116" s="10">
        <f ca="1">NPV(B1116,Project_FCF!C18:J18)+Project_FCF!B18</f>
        <v>1063.641532010759</v>
      </c>
      <c r="D1116" s="4"/>
      <c r="E1116" s="4"/>
    </row>
    <row r="1117" spans="1:5" x14ac:dyDescent="0.3">
      <c r="A1117" s="9">
        <v>1109</v>
      </c>
      <c r="B1117" s="10">
        <f t="shared" ca="1" si="17"/>
        <v>8.1848609200099759E-2</v>
      </c>
      <c r="C1117" s="10">
        <f ca="1">NPV(B1117,Project_FCF!C18:J18)+Project_FCF!B18</f>
        <v>922.90220467729546</v>
      </c>
      <c r="D1117" s="4"/>
      <c r="E1117" s="4"/>
    </row>
    <row r="1118" spans="1:5" x14ac:dyDescent="0.3">
      <c r="A1118" s="9">
        <v>1110</v>
      </c>
      <c r="B1118" s="10">
        <f t="shared" ca="1" si="17"/>
        <v>7.1016113174296625E-2</v>
      </c>
      <c r="C1118" s="10">
        <f ca="1">NPV(B1118,Project_FCF!C18:J18)+Project_FCF!B18</f>
        <v>1016.7223592647854</v>
      </c>
      <c r="D1118" s="4"/>
      <c r="E1118" s="4"/>
    </row>
    <row r="1119" spans="1:5" x14ac:dyDescent="0.3">
      <c r="A1119" s="9">
        <v>1111</v>
      </c>
      <c r="B1119" s="10">
        <f t="shared" ca="1" si="17"/>
        <v>9.732182570303155E-2</v>
      </c>
      <c r="C1119" s="10">
        <f ca="1">NPV(B1119,Project_FCF!C18:J18)+Project_FCF!B18</f>
        <v>802.09866057489103</v>
      </c>
      <c r="D1119" s="4"/>
      <c r="E1119" s="4"/>
    </row>
    <row r="1120" spans="1:5" x14ac:dyDescent="0.3">
      <c r="A1120" s="9">
        <v>1112</v>
      </c>
      <c r="B1120" s="10">
        <f t="shared" ca="1" si="17"/>
        <v>9.5186659024323439E-2</v>
      </c>
      <c r="C1120" s="10">
        <f ca="1">NPV(B1120,Project_FCF!C18:J18)+Project_FCF!B18</f>
        <v>817.90929273694951</v>
      </c>
      <c r="D1120" s="4"/>
      <c r="E1120" s="4"/>
    </row>
    <row r="1121" spans="1:5" x14ac:dyDescent="0.3">
      <c r="A1121" s="9">
        <v>1113</v>
      </c>
      <c r="B1121" s="10">
        <f t="shared" ca="1" si="17"/>
        <v>8.6739694092718561E-2</v>
      </c>
      <c r="C1121" s="10">
        <f ca="1">NPV(B1121,Project_FCF!C18:J18)+Project_FCF!B18</f>
        <v>883.11498820676684</v>
      </c>
      <c r="D1121" s="4"/>
      <c r="E1121" s="4"/>
    </row>
    <row r="1122" spans="1:5" x14ac:dyDescent="0.3">
      <c r="A1122" s="9">
        <v>1114</v>
      </c>
      <c r="B1122" s="10">
        <f t="shared" ca="1" si="17"/>
        <v>9.7422127143518999E-2</v>
      </c>
      <c r="C1122" s="10">
        <f ca="1">NPV(B1122,Project_FCF!C18:J18)+Project_FCF!B18</f>
        <v>801.36239709286428</v>
      </c>
      <c r="D1122" s="4"/>
      <c r="E1122" s="4"/>
    </row>
    <row r="1123" spans="1:5" x14ac:dyDescent="0.3">
      <c r="A1123" s="9">
        <v>1115</v>
      </c>
      <c r="B1123" s="10">
        <f t="shared" ca="1" si="17"/>
        <v>8.026654976770968E-2</v>
      </c>
      <c r="C1123" s="10">
        <f ca="1">NPV(B1123,Project_FCF!C18:J18)+Project_FCF!B18</f>
        <v>936.10496999245129</v>
      </c>
      <c r="D1123" s="4"/>
      <c r="E1123" s="4"/>
    </row>
    <row r="1124" spans="1:5" x14ac:dyDescent="0.3">
      <c r="A1124" s="9">
        <v>1116</v>
      </c>
      <c r="B1124" s="10">
        <f t="shared" ca="1" si="17"/>
        <v>7.4522497395634726E-2</v>
      </c>
      <c r="C1124" s="10">
        <f ca="1">NPV(B1124,Project_FCF!C18:J18)+Project_FCF!B18</f>
        <v>985.46162578338681</v>
      </c>
      <c r="D1124" s="4"/>
      <c r="E1124" s="4"/>
    </row>
    <row r="1125" spans="1:5" x14ac:dyDescent="0.3">
      <c r="A1125" s="9">
        <v>1117</v>
      </c>
      <c r="B1125" s="10">
        <f t="shared" ca="1" si="17"/>
        <v>8.9507245510359726E-2</v>
      </c>
      <c r="C1125" s="10">
        <f ca="1">NPV(B1125,Project_FCF!C18:J18)+Project_FCF!B18</f>
        <v>861.27292627947213</v>
      </c>
      <c r="D1125" s="4"/>
      <c r="E1125" s="4"/>
    </row>
    <row r="1126" spans="1:5" x14ac:dyDescent="0.3">
      <c r="A1126" s="9">
        <v>1118</v>
      </c>
      <c r="B1126" s="10">
        <f t="shared" ca="1" si="17"/>
        <v>7.2208314369758775E-2</v>
      </c>
      <c r="C1126" s="10">
        <f ca="1">NPV(B1126,Project_FCF!C18:J18)+Project_FCF!B18</f>
        <v>1005.9948207794228</v>
      </c>
      <c r="D1126" s="4"/>
      <c r="E1126" s="4"/>
    </row>
    <row r="1127" spans="1:5" x14ac:dyDescent="0.3">
      <c r="A1127" s="9">
        <v>1119</v>
      </c>
      <c r="B1127" s="10">
        <f t="shared" ca="1" si="17"/>
        <v>9.9359377257494969E-2</v>
      </c>
      <c r="C1127" s="10">
        <f ca="1">NPV(B1127,Project_FCF!C18:J18)+Project_FCF!B18</f>
        <v>787.25425086156838</v>
      </c>
      <c r="D1127" s="4"/>
      <c r="E1127" s="4"/>
    </row>
    <row r="1128" spans="1:5" x14ac:dyDescent="0.3">
      <c r="A1128" s="9">
        <v>1120</v>
      </c>
      <c r="B1128" s="10">
        <f t="shared" ca="1" si="17"/>
        <v>9.3892648569427528E-2</v>
      </c>
      <c r="C1128" s="10">
        <f ca="1">NPV(B1128,Project_FCF!C18:J18)+Project_FCF!B18</f>
        <v>827.62037585782446</v>
      </c>
      <c r="D1128" s="4"/>
      <c r="E1128" s="4"/>
    </row>
    <row r="1129" spans="1:5" x14ac:dyDescent="0.3">
      <c r="A1129" s="9">
        <v>1121</v>
      </c>
      <c r="B1129" s="10">
        <f t="shared" ca="1" si="17"/>
        <v>7.2086311424290048E-2</v>
      </c>
      <c r="C1129" s="10">
        <f ca="1">NPV(B1129,Project_FCF!C18:J18)+Project_FCF!B18</f>
        <v>1007.0879132383623</v>
      </c>
      <c r="D1129" s="4"/>
      <c r="E1129" s="4"/>
    </row>
    <row r="1130" spans="1:5" x14ac:dyDescent="0.3">
      <c r="A1130" s="9">
        <v>1122</v>
      </c>
      <c r="B1130" s="10">
        <f t="shared" ca="1" si="17"/>
        <v>9.931227953418871E-2</v>
      </c>
      <c r="C1130" s="10">
        <f ca="1">NPV(B1130,Project_FCF!C18:J18)+Project_FCF!B18</f>
        <v>787.59472622763565</v>
      </c>
      <c r="D1130" s="4"/>
      <c r="E1130" s="4"/>
    </row>
    <row r="1131" spans="1:5" x14ac:dyDescent="0.3">
      <c r="A1131" s="9">
        <v>1123</v>
      </c>
      <c r="B1131" s="10">
        <f t="shared" ca="1" si="17"/>
        <v>7.0724156299784291E-2</v>
      </c>
      <c r="C1131" s="10">
        <f ca="1">NPV(B1131,Project_FCF!C18:J18)+Project_FCF!B18</f>
        <v>1019.3650821547585</v>
      </c>
      <c r="D1131" s="4"/>
      <c r="E1131" s="4"/>
    </row>
    <row r="1132" spans="1:5" x14ac:dyDescent="0.3">
      <c r="A1132" s="9">
        <v>1124</v>
      </c>
      <c r="B1132" s="10">
        <f t="shared" ca="1" si="17"/>
        <v>8.292199390999648E-2</v>
      </c>
      <c r="C1132" s="10">
        <f ca="1">NPV(B1132,Project_FCF!C18:J18)+Project_FCF!B18</f>
        <v>914.03830779401437</v>
      </c>
      <c r="D1132" s="4"/>
      <c r="E1132" s="4"/>
    </row>
    <row r="1133" spans="1:5" x14ac:dyDescent="0.3">
      <c r="A1133" s="9">
        <v>1125</v>
      </c>
      <c r="B1133" s="10">
        <f t="shared" ca="1" si="17"/>
        <v>8.4418460483886293E-2</v>
      </c>
      <c r="C1133" s="10">
        <f ca="1">NPV(B1133,Project_FCF!C18:J18)+Project_FCF!B18</f>
        <v>901.80566599956364</v>
      </c>
      <c r="D1133" s="4"/>
      <c r="E1133" s="4"/>
    </row>
    <row r="1134" spans="1:5" x14ac:dyDescent="0.3">
      <c r="A1134" s="9">
        <v>1126</v>
      </c>
      <c r="B1134" s="10">
        <f t="shared" ca="1" si="17"/>
        <v>8.2358465690291857E-2</v>
      </c>
      <c r="C1134" s="10">
        <f ca="1">NPV(B1134,Project_FCF!C18:J18)+Project_FCF!B18</f>
        <v>918.68246564433935</v>
      </c>
      <c r="D1134" s="4"/>
      <c r="E1134" s="4"/>
    </row>
    <row r="1135" spans="1:5" x14ac:dyDescent="0.3">
      <c r="A1135" s="9">
        <v>1127</v>
      </c>
      <c r="B1135" s="10">
        <f t="shared" ca="1" si="17"/>
        <v>8.6316502726968641E-2</v>
      </c>
      <c r="C1135" s="10">
        <f ca="1">NPV(B1135,Project_FCF!C18:J18)+Project_FCF!B18</f>
        <v>886.49707213482338</v>
      </c>
      <c r="D1135" s="4"/>
      <c r="E1135" s="4"/>
    </row>
    <row r="1136" spans="1:5" x14ac:dyDescent="0.3">
      <c r="A1136" s="9">
        <v>1128</v>
      </c>
      <c r="B1136" s="10">
        <f t="shared" ca="1" si="17"/>
        <v>8.9540391140864678E-2</v>
      </c>
      <c r="C1136" s="10">
        <f ca="1">NPV(B1136,Project_FCF!C18:J18)+Project_FCF!B18</f>
        <v>861.01420605103863</v>
      </c>
      <c r="D1136" s="4"/>
      <c r="E1136" s="4"/>
    </row>
    <row r="1137" spans="1:5" x14ac:dyDescent="0.3">
      <c r="A1137" s="9">
        <v>1129</v>
      </c>
      <c r="B1137" s="10">
        <f t="shared" ca="1" si="17"/>
        <v>7.7707565347036503E-2</v>
      </c>
      <c r="C1137" s="10">
        <f ca="1">NPV(B1137,Project_FCF!C18:J18)+Project_FCF!B18</f>
        <v>957.81480791173658</v>
      </c>
      <c r="D1137" s="4"/>
      <c r="E1137" s="4"/>
    </row>
    <row r="1138" spans="1:5" x14ac:dyDescent="0.3">
      <c r="A1138" s="9">
        <v>1130</v>
      </c>
      <c r="B1138" s="10">
        <f t="shared" ca="1" si="17"/>
        <v>8.6844849767023197E-2</v>
      </c>
      <c r="C1138" s="10">
        <f ca="1">NPV(B1138,Project_FCF!C18:J18)+Project_FCF!B18</f>
        <v>882.27634843788883</v>
      </c>
      <c r="D1138" s="4"/>
      <c r="E1138" s="4"/>
    </row>
    <row r="1139" spans="1:5" x14ac:dyDescent="0.3">
      <c r="A1139" s="9">
        <v>1131</v>
      </c>
      <c r="B1139" s="10">
        <f t="shared" ca="1" si="17"/>
        <v>9.4077419201788637E-2</v>
      </c>
      <c r="C1139" s="10">
        <f ca="1">NPV(B1139,Project_FCF!C18:J18)+Project_FCF!B18</f>
        <v>826.22771810664881</v>
      </c>
      <c r="D1139" s="4"/>
      <c r="E1139" s="4"/>
    </row>
    <row r="1140" spans="1:5" x14ac:dyDescent="0.3">
      <c r="A1140" s="9">
        <v>1132</v>
      </c>
      <c r="B1140" s="10">
        <f t="shared" ca="1" si="17"/>
        <v>7.7691280249174502E-2</v>
      </c>
      <c r="C1140" s="10">
        <f ca="1">NPV(B1140,Project_FCF!C18:J18)+Project_FCF!B18</f>
        <v>957.95438694061204</v>
      </c>
      <c r="D1140" s="4"/>
      <c r="E1140" s="4"/>
    </row>
    <row r="1141" spans="1:5" x14ac:dyDescent="0.3">
      <c r="A1141" s="9">
        <v>1133</v>
      </c>
      <c r="B1141" s="10">
        <f t="shared" ca="1" si="17"/>
        <v>8.8982254137789082E-2</v>
      </c>
      <c r="C1141" s="10">
        <f ca="1">NPV(B1141,Project_FCF!C18:J18)+Project_FCF!B18</f>
        <v>865.37978184843269</v>
      </c>
      <c r="D1141" s="4"/>
      <c r="E1141" s="4"/>
    </row>
    <row r="1142" spans="1:5" x14ac:dyDescent="0.3">
      <c r="A1142" s="9">
        <v>1134</v>
      </c>
      <c r="B1142" s="10">
        <f t="shared" ca="1" si="17"/>
        <v>7.5249581119953224E-2</v>
      </c>
      <c r="C1142" s="10">
        <f ca="1">NPV(B1142,Project_FCF!C18:J18)+Project_FCF!B18</f>
        <v>979.08841618466795</v>
      </c>
      <c r="D1142" s="4"/>
      <c r="E1142" s="4"/>
    </row>
    <row r="1143" spans="1:5" x14ac:dyDescent="0.3">
      <c r="A1143" s="9">
        <v>1135</v>
      </c>
      <c r="B1143" s="10">
        <f t="shared" ca="1" si="17"/>
        <v>9.8325158292874318E-2</v>
      </c>
      <c r="C1143" s="10">
        <f ca="1">NPV(B1143,Project_FCF!C18:J18)+Project_FCF!B18</f>
        <v>794.75953507042595</v>
      </c>
      <c r="D1143" s="4"/>
      <c r="E1143" s="4"/>
    </row>
    <row r="1144" spans="1:5" x14ac:dyDescent="0.3">
      <c r="A1144" s="9">
        <v>1136</v>
      </c>
      <c r="B1144" s="10">
        <f t="shared" ca="1" si="17"/>
        <v>8.4694089368014785E-2</v>
      </c>
      <c r="C1144" s="10">
        <f ca="1">NPV(B1144,Project_FCF!C18:J18)+Project_FCF!B18</f>
        <v>899.56832271986354</v>
      </c>
      <c r="D1144" s="4"/>
      <c r="E1144" s="4"/>
    </row>
    <row r="1145" spans="1:5" x14ac:dyDescent="0.3">
      <c r="A1145" s="9">
        <v>1137</v>
      </c>
      <c r="B1145" s="10">
        <f t="shared" ca="1" si="17"/>
        <v>6.7026330025623984E-2</v>
      </c>
      <c r="C1145" s="10">
        <f ca="1">NPV(B1145,Project_FCF!C18:J18)+Project_FCF!B18</f>
        <v>1053.3788479235993</v>
      </c>
      <c r="D1145" s="4"/>
      <c r="E1145" s="4"/>
    </row>
    <row r="1146" spans="1:5" x14ac:dyDescent="0.3">
      <c r="A1146" s="9">
        <v>1138</v>
      </c>
      <c r="B1146" s="10">
        <f t="shared" ca="1" si="17"/>
        <v>9.4711210507813545E-2</v>
      </c>
      <c r="C1146" s="10">
        <f ca="1">NPV(B1146,Project_FCF!C18:J18)+Project_FCF!B18</f>
        <v>821.46595198204682</v>
      </c>
      <c r="D1146" s="4"/>
      <c r="E1146" s="4"/>
    </row>
    <row r="1147" spans="1:5" x14ac:dyDescent="0.3">
      <c r="A1147" s="9">
        <v>1139</v>
      </c>
      <c r="B1147" s="10">
        <f t="shared" ca="1" si="17"/>
        <v>6.7028364106403837E-2</v>
      </c>
      <c r="C1147" s="10">
        <f ca="1">NPV(B1147,Project_FCF!C18:J18)+Project_FCF!B18</f>
        <v>1053.3598582991222</v>
      </c>
      <c r="D1147" s="4"/>
      <c r="E1147" s="4"/>
    </row>
    <row r="1148" spans="1:5" x14ac:dyDescent="0.3">
      <c r="A1148" s="9">
        <v>1140</v>
      </c>
      <c r="B1148" s="10">
        <f t="shared" ca="1" si="17"/>
        <v>6.64140941823015E-2</v>
      </c>
      <c r="C1148" s="10">
        <f ca="1">NPV(B1148,Project_FCF!C18:J18)+Project_FCF!B18</f>
        <v>1059.1086825805003</v>
      </c>
      <c r="D1148" s="4"/>
      <c r="E1148" s="4"/>
    </row>
    <row r="1149" spans="1:5" x14ac:dyDescent="0.3">
      <c r="A1149" s="9">
        <v>1141</v>
      </c>
      <c r="B1149" s="10">
        <f t="shared" ca="1" si="17"/>
        <v>6.7496641809283539E-2</v>
      </c>
      <c r="C1149" s="10">
        <f ca="1">NPV(B1149,Project_FCF!C18:J18)+Project_FCF!B18</f>
        <v>1048.9964144532821</v>
      </c>
      <c r="D1149" s="4"/>
      <c r="E1149" s="4"/>
    </row>
    <row r="1150" spans="1:5" x14ac:dyDescent="0.3">
      <c r="A1150" s="9">
        <v>1142</v>
      </c>
      <c r="B1150" s="10">
        <f t="shared" ca="1" si="17"/>
        <v>9.7677395188125848E-2</v>
      </c>
      <c r="C1150" s="10">
        <f ca="1">NPV(B1150,Project_FCF!C18:J18)+Project_FCF!B18</f>
        <v>799.4911941437208</v>
      </c>
      <c r="D1150" s="4"/>
      <c r="E1150" s="4"/>
    </row>
    <row r="1151" spans="1:5" x14ac:dyDescent="0.3">
      <c r="A1151" s="9">
        <v>1143</v>
      </c>
      <c r="B1151" s="10">
        <f t="shared" ca="1" si="17"/>
        <v>7.1494984039959145E-2</v>
      </c>
      <c r="C1151" s="10">
        <f ca="1">NPV(B1151,Project_FCF!C18:J18)+Project_FCF!B18</f>
        <v>1012.4011118702795</v>
      </c>
      <c r="D1151" s="4"/>
      <c r="E1151" s="4"/>
    </row>
    <row r="1152" spans="1:5" x14ac:dyDescent="0.3">
      <c r="A1152" s="9">
        <v>1144</v>
      </c>
      <c r="B1152" s="10">
        <f t="shared" ca="1" si="17"/>
        <v>0.10181052263166171</v>
      </c>
      <c r="C1152" s="10">
        <f ca="1">NPV(B1152,Project_FCF!C18:J18)+Project_FCF!B18</f>
        <v>769.70550682443081</v>
      </c>
      <c r="D1152" s="4"/>
      <c r="E1152" s="4"/>
    </row>
    <row r="1153" spans="1:5" x14ac:dyDescent="0.3">
      <c r="A1153" s="9">
        <v>1145</v>
      </c>
      <c r="B1153" s="10">
        <f t="shared" ca="1" si="17"/>
        <v>6.4832682767670041E-2</v>
      </c>
      <c r="C1153" s="10">
        <f ca="1">NPV(B1153,Project_FCF!C18:J18)+Project_FCF!B18</f>
        <v>1074.0404686130585</v>
      </c>
      <c r="D1153" s="4"/>
      <c r="E1153" s="4"/>
    </row>
    <row r="1154" spans="1:5" x14ac:dyDescent="0.3">
      <c r="A1154" s="9">
        <v>1146</v>
      </c>
      <c r="B1154" s="10">
        <f t="shared" ca="1" si="17"/>
        <v>9.0920405920358757E-2</v>
      </c>
      <c r="C1154" s="10">
        <f ca="1">NPV(B1154,Project_FCF!C18:J18)+Project_FCF!B18</f>
        <v>850.30199557747596</v>
      </c>
      <c r="D1154" s="4"/>
      <c r="E1154" s="4"/>
    </row>
    <row r="1155" spans="1:5" x14ac:dyDescent="0.3">
      <c r="A1155" s="9">
        <v>1147</v>
      </c>
      <c r="B1155" s="10">
        <f t="shared" ca="1" si="17"/>
        <v>7.7598930666800431E-2</v>
      </c>
      <c r="C1155" s="10">
        <f ca="1">NPV(B1155,Project_FCF!C18:J18)+Project_FCF!B18</f>
        <v>958.74625454296279</v>
      </c>
      <c r="D1155" s="4"/>
      <c r="E1155" s="4"/>
    </row>
    <row r="1156" spans="1:5" x14ac:dyDescent="0.3">
      <c r="A1156" s="9">
        <v>1148</v>
      </c>
      <c r="B1156" s="10">
        <f t="shared" ca="1" si="17"/>
        <v>8.5201198171810766E-2</v>
      </c>
      <c r="C1156" s="10">
        <f ca="1">NPV(B1156,Project_FCF!C18:J18)+Project_FCF!B18</f>
        <v>895.46471053881055</v>
      </c>
      <c r="D1156" s="4"/>
      <c r="E1156" s="4"/>
    </row>
    <row r="1157" spans="1:5" x14ac:dyDescent="0.3">
      <c r="A1157" s="9">
        <v>1149</v>
      </c>
      <c r="B1157" s="10">
        <f t="shared" ca="1" si="17"/>
        <v>7.7760302106366808E-2</v>
      </c>
      <c r="C1157" s="10">
        <f ca="1">NPV(B1157,Project_FCF!C18:J18)+Project_FCF!B18</f>
        <v>957.36292709066333</v>
      </c>
      <c r="D1157" s="4"/>
      <c r="E1157" s="4"/>
    </row>
    <row r="1158" spans="1:5" x14ac:dyDescent="0.3">
      <c r="A1158" s="9">
        <v>1150</v>
      </c>
      <c r="B1158" s="10">
        <f t="shared" ca="1" si="17"/>
        <v>6.7846959553554076E-2</v>
      </c>
      <c r="C1158" s="10">
        <f ca="1">NPV(B1158,Project_FCF!C18:J18)+Project_FCF!B18</f>
        <v>1045.7428701477679</v>
      </c>
      <c r="D1158" s="4"/>
      <c r="E1158" s="4"/>
    </row>
    <row r="1159" spans="1:5" x14ac:dyDescent="0.3">
      <c r="A1159" s="9">
        <v>1151</v>
      </c>
      <c r="B1159" s="10">
        <f t="shared" ca="1" si="17"/>
        <v>9.5849944967133838E-2</v>
      </c>
      <c r="C1159" s="10">
        <f ca="1">NPV(B1159,Project_FCF!C18:J18)+Project_FCF!B18</f>
        <v>812.96950673532251</v>
      </c>
      <c r="D1159" s="4"/>
      <c r="E1159" s="4"/>
    </row>
    <row r="1160" spans="1:5" x14ac:dyDescent="0.3">
      <c r="A1160" s="9">
        <v>1152</v>
      </c>
      <c r="B1160" s="10">
        <f t="shared" ca="1" si="17"/>
        <v>6.7385409382668626E-2</v>
      </c>
      <c r="C1160" s="10">
        <f ca="1">NPV(B1160,Project_FCF!C18:J18)+Project_FCF!B18</f>
        <v>1050.0313962896259</v>
      </c>
      <c r="D1160" s="4"/>
      <c r="E1160" s="4"/>
    </row>
    <row r="1161" spans="1:5" x14ac:dyDescent="0.3">
      <c r="A1161" s="9">
        <v>1153</v>
      </c>
      <c r="B1161" s="10">
        <f t="shared" ref="B1161:B1224" ca="1" si="18">$B$4+RAND()*($B$5-$B$4)</f>
        <v>6.5584937261428472E-2</v>
      </c>
      <c r="C1161" s="10">
        <f ca="1">NPV(B1161,Project_FCF!C18:J18)+Project_FCF!B18</f>
        <v>1066.9138748020168</v>
      </c>
      <c r="D1161" s="4"/>
      <c r="E1161" s="4"/>
    </row>
    <row r="1162" spans="1:5" x14ac:dyDescent="0.3">
      <c r="A1162" s="9">
        <v>1154</v>
      </c>
      <c r="B1162" s="10">
        <f t="shared" ca="1" si="18"/>
        <v>7.7901509271580641E-2</v>
      </c>
      <c r="C1162" s="10">
        <f ca="1">NPV(B1162,Project_FCF!C18:J18)+Project_FCF!B18</f>
        <v>956.1539113940878</v>
      </c>
      <c r="D1162" s="4"/>
      <c r="E1162" s="4"/>
    </row>
    <row r="1163" spans="1:5" x14ac:dyDescent="0.3">
      <c r="A1163" s="9">
        <v>1155</v>
      </c>
      <c r="B1163" s="10">
        <f t="shared" ca="1" si="18"/>
        <v>9.4227333800185359E-2</v>
      </c>
      <c r="C1163" s="10">
        <f ca="1">NPV(B1163,Project_FCF!C18:J18)+Project_FCF!B18</f>
        <v>825.09925618776242</v>
      </c>
      <c r="D1163" s="4"/>
      <c r="E1163" s="4"/>
    </row>
    <row r="1164" spans="1:5" x14ac:dyDescent="0.3">
      <c r="A1164" s="9">
        <v>1156</v>
      </c>
      <c r="B1164" s="10">
        <f t="shared" ca="1" si="18"/>
        <v>9.2449450844752049E-2</v>
      </c>
      <c r="C1164" s="10">
        <f ca="1">NPV(B1164,Project_FCF!C18:J18)+Project_FCF!B18</f>
        <v>838.56766101188236</v>
      </c>
      <c r="D1164" s="4"/>
      <c r="E1164" s="4"/>
    </row>
    <row r="1165" spans="1:5" x14ac:dyDescent="0.3">
      <c r="A1165" s="9">
        <v>1157</v>
      </c>
      <c r="B1165" s="10">
        <f t="shared" ca="1" si="18"/>
        <v>6.8676049634799605E-2</v>
      </c>
      <c r="C1165" s="10">
        <f ca="1">NPV(B1165,Project_FCF!C18:J18)+Project_FCF!B18</f>
        <v>1038.0792112901945</v>
      </c>
      <c r="D1165" s="4"/>
      <c r="E1165" s="4"/>
    </row>
    <row r="1166" spans="1:5" x14ac:dyDescent="0.3">
      <c r="A1166" s="9">
        <v>1158</v>
      </c>
      <c r="B1166" s="10">
        <f t="shared" ca="1" si="18"/>
        <v>8.1615276362206529E-2</v>
      </c>
      <c r="C1166" s="10">
        <f ca="1">NPV(B1166,Project_FCF!C18:J18)+Project_FCF!B18</f>
        <v>924.83903817303803</v>
      </c>
      <c r="D1166" s="4"/>
      <c r="E1166" s="4"/>
    </row>
    <row r="1167" spans="1:5" x14ac:dyDescent="0.3">
      <c r="A1167" s="9">
        <v>1159</v>
      </c>
      <c r="B1167" s="10">
        <f t="shared" ca="1" si="18"/>
        <v>8.0225451702541931E-2</v>
      </c>
      <c r="C1167" s="10">
        <f ca="1">NPV(B1167,Project_FCF!C18:J18)+Project_FCF!B18</f>
        <v>936.45015950462562</v>
      </c>
      <c r="D1167" s="4"/>
      <c r="E1167" s="4"/>
    </row>
    <row r="1168" spans="1:5" x14ac:dyDescent="0.3">
      <c r="A1168" s="9">
        <v>1160</v>
      </c>
      <c r="B1168" s="10">
        <f t="shared" ca="1" si="18"/>
        <v>9.9017922344588852E-2</v>
      </c>
      <c r="C1168" s="10">
        <f ca="1">NPV(B1168,Project_FCF!C18:J18)+Project_FCF!B18</f>
        <v>789.72549954473425</v>
      </c>
      <c r="D1168" s="4"/>
      <c r="E1168" s="4"/>
    </row>
    <row r="1169" spans="1:5" x14ac:dyDescent="0.3">
      <c r="A1169" s="9">
        <v>1161</v>
      </c>
      <c r="B1169" s="10">
        <f t="shared" ca="1" si="18"/>
        <v>8.8201831880942966E-2</v>
      </c>
      <c r="C1169" s="10">
        <f ca="1">NPV(B1169,Project_FCF!C18:J18)+Project_FCF!B18</f>
        <v>871.51622863363082</v>
      </c>
      <c r="D1169" s="4"/>
      <c r="E1169" s="4"/>
    </row>
    <row r="1170" spans="1:5" x14ac:dyDescent="0.3">
      <c r="A1170" s="9">
        <v>1162</v>
      </c>
      <c r="B1170" s="10">
        <f t="shared" ca="1" si="18"/>
        <v>8.2616035036797195E-2</v>
      </c>
      <c r="C1170" s="10">
        <f ca="1">NPV(B1170,Project_FCF!C18:J18)+Project_FCF!B18</f>
        <v>916.5572091643071</v>
      </c>
      <c r="D1170" s="4"/>
      <c r="E1170" s="4"/>
    </row>
    <row r="1171" spans="1:5" x14ac:dyDescent="0.3">
      <c r="A1171" s="9">
        <v>1163</v>
      </c>
      <c r="B1171" s="10">
        <f t="shared" ca="1" si="18"/>
        <v>7.022187758003956E-2</v>
      </c>
      <c r="C1171" s="10">
        <f ca="1">NPV(B1171,Project_FCF!C18:J18)+Project_FCF!B18</f>
        <v>1023.9260989553973</v>
      </c>
      <c r="D1171" s="4"/>
      <c r="E1171" s="4"/>
    </row>
    <row r="1172" spans="1:5" x14ac:dyDescent="0.3">
      <c r="A1172" s="9">
        <v>1164</v>
      </c>
      <c r="B1172" s="10">
        <f t="shared" ca="1" si="18"/>
        <v>7.6633080667010675E-2</v>
      </c>
      <c r="C1172" s="10">
        <f ca="1">NPV(B1172,Project_FCF!C18:J18)+Project_FCF!B18</f>
        <v>967.06310194611819</v>
      </c>
      <c r="D1172" s="4"/>
      <c r="E1172" s="4"/>
    </row>
    <row r="1173" spans="1:5" x14ac:dyDescent="0.3">
      <c r="A1173" s="9">
        <v>1165</v>
      </c>
      <c r="B1173" s="10">
        <f t="shared" ca="1" si="18"/>
        <v>0.10368989721701087</v>
      </c>
      <c r="C1173" s="10">
        <f ca="1">NPV(B1173,Project_FCF!C18:J18)+Project_FCF!B18</f>
        <v>756.47452487100236</v>
      </c>
      <c r="D1173" s="4"/>
      <c r="E1173" s="4"/>
    </row>
    <row r="1174" spans="1:5" x14ac:dyDescent="0.3">
      <c r="A1174" s="9">
        <v>1166</v>
      </c>
      <c r="B1174" s="10">
        <f t="shared" ca="1" si="18"/>
        <v>8.6808875928079426E-2</v>
      </c>
      <c r="C1174" s="10">
        <f ca="1">NPV(B1174,Project_FCF!C18:J18)+Project_FCF!B18</f>
        <v>882.56316952743578</v>
      </c>
      <c r="D1174" s="4"/>
      <c r="E1174" s="4"/>
    </row>
    <row r="1175" spans="1:5" x14ac:dyDescent="0.3">
      <c r="A1175" s="9">
        <v>1167</v>
      </c>
      <c r="B1175" s="10">
        <f t="shared" ca="1" si="18"/>
        <v>6.4234196121782286E-2</v>
      </c>
      <c r="C1175" s="10">
        <f ca="1">NPV(B1175,Project_FCF!C18:J18)+Project_FCF!B18</f>
        <v>1079.7413196045391</v>
      </c>
      <c r="D1175" s="4"/>
      <c r="E1175" s="4"/>
    </row>
    <row r="1176" spans="1:5" x14ac:dyDescent="0.3">
      <c r="A1176" s="9">
        <v>1168</v>
      </c>
      <c r="B1176" s="10">
        <f t="shared" ca="1" si="18"/>
        <v>9.0571061825429219E-2</v>
      </c>
      <c r="C1176" s="10">
        <f ca="1">NPV(B1176,Project_FCF!C18:J18)+Project_FCF!B18</f>
        <v>853.00277500616858</v>
      </c>
      <c r="D1176" s="4"/>
      <c r="E1176" s="4"/>
    </row>
    <row r="1177" spans="1:5" x14ac:dyDescent="0.3">
      <c r="A1177" s="9">
        <v>1169</v>
      </c>
      <c r="B1177" s="10">
        <f t="shared" ca="1" si="18"/>
        <v>7.3868995965141751E-2</v>
      </c>
      <c r="C1177" s="10">
        <f ca="1">NPV(B1177,Project_FCF!C18:J18)+Project_FCF!B18</f>
        <v>991.22153145613129</v>
      </c>
      <c r="D1177" s="4"/>
      <c r="E1177" s="4"/>
    </row>
    <row r="1178" spans="1:5" x14ac:dyDescent="0.3">
      <c r="A1178" s="9">
        <v>1170</v>
      </c>
      <c r="B1178" s="10">
        <f t="shared" ca="1" si="18"/>
        <v>6.6871910486895683E-2</v>
      </c>
      <c r="C1178" s="10">
        <f ca="1">NPV(B1178,Project_FCF!C18:J18)+Project_FCF!B18</f>
        <v>1054.8213755606644</v>
      </c>
      <c r="D1178" s="4"/>
      <c r="E1178" s="4"/>
    </row>
    <row r="1179" spans="1:5" x14ac:dyDescent="0.3">
      <c r="A1179" s="9">
        <v>1171</v>
      </c>
      <c r="B1179" s="10">
        <f t="shared" ca="1" si="18"/>
        <v>6.4851179299185671E-2</v>
      </c>
      <c r="C1179" s="10">
        <f ca="1">NPV(B1179,Project_FCF!C18:J18)+Project_FCF!B18</f>
        <v>1073.8647195357378</v>
      </c>
      <c r="D1179" s="4"/>
      <c r="E1179" s="4"/>
    </row>
    <row r="1180" spans="1:5" x14ac:dyDescent="0.3">
      <c r="A1180" s="9">
        <v>1172</v>
      </c>
      <c r="B1180" s="10">
        <f t="shared" ca="1" si="18"/>
        <v>9.6646736629992264E-2</v>
      </c>
      <c r="C1180" s="10">
        <f ca="1">NPV(B1180,Project_FCF!C18:J18)+Project_FCF!B18</f>
        <v>807.069163045192</v>
      </c>
      <c r="D1180" s="4"/>
      <c r="E1180" s="4"/>
    </row>
    <row r="1181" spans="1:5" x14ac:dyDescent="0.3">
      <c r="A1181" s="9">
        <v>1173</v>
      </c>
      <c r="B1181" s="10">
        <f t="shared" ca="1" si="18"/>
        <v>7.4291441074593539E-2</v>
      </c>
      <c r="C1181" s="10">
        <f ca="1">NPV(B1181,Project_FCF!C18:J18)+Project_FCF!B18</f>
        <v>987.49469937291019</v>
      </c>
      <c r="D1181" s="4"/>
      <c r="E1181" s="4"/>
    </row>
    <row r="1182" spans="1:5" x14ac:dyDescent="0.3">
      <c r="A1182" s="9">
        <v>1174</v>
      </c>
      <c r="B1182" s="10">
        <f t="shared" ca="1" si="18"/>
        <v>7.1321107106849413E-2</v>
      </c>
      <c r="C1182" s="10">
        <f ca="1">NPV(B1182,Project_FCF!C18:J18)+Project_FCF!B18</f>
        <v>1013.9682289093209</v>
      </c>
      <c r="D1182" s="4"/>
      <c r="E1182" s="4"/>
    </row>
    <row r="1183" spans="1:5" x14ac:dyDescent="0.3">
      <c r="A1183" s="9">
        <v>1175</v>
      </c>
      <c r="B1183" s="10">
        <f t="shared" ca="1" si="18"/>
        <v>0.10017171172436223</v>
      </c>
      <c r="C1183" s="10">
        <f ca="1">NPV(B1183,Project_FCF!C18:J18)+Project_FCF!B18</f>
        <v>781.40136065790762</v>
      </c>
      <c r="D1183" s="4"/>
      <c r="E1183" s="4"/>
    </row>
    <row r="1184" spans="1:5" x14ac:dyDescent="0.3">
      <c r="A1184" s="9">
        <v>1176</v>
      </c>
      <c r="B1184" s="10">
        <f t="shared" ca="1" si="18"/>
        <v>6.8833962133657098E-2</v>
      </c>
      <c r="C1184" s="10">
        <f ca="1">NPV(B1184,Project_FCF!C18:J18)+Project_FCF!B18</f>
        <v>1036.6253385187918</v>
      </c>
      <c r="D1184" s="4"/>
      <c r="E1184" s="4"/>
    </row>
    <row r="1185" spans="1:5" x14ac:dyDescent="0.3">
      <c r="A1185" s="9">
        <v>1177</v>
      </c>
      <c r="B1185" s="10">
        <f t="shared" ca="1" si="18"/>
        <v>7.3977140163788715E-2</v>
      </c>
      <c r="C1185" s="10">
        <f ca="1">NPV(B1185,Project_FCF!C18:J18)+Project_FCF!B18</f>
        <v>990.26627903061035</v>
      </c>
      <c r="D1185" s="4"/>
      <c r="E1185" s="4"/>
    </row>
    <row r="1186" spans="1:5" x14ac:dyDescent="0.3">
      <c r="A1186" s="9">
        <v>1178</v>
      </c>
      <c r="B1186" s="10">
        <f t="shared" ca="1" si="18"/>
        <v>8.099420776435437E-2</v>
      </c>
      <c r="C1186" s="10">
        <f ca="1">NPV(B1186,Project_FCF!C18:J18)+Project_FCF!B18</f>
        <v>930.0118598862523</v>
      </c>
      <c r="D1186" s="4"/>
      <c r="E1186" s="4"/>
    </row>
    <row r="1187" spans="1:5" x14ac:dyDescent="0.3">
      <c r="A1187" s="9">
        <v>1179</v>
      </c>
      <c r="B1187" s="10">
        <f t="shared" ca="1" si="18"/>
        <v>0.10209057091945466</v>
      </c>
      <c r="C1187" s="10">
        <f ca="1">NPV(B1187,Project_FCF!C18:J18)+Project_FCF!B18</f>
        <v>767.72169902084215</v>
      </c>
      <c r="D1187" s="4"/>
      <c r="E1187" s="4"/>
    </row>
    <row r="1188" spans="1:5" x14ac:dyDescent="0.3">
      <c r="A1188" s="9">
        <v>1180</v>
      </c>
      <c r="B1188" s="10">
        <f t="shared" ca="1" si="18"/>
        <v>6.9902570570330544E-2</v>
      </c>
      <c r="C1188" s="10">
        <f ca="1">NPV(B1188,Project_FCF!C18:J18)+Project_FCF!B18</f>
        <v>1026.8351891111017</v>
      </c>
      <c r="D1188" s="4"/>
      <c r="E1188" s="4"/>
    </row>
    <row r="1189" spans="1:5" x14ac:dyDescent="0.3">
      <c r="A1189" s="9">
        <v>1181</v>
      </c>
      <c r="B1189" s="10">
        <f t="shared" ca="1" si="18"/>
        <v>7.4848671760203947E-2</v>
      </c>
      <c r="C1189" s="10">
        <f ca="1">NPV(B1189,Project_FCF!C18:J18)+Project_FCF!B18</f>
        <v>982.59798589538855</v>
      </c>
      <c r="D1189" s="4"/>
      <c r="E1189" s="4"/>
    </row>
    <row r="1190" spans="1:5" x14ac:dyDescent="0.3">
      <c r="A1190" s="9">
        <v>1182</v>
      </c>
      <c r="B1190" s="10">
        <f t="shared" ca="1" si="18"/>
        <v>7.1532959031746959E-2</v>
      </c>
      <c r="C1190" s="10">
        <f ca="1">NPV(B1190,Project_FCF!C18:J18)+Project_FCF!B18</f>
        <v>1012.0591416152656</v>
      </c>
      <c r="D1190" s="4"/>
      <c r="E1190" s="4"/>
    </row>
    <row r="1191" spans="1:5" x14ac:dyDescent="0.3">
      <c r="A1191" s="9">
        <v>1183</v>
      </c>
      <c r="B1191" s="10">
        <f t="shared" ca="1" si="18"/>
        <v>9.0178272741436943E-2</v>
      </c>
      <c r="C1191" s="10">
        <f ca="1">NPV(B1191,Project_FCF!C18:J18)+Project_FCF!B18</f>
        <v>856.04828805715329</v>
      </c>
      <c r="D1191" s="4"/>
      <c r="E1191" s="4"/>
    </row>
    <row r="1192" spans="1:5" x14ac:dyDescent="0.3">
      <c r="A1192" s="9">
        <v>1184</v>
      </c>
      <c r="B1192" s="10">
        <f t="shared" ca="1" si="18"/>
        <v>8.17418816462359E-2</v>
      </c>
      <c r="C1192" s="10">
        <f ca="1">NPV(B1192,Project_FCF!C18:J18)+Project_FCF!B18</f>
        <v>923.78767701150559</v>
      </c>
      <c r="D1192" s="4"/>
      <c r="E1192" s="4"/>
    </row>
    <row r="1193" spans="1:5" x14ac:dyDescent="0.3">
      <c r="A1193" s="9">
        <v>1185</v>
      </c>
      <c r="B1193" s="10">
        <f t="shared" ca="1" si="18"/>
        <v>6.7458014825625315E-2</v>
      </c>
      <c r="C1193" s="10">
        <f ca="1">NPV(B1193,Project_FCF!C18:J18)+Project_FCF!B18</f>
        <v>1049.3557210217948</v>
      </c>
      <c r="D1193" s="4"/>
      <c r="E1193" s="4"/>
    </row>
    <row r="1194" spans="1:5" x14ac:dyDescent="0.3">
      <c r="A1194" s="9">
        <v>1186</v>
      </c>
      <c r="B1194" s="10">
        <f t="shared" ca="1" si="18"/>
        <v>8.5547163262794032E-2</v>
      </c>
      <c r="C1194" s="10">
        <f ca="1">NPV(B1194,Project_FCF!C18:J18)+Project_FCF!B18</f>
        <v>892.67451741127866</v>
      </c>
      <c r="D1194" s="4"/>
      <c r="E1194" s="4"/>
    </row>
    <row r="1195" spans="1:5" x14ac:dyDescent="0.3">
      <c r="A1195" s="9">
        <v>1187</v>
      </c>
      <c r="B1195" s="10">
        <f t="shared" ca="1" si="18"/>
        <v>9.9112369132272615E-2</v>
      </c>
      <c r="C1195" s="10">
        <f ca="1">NPV(B1195,Project_FCF!C18:J18)+Project_FCF!B18</f>
        <v>789.04129273405579</v>
      </c>
      <c r="D1195" s="4"/>
      <c r="E1195" s="4"/>
    </row>
    <row r="1196" spans="1:5" x14ac:dyDescent="0.3">
      <c r="A1196" s="9">
        <v>1188</v>
      </c>
      <c r="B1196" s="10">
        <f t="shared" ca="1" si="18"/>
        <v>9.9622899932573422E-2</v>
      </c>
      <c r="C1196" s="10">
        <f ca="1">NPV(B1196,Project_FCF!C18:J18)+Project_FCF!B18</f>
        <v>785.35151145570512</v>
      </c>
      <c r="D1196" s="4"/>
      <c r="E1196" s="4"/>
    </row>
    <row r="1197" spans="1:5" x14ac:dyDescent="0.3">
      <c r="A1197" s="9">
        <v>1189</v>
      </c>
      <c r="B1197" s="10">
        <f t="shared" ca="1" si="18"/>
        <v>8.2929645905434585E-2</v>
      </c>
      <c r="C1197" s="10">
        <f ca="1">NPV(B1197,Project_FCF!C18:J18)+Project_FCF!B18</f>
        <v>913.97538854879281</v>
      </c>
      <c r="D1197" s="4"/>
      <c r="E1197" s="4"/>
    </row>
    <row r="1198" spans="1:5" x14ac:dyDescent="0.3">
      <c r="A1198" s="9">
        <v>1190</v>
      </c>
      <c r="B1198" s="10">
        <f t="shared" ca="1" si="18"/>
        <v>7.3403988670774162E-2</v>
      </c>
      <c r="C1198" s="10">
        <f ca="1">NPV(B1198,Project_FCF!C18:J18)+Project_FCF!B18</f>
        <v>995.33842981676503</v>
      </c>
      <c r="D1198" s="4"/>
      <c r="E1198" s="4"/>
    </row>
    <row r="1199" spans="1:5" x14ac:dyDescent="0.3">
      <c r="A1199" s="9">
        <v>1191</v>
      </c>
      <c r="B1199" s="10">
        <f t="shared" ca="1" si="18"/>
        <v>7.9433414484960468E-2</v>
      </c>
      <c r="C1199" s="10">
        <f ca="1">NPV(B1199,Project_FCF!C18:J18)+Project_FCF!B18</f>
        <v>943.1246696879175</v>
      </c>
      <c r="D1199" s="4"/>
      <c r="E1199" s="4"/>
    </row>
    <row r="1200" spans="1:5" x14ac:dyDescent="0.3">
      <c r="A1200" s="9">
        <v>1192</v>
      </c>
      <c r="B1200" s="10">
        <f t="shared" ca="1" si="18"/>
        <v>8.5470843225690971E-2</v>
      </c>
      <c r="C1200" s="10">
        <f ca="1">NPV(B1200,Project_FCF!C18:J18)+Project_FCF!B18</f>
        <v>893.28938007092529</v>
      </c>
      <c r="D1200" s="4"/>
      <c r="E1200" s="4"/>
    </row>
    <row r="1201" spans="1:5" x14ac:dyDescent="0.3">
      <c r="A1201" s="9">
        <v>1193</v>
      </c>
      <c r="B1201" s="10">
        <f t="shared" ca="1" si="18"/>
        <v>8.803071917957736E-2</v>
      </c>
      <c r="C1201" s="10">
        <f ca="1">NPV(B1201,Project_FCF!C18:J18)+Project_FCF!B18</f>
        <v>872.86673005063494</v>
      </c>
      <c r="D1201" s="4"/>
      <c r="E1201" s="4"/>
    </row>
    <row r="1202" spans="1:5" x14ac:dyDescent="0.3">
      <c r="A1202" s="9">
        <v>1194</v>
      </c>
      <c r="B1202" s="10">
        <f t="shared" ca="1" si="18"/>
        <v>9.9627687854171393E-2</v>
      </c>
      <c r="C1202" s="10">
        <f ca="1">NPV(B1202,Project_FCF!C18:J18)+Project_FCF!B18</f>
        <v>785.31697679116473</v>
      </c>
      <c r="D1202" s="4"/>
      <c r="E1202" s="4"/>
    </row>
    <row r="1203" spans="1:5" x14ac:dyDescent="0.3">
      <c r="A1203" s="9">
        <v>1195</v>
      </c>
      <c r="B1203" s="10">
        <f t="shared" ca="1" si="18"/>
        <v>9.9498509031329424E-2</v>
      </c>
      <c r="C1203" s="10">
        <f ca="1">NPV(B1203,Project_FCF!C18:J18)+Project_FCF!B18</f>
        <v>786.2491778079268</v>
      </c>
      <c r="D1203" s="4"/>
      <c r="E1203" s="4"/>
    </row>
    <row r="1204" spans="1:5" x14ac:dyDescent="0.3">
      <c r="A1204" s="9">
        <v>1196</v>
      </c>
      <c r="B1204" s="10">
        <f t="shared" ca="1" si="18"/>
        <v>6.5916939136457783E-2</v>
      </c>
      <c r="C1204" s="10">
        <f ca="1">NPV(B1204,Project_FCF!C18:J18)+Project_FCF!B18</f>
        <v>1063.7823391901759</v>
      </c>
      <c r="D1204" s="4"/>
      <c r="E1204" s="4"/>
    </row>
    <row r="1205" spans="1:5" x14ac:dyDescent="0.3">
      <c r="A1205" s="9">
        <v>1197</v>
      </c>
      <c r="B1205" s="10">
        <f t="shared" ca="1" si="18"/>
        <v>8.5115703755701697E-2</v>
      </c>
      <c r="C1205" s="10">
        <f ca="1">NPV(B1205,Project_FCF!C18:J18)+Project_FCF!B18</f>
        <v>896.15539462245579</v>
      </c>
      <c r="D1205" s="4"/>
      <c r="E1205" s="4"/>
    </row>
    <row r="1206" spans="1:5" x14ac:dyDescent="0.3">
      <c r="A1206" s="9">
        <v>1198</v>
      </c>
      <c r="B1206" s="10">
        <f t="shared" ca="1" si="18"/>
        <v>7.8683363721349653E-2</v>
      </c>
      <c r="C1206" s="10">
        <f ca="1">NPV(B1206,Project_FCF!C18:J18)+Project_FCF!B18</f>
        <v>949.48420686425607</v>
      </c>
      <c r="D1206" s="4"/>
      <c r="E1206" s="4"/>
    </row>
    <row r="1207" spans="1:5" x14ac:dyDescent="0.3">
      <c r="A1207" s="9">
        <v>1199</v>
      </c>
      <c r="B1207" s="10">
        <f t="shared" ca="1" si="18"/>
        <v>0.1007314062495676</v>
      </c>
      <c r="C1207" s="10">
        <f ca="1">NPV(B1207,Project_FCF!C18:J18)+Project_FCF!B18</f>
        <v>777.39019199669315</v>
      </c>
      <c r="D1207" s="4"/>
      <c r="E1207" s="4"/>
    </row>
    <row r="1208" spans="1:5" x14ac:dyDescent="0.3">
      <c r="A1208" s="9">
        <v>1200</v>
      </c>
      <c r="B1208" s="10">
        <f t="shared" ca="1" si="18"/>
        <v>6.6440851414289639E-2</v>
      </c>
      <c r="C1208" s="10">
        <f ca="1">NPV(B1208,Project_FCF!C18:J18)+Project_FCF!B18</f>
        <v>1058.8576739544767</v>
      </c>
      <c r="D1208" s="4"/>
      <c r="E1208" s="4"/>
    </row>
    <row r="1209" spans="1:5" x14ac:dyDescent="0.3">
      <c r="A1209" s="9">
        <v>1201</v>
      </c>
      <c r="B1209" s="10">
        <f t="shared" ca="1" si="18"/>
        <v>9.8527438928235428E-2</v>
      </c>
      <c r="C1209" s="10">
        <f ca="1">NPV(B1209,Project_FCF!C18:J18)+Project_FCF!B18</f>
        <v>793.28683690736352</v>
      </c>
      <c r="D1209" s="4"/>
      <c r="E1209" s="4"/>
    </row>
    <row r="1210" spans="1:5" x14ac:dyDescent="0.3">
      <c r="A1210" s="9">
        <v>1202</v>
      </c>
      <c r="B1210" s="10">
        <f t="shared" ca="1" si="18"/>
        <v>0.1009026578810808</v>
      </c>
      <c r="C1210" s="10">
        <f ca="1">NPV(B1210,Project_FCF!C18:J18)+Project_FCF!B18</f>
        <v>776.16636082411242</v>
      </c>
      <c r="D1210" s="4"/>
      <c r="E1210" s="4"/>
    </row>
    <row r="1211" spans="1:5" x14ac:dyDescent="0.3">
      <c r="A1211" s="9">
        <v>1203</v>
      </c>
      <c r="B1211" s="10">
        <f t="shared" ca="1" si="18"/>
        <v>7.8998162070711933E-2</v>
      </c>
      <c r="C1211" s="10">
        <f ca="1">NPV(B1211,Project_FCF!C18:J18)+Project_FCF!B18</f>
        <v>946.81047285499881</v>
      </c>
      <c r="D1211" s="4"/>
      <c r="E1211" s="4"/>
    </row>
    <row r="1212" spans="1:5" x14ac:dyDescent="0.3">
      <c r="A1212" s="9">
        <v>1204</v>
      </c>
      <c r="B1212" s="10">
        <f t="shared" ca="1" si="18"/>
        <v>9.65891081116272E-2</v>
      </c>
      <c r="C1212" s="10">
        <f ca="1">NPV(B1212,Project_FCF!C18:J18)+Project_FCF!B18</f>
        <v>807.49468006870029</v>
      </c>
      <c r="D1212" s="4"/>
      <c r="E1212" s="4"/>
    </row>
    <row r="1213" spans="1:5" x14ac:dyDescent="0.3">
      <c r="A1213" s="9">
        <v>1205</v>
      </c>
      <c r="B1213" s="10">
        <f t="shared" ca="1" si="18"/>
        <v>0.10020307261868458</v>
      </c>
      <c r="C1213" s="10">
        <f ca="1">NPV(B1213,Project_FCF!C18:J18)+Project_FCF!B18</f>
        <v>781.17614465991778</v>
      </c>
      <c r="D1213" s="4"/>
      <c r="E1213" s="4"/>
    </row>
    <row r="1214" spans="1:5" x14ac:dyDescent="0.3">
      <c r="A1214" s="9">
        <v>1206</v>
      </c>
      <c r="B1214" s="10">
        <f t="shared" ca="1" si="18"/>
        <v>9.6094659909129049E-2</v>
      </c>
      <c r="C1214" s="10">
        <f ca="1">NPV(B1214,Project_FCF!C18:J18)+Project_FCF!B18</f>
        <v>811.15345623891608</v>
      </c>
      <c r="D1214" s="4"/>
      <c r="E1214" s="4"/>
    </row>
    <row r="1215" spans="1:5" x14ac:dyDescent="0.3">
      <c r="A1215" s="9">
        <v>1207</v>
      </c>
      <c r="B1215" s="10">
        <f t="shared" ca="1" si="18"/>
        <v>9.2959596212688594E-2</v>
      </c>
      <c r="C1215" s="10">
        <f ca="1">NPV(B1215,Project_FCF!C18:J18)+Project_FCF!B18</f>
        <v>834.6838421979387</v>
      </c>
      <c r="D1215" s="4"/>
      <c r="E1215" s="4"/>
    </row>
    <row r="1216" spans="1:5" x14ac:dyDescent="0.3">
      <c r="A1216" s="9">
        <v>1208</v>
      </c>
      <c r="B1216" s="10">
        <f t="shared" ca="1" si="18"/>
        <v>9.960884580315639E-2</v>
      </c>
      <c r="C1216" s="10">
        <f ca="1">NPV(B1216,Project_FCF!C18:J18)+Project_FCF!B18</f>
        <v>785.45288951461725</v>
      </c>
      <c r="D1216" s="4"/>
      <c r="E1216" s="4"/>
    </row>
    <row r="1217" spans="1:5" x14ac:dyDescent="0.3">
      <c r="A1217" s="9">
        <v>1209</v>
      </c>
      <c r="B1217" s="10">
        <f t="shared" ca="1" si="18"/>
        <v>0.1038272165872593</v>
      </c>
      <c r="C1217" s="10">
        <f ca="1">NPV(B1217,Project_FCF!C18:J18)+Project_FCF!B18</f>
        <v>755.51531266059919</v>
      </c>
      <c r="D1217" s="4"/>
      <c r="E1217" s="4"/>
    </row>
    <row r="1218" spans="1:5" x14ac:dyDescent="0.3">
      <c r="A1218" s="9">
        <v>1210</v>
      </c>
      <c r="B1218" s="10">
        <f t="shared" ca="1" si="18"/>
        <v>9.2151465215499606E-2</v>
      </c>
      <c r="C1218" s="10">
        <f ca="1">NPV(B1218,Project_FCF!C18:J18)+Project_FCF!B18</f>
        <v>840.84346601207994</v>
      </c>
      <c r="D1218" s="4"/>
      <c r="E1218" s="4"/>
    </row>
    <row r="1219" spans="1:5" x14ac:dyDescent="0.3">
      <c r="A1219" s="9">
        <v>1211</v>
      </c>
      <c r="B1219" s="10">
        <f t="shared" ca="1" si="18"/>
        <v>9.1033297362578716E-2</v>
      </c>
      <c r="C1219" s="10">
        <f ca="1">NPV(B1219,Project_FCF!C18:J18)+Project_FCF!B18</f>
        <v>849.43081384684956</v>
      </c>
      <c r="D1219" s="4"/>
      <c r="E1219" s="4"/>
    </row>
    <row r="1220" spans="1:5" x14ac:dyDescent="0.3">
      <c r="A1220" s="9">
        <v>1212</v>
      </c>
      <c r="B1220" s="10">
        <f t="shared" ca="1" si="18"/>
        <v>7.5173262772740793E-2</v>
      </c>
      <c r="C1220" s="10">
        <f ca="1">NPV(B1220,Project_FCF!C18:J18)+Project_FCF!B18</f>
        <v>979.75564325594519</v>
      </c>
      <c r="D1220" s="4"/>
      <c r="E1220" s="4"/>
    </row>
    <row r="1221" spans="1:5" x14ac:dyDescent="0.3">
      <c r="A1221" s="9">
        <v>1213</v>
      </c>
      <c r="B1221" s="10">
        <f t="shared" ca="1" si="18"/>
        <v>0.10063810284592495</v>
      </c>
      <c r="C1221" s="10">
        <f ca="1">NPV(B1221,Project_FCF!C18:J18)+Project_FCF!B18</f>
        <v>778.05765986271558</v>
      </c>
      <c r="D1221" s="4"/>
      <c r="E1221" s="4"/>
    </row>
    <row r="1222" spans="1:5" x14ac:dyDescent="0.3">
      <c r="A1222" s="9">
        <v>1214</v>
      </c>
      <c r="B1222" s="10">
        <f t="shared" ca="1" si="18"/>
        <v>6.8238716044970282E-2</v>
      </c>
      <c r="C1222" s="10">
        <f ca="1">NPV(B1222,Project_FCF!C18:J18)+Project_FCF!B18</f>
        <v>1042.11531538646</v>
      </c>
      <c r="D1222" s="4"/>
      <c r="E1222" s="4"/>
    </row>
    <row r="1223" spans="1:5" x14ac:dyDescent="0.3">
      <c r="A1223" s="9">
        <v>1215</v>
      </c>
      <c r="B1223" s="10">
        <f t="shared" ca="1" si="18"/>
        <v>7.6454563480078855E-2</v>
      </c>
      <c r="C1223" s="10">
        <f ca="1">NPV(B1223,Project_FCF!C18:J18)+Project_FCF!B18</f>
        <v>968.60731894331866</v>
      </c>
      <c r="D1223" s="4"/>
      <c r="E1223" s="4"/>
    </row>
    <row r="1224" spans="1:5" x14ac:dyDescent="0.3">
      <c r="A1224" s="9">
        <v>1216</v>
      </c>
      <c r="B1224" s="10">
        <f t="shared" ca="1" si="18"/>
        <v>7.0708868384464052E-2</v>
      </c>
      <c r="C1224" s="10">
        <f ca="1">NPV(B1224,Project_FCF!C18:J18)+Project_FCF!B18</f>
        <v>1019.5036352718146</v>
      </c>
      <c r="D1224" s="4"/>
      <c r="E1224" s="4"/>
    </row>
    <row r="1225" spans="1:5" x14ac:dyDescent="0.3">
      <c r="A1225" s="9">
        <v>1217</v>
      </c>
      <c r="B1225" s="10">
        <f t="shared" ref="B1225:B1288" ca="1" si="19">$B$4+RAND()*($B$5-$B$4)</f>
        <v>7.4742849067585715E-2</v>
      </c>
      <c r="C1225" s="10">
        <f ca="1">NPV(B1225,Project_FCF!C18:J18)+Project_FCF!B18</f>
        <v>983.5262361035202</v>
      </c>
      <c r="D1225" s="4"/>
      <c r="E1225" s="4"/>
    </row>
    <row r="1226" spans="1:5" x14ac:dyDescent="0.3">
      <c r="A1226" s="9">
        <v>1218</v>
      </c>
      <c r="B1226" s="10">
        <f t="shared" ca="1" si="19"/>
        <v>7.3600393910132914E-2</v>
      </c>
      <c r="C1226" s="10">
        <f ca="1">NPV(B1226,Project_FCF!C18:J18)+Project_FCF!B18</f>
        <v>993.59770665662904</v>
      </c>
      <c r="D1226" s="4"/>
      <c r="E1226" s="4"/>
    </row>
    <row r="1227" spans="1:5" x14ac:dyDescent="0.3">
      <c r="A1227" s="9">
        <v>1219</v>
      </c>
      <c r="B1227" s="10">
        <f t="shared" ca="1" si="19"/>
        <v>8.7726316079112146E-2</v>
      </c>
      <c r="C1227" s="10">
        <f ca="1">NPV(B1227,Project_FCF!C18:J18)+Project_FCF!B18</f>
        <v>875.27372366713689</v>
      </c>
      <c r="D1227" s="4"/>
      <c r="E1227" s="4"/>
    </row>
    <row r="1228" spans="1:5" x14ac:dyDescent="0.3">
      <c r="A1228" s="9">
        <v>1220</v>
      </c>
      <c r="B1228" s="10">
        <f t="shared" ca="1" si="19"/>
        <v>8.7256495648033394E-2</v>
      </c>
      <c r="C1228" s="10">
        <f ca="1">NPV(B1228,Project_FCF!C18:J18)+Project_FCF!B18</f>
        <v>879.00006014924566</v>
      </c>
      <c r="D1228" s="4"/>
      <c r="E1228" s="4"/>
    </row>
    <row r="1229" spans="1:5" x14ac:dyDescent="0.3">
      <c r="A1229" s="9">
        <v>1221</v>
      </c>
      <c r="B1229" s="10">
        <f t="shared" ca="1" si="19"/>
        <v>9.5939433232745799E-2</v>
      </c>
      <c r="C1229" s="10">
        <f ca="1">NPV(B1229,Project_FCF!C18:J18)+Project_FCF!B18</f>
        <v>812.30500429936592</v>
      </c>
      <c r="D1229" s="4"/>
      <c r="E1229" s="4"/>
    </row>
    <row r="1230" spans="1:5" x14ac:dyDescent="0.3">
      <c r="A1230" s="9">
        <v>1222</v>
      </c>
      <c r="B1230" s="10">
        <f t="shared" ca="1" si="19"/>
        <v>9.4789407359024233E-2</v>
      </c>
      <c r="C1230" s="10">
        <f ca="1">NPV(B1230,Project_FCF!C18:J18)+Project_FCF!B18</f>
        <v>820.88008110904548</v>
      </c>
      <c r="D1230" s="4"/>
      <c r="E1230" s="4"/>
    </row>
    <row r="1231" spans="1:5" x14ac:dyDescent="0.3">
      <c r="A1231" s="9">
        <v>1223</v>
      </c>
      <c r="B1231" s="10">
        <f t="shared" ca="1" si="19"/>
        <v>0.10241755893417717</v>
      </c>
      <c r="C1231" s="10">
        <f ca="1">NPV(B1231,Project_FCF!C18:J18)+Project_FCF!B18</f>
        <v>765.4108242232262</v>
      </c>
      <c r="D1231" s="4"/>
      <c r="E1231" s="4"/>
    </row>
    <row r="1232" spans="1:5" x14ac:dyDescent="0.3">
      <c r="A1232" s="9">
        <v>1224</v>
      </c>
      <c r="B1232" s="10">
        <f t="shared" ca="1" si="19"/>
        <v>8.8914447060881543E-2</v>
      </c>
      <c r="C1232" s="10">
        <f ca="1">NPV(B1232,Project_FCF!C18:J18)+Project_FCF!B18</f>
        <v>865.91145440137325</v>
      </c>
      <c r="D1232" s="4"/>
      <c r="E1232" s="4"/>
    </row>
    <row r="1233" spans="1:5" x14ac:dyDescent="0.3">
      <c r="A1233" s="9">
        <v>1225</v>
      </c>
      <c r="B1233" s="10">
        <f t="shared" ca="1" si="19"/>
        <v>9.9928345780946504E-2</v>
      </c>
      <c r="C1233" s="10">
        <f ca="1">NPV(B1233,Project_FCF!C18:J18)+Project_FCF!B18</f>
        <v>783.15094244870193</v>
      </c>
      <c r="D1233" s="4"/>
      <c r="E1233" s="4"/>
    </row>
    <row r="1234" spans="1:5" x14ac:dyDescent="0.3">
      <c r="A1234" s="9">
        <v>1226</v>
      </c>
      <c r="B1234" s="10">
        <f t="shared" ca="1" si="19"/>
        <v>7.3680396436411361E-2</v>
      </c>
      <c r="C1234" s="10">
        <f ca="1">NPV(B1234,Project_FCF!C18:J18)+Project_FCF!B18</f>
        <v>992.88943436956356</v>
      </c>
      <c r="D1234" s="4"/>
      <c r="E1234" s="4"/>
    </row>
    <row r="1235" spans="1:5" x14ac:dyDescent="0.3">
      <c r="A1235" s="9">
        <v>1227</v>
      </c>
      <c r="B1235" s="10">
        <f t="shared" ca="1" si="19"/>
        <v>9.9587389767127901E-2</v>
      </c>
      <c r="C1235" s="10">
        <f ca="1">NPV(B1235,Project_FCF!C18:J18)+Project_FCF!B18</f>
        <v>785.6076818549675</v>
      </c>
      <c r="D1235" s="4"/>
      <c r="E1235" s="4"/>
    </row>
    <row r="1236" spans="1:5" x14ac:dyDescent="0.3">
      <c r="A1236" s="9">
        <v>1228</v>
      </c>
      <c r="B1236" s="10">
        <f t="shared" ca="1" si="19"/>
        <v>8.177670160272657E-2</v>
      </c>
      <c r="C1236" s="10">
        <f ca="1">NPV(B1236,Project_FCF!C18:J18)+Project_FCF!B18</f>
        <v>923.49870856341499</v>
      </c>
      <c r="D1236" s="4"/>
      <c r="E1236" s="4"/>
    </row>
    <row r="1237" spans="1:5" x14ac:dyDescent="0.3">
      <c r="A1237" s="9">
        <v>1229</v>
      </c>
      <c r="B1237" s="10">
        <f t="shared" ca="1" si="19"/>
        <v>9.7873494413799056E-2</v>
      </c>
      <c r="C1237" s="10">
        <f ca="1">NPV(B1237,Project_FCF!C18:J18)+Project_FCF!B18</f>
        <v>798.05624463141612</v>
      </c>
      <c r="D1237" s="4"/>
      <c r="E1237" s="4"/>
    </row>
    <row r="1238" spans="1:5" x14ac:dyDescent="0.3">
      <c r="A1238" s="9">
        <v>1230</v>
      </c>
      <c r="B1238" s="10">
        <f t="shared" ca="1" si="19"/>
        <v>7.0395758031794126E-2</v>
      </c>
      <c r="C1238" s="10">
        <f ca="1">NPV(B1238,Project_FCF!C18:J18)+Project_FCF!B18</f>
        <v>1022.3450705080995</v>
      </c>
      <c r="D1238" s="4"/>
      <c r="E1238" s="4"/>
    </row>
    <row r="1239" spans="1:5" x14ac:dyDescent="0.3">
      <c r="A1239" s="9">
        <v>1231</v>
      </c>
      <c r="B1239" s="10">
        <f t="shared" ca="1" si="19"/>
        <v>6.7522194554049536E-2</v>
      </c>
      <c r="C1239" s="10">
        <f ca="1">NPV(B1239,Project_FCF!C18:J18)+Project_FCF!B18</f>
        <v>1048.7587853051621</v>
      </c>
      <c r="D1239" s="4"/>
      <c r="E1239" s="4"/>
    </row>
    <row r="1240" spans="1:5" x14ac:dyDescent="0.3">
      <c r="A1240" s="9">
        <v>1232</v>
      </c>
      <c r="B1240" s="10">
        <f t="shared" ca="1" si="19"/>
        <v>6.4793604746888459E-2</v>
      </c>
      <c r="C1240" s="10">
        <f ca="1">NPV(B1240,Project_FCF!C18:J18)+Project_FCF!B18</f>
        <v>1074.4118637986194</v>
      </c>
      <c r="D1240" s="4"/>
      <c r="E1240" s="4"/>
    </row>
    <row r="1241" spans="1:5" x14ac:dyDescent="0.3">
      <c r="A1241" s="9">
        <v>1233</v>
      </c>
      <c r="B1241" s="10">
        <f t="shared" ca="1" si="19"/>
        <v>8.730911668056357E-2</v>
      </c>
      <c r="C1241" s="10">
        <f ca="1">NPV(B1241,Project_FCF!C18:J18)+Project_FCF!B18</f>
        <v>878.58201516723375</v>
      </c>
      <c r="D1241" s="4"/>
      <c r="E1241" s="4"/>
    </row>
    <row r="1242" spans="1:5" x14ac:dyDescent="0.3">
      <c r="A1242" s="9">
        <v>1234</v>
      </c>
      <c r="B1242" s="10">
        <f t="shared" ca="1" si="19"/>
        <v>6.4616328958693098E-2</v>
      </c>
      <c r="C1242" s="10">
        <f ca="1">NPV(B1242,Project_FCF!C18:J18)+Project_FCF!B18</f>
        <v>1076.0981549458315</v>
      </c>
      <c r="D1242" s="4"/>
      <c r="E1242" s="4"/>
    </row>
    <row r="1243" spans="1:5" x14ac:dyDescent="0.3">
      <c r="A1243" s="9">
        <v>1235</v>
      </c>
      <c r="B1243" s="10">
        <f t="shared" ca="1" si="19"/>
        <v>9.0551657054103979E-2</v>
      </c>
      <c r="C1243" s="10">
        <f ca="1">NPV(B1243,Project_FCF!C18:J18)+Project_FCF!B18</f>
        <v>853.15301055981081</v>
      </c>
      <c r="D1243" s="4"/>
      <c r="E1243" s="4"/>
    </row>
    <row r="1244" spans="1:5" x14ac:dyDescent="0.3">
      <c r="A1244" s="9">
        <v>1236</v>
      </c>
      <c r="B1244" s="10">
        <f t="shared" ca="1" si="19"/>
        <v>9.1283332122017585E-2</v>
      </c>
      <c r="C1244" s="10">
        <f ca="1">NPV(B1244,Project_FCF!C18:J18)+Project_FCF!B18</f>
        <v>847.50404437654947</v>
      </c>
      <c r="D1244" s="4"/>
      <c r="E1244" s="4"/>
    </row>
    <row r="1245" spans="1:5" x14ac:dyDescent="0.3">
      <c r="A1245" s="9">
        <v>1237</v>
      </c>
      <c r="B1245" s="10">
        <f t="shared" ca="1" si="19"/>
        <v>6.9630006265227071E-2</v>
      </c>
      <c r="C1245" s="10">
        <f ca="1">NPV(B1245,Project_FCF!C18:J18)+Project_FCF!B18</f>
        <v>1029.3243313152307</v>
      </c>
      <c r="D1245" s="4"/>
      <c r="E1245" s="4"/>
    </row>
    <row r="1246" spans="1:5" x14ac:dyDescent="0.3">
      <c r="A1246" s="9">
        <v>1238</v>
      </c>
      <c r="B1246" s="10">
        <f t="shared" ca="1" si="19"/>
        <v>7.2164056506807753E-2</v>
      </c>
      <c r="C1246" s="10">
        <f ca="1">NPV(B1246,Project_FCF!C18:J18)+Project_FCF!B18</f>
        <v>1006.391228199353</v>
      </c>
      <c r="D1246" s="4"/>
      <c r="E1246" s="4"/>
    </row>
    <row r="1247" spans="1:5" x14ac:dyDescent="0.3">
      <c r="A1247" s="9">
        <v>1239</v>
      </c>
      <c r="B1247" s="10">
        <f t="shared" ca="1" si="19"/>
        <v>6.8334014568400867E-2</v>
      </c>
      <c r="C1247" s="10">
        <f ca="1">NPV(B1247,Project_FCF!C18:J18)+Project_FCF!B18</f>
        <v>1041.2346055232135</v>
      </c>
      <c r="D1247" s="4"/>
      <c r="E1247" s="4"/>
    </row>
    <row r="1248" spans="1:5" x14ac:dyDescent="0.3">
      <c r="A1248" s="9">
        <v>1240</v>
      </c>
      <c r="B1248" s="10">
        <f t="shared" ca="1" si="19"/>
        <v>6.7721327028668843E-2</v>
      </c>
      <c r="C1248" s="10">
        <f ca="1">NPV(B1248,Project_FCF!C18:J18)+Project_FCF!B18</f>
        <v>1046.9086158364969</v>
      </c>
      <c r="D1248" s="4"/>
      <c r="E1248" s="4"/>
    </row>
    <row r="1249" spans="1:5" x14ac:dyDescent="0.3">
      <c r="A1249" s="9">
        <v>1241</v>
      </c>
      <c r="B1249" s="10">
        <f t="shared" ca="1" si="19"/>
        <v>7.1296953567473703E-2</v>
      </c>
      <c r="C1249" s="10">
        <f ca="1">NPV(B1249,Project_FCF!C18:J18)+Project_FCF!B18</f>
        <v>1014.186092652172</v>
      </c>
      <c r="D1249" s="4"/>
      <c r="E1249" s="4"/>
    </row>
    <row r="1250" spans="1:5" x14ac:dyDescent="0.3">
      <c r="A1250" s="9">
        <v>1242</v>
      </c>
      <c r="B1250" s="10">
        <f t="shared" ca="1" si="19"/>
        <v>0.10148362112559989</v>
      </c>
      <c r="C1250" s="10">
        <f ca="1">NPV(B1250,Project_FCF!C18:J18)+Project_FCF!B18</f>
        <v>772.02667145762757</v>
      </c>
      <c r="D1250" s="4"/>
      <c r="E1250" s="4"/>
    </row>
    <row r="1251" spans="1:5" x14ac:dyDescent="0.3">
      <c r="A1251" s="9">
        <v>1243</v>
      </c>
      <c r="B1251" s="10">
        <f t="shared" ca="1" si="19"/>
        <v>8.1964471983093673E-2</v>
      </c>
      <c r="C1251" s="10">
        <f ca="1">NPV(B1251,Project_FCF!C18:J18)+Project_FCF!B18</f>
        <v>921.94178889586146</v>
      </c>
      <c r="D1251" s="4"/>
      <c r="E1251" s="4"/>
    </row>
    <row r="1252" spans="1:5" x14ac:dyDescent="0.3">
      <c r="A1252" s="9">
        <v>1244</v>
      </c>
      <c r="B1252" s="10">
        <f t="shared" ca="1" si="19"/>
        <v>7.5385396325311813E-2</v>
      </c>
      <c r="C1252" s="10">
        <f ca="1">NPV(B1252,Project_FCF!C18:J18)+Project_FCF!B18</f>
        <v>977.90203193600632</v>
      </c>
      <c r="D1252" s="4"/>
      <c r="E1252" s="4"/>
    </row>
    <row r="1253" spans="1:5" x14ac:dyDescent="0.3">
      <c r="A1253" s="9">
        <v>1245</v>
      </c>
      <c r="B1253" s="10">
        <f t="shared" ca="1" si="19"/>
        <v>8.711643653822243E-2</v>
      </c>
      <c r="C1253" s="10">
        <f ca="1">NPV(B1253,Project_FCF!C18:J18)+Project_FCF!B18</f>
        <v>880.11359735013707</v>
      </c>
      <c r="D1253" s="4"/>
      <c r="E1253" s="4"/>
    </row>
    <row r="1254" spans="1:5" x14ac:dyDescent="0.3">
      <c r="A1254" s="9">
        <v>1246</v>
      </c>
      <c r="B1254" s="10">
        <f t="shared" ca="1" si="19"/>
        <v>9.5470061491219727E-2</v>
      </c>
      <c r="C1254" s="10">
        <f ca="1">NPV(B1254,Project_FCF!C18:J18)+Project_FCF!B18</f>
        <v>815.79553700643555</v>
      </c>
      <c r="D1254" s="4"/>
      <c r="E1254" s="4"/>
    </row>
    <row r="1255" spans="1:5" x14ac:dyDescent="0.3">
      <c r="A1255" s="9">
        <v>1247</v>
      </c>
      <c r="B1255" s="10">
        <f t="shared" ca="1" si="19"/>
        <v>7.7656562462467688E-2</v>
      </c>
      <c r="C1255" s="10">
        <f ca="1">NPV(B1255,Project_FCF!C18:J18)+Project_FCF!B18</f>
        <v>958.25201235557347</v>
      </c>
      <c r="D1255" s="4"/>
      <c r="E1255" s="4"/>
    </row>
    <row r="1256" spans="1:5" x14ac:dyDescent="0.3">
      <c r="A1256" s="9">
        <v>1248</v>
      </c>
      <c r="B1256" s="10">
        <f t="shared" ca="1" si="19"/>
        <v>8.7419265805718779E-2</v>
      </c>
      <c r="C1256" s="10">
        <f ca="1">NPV(B1256,Project_FCF!C18:J18)+Project_FCF!B18</f>
        <v>877.70750226426321</v>
      </c>
      <c r="D1256" s="4"/>
      <c r="E1256" s="4"/>
    </row>
    <row r="1257" spans="1:5" x14ac:dyDescent="0.3">
      <c r="A1257" s="9">
        <v>1249</v>
      </c>
      <c r="B1257" s="10">
        <f t="shared" ca="1" si="19"/>
        <v>7.6662263450606824E-2</v>
      </c>
      <c r="C1257" s="10">
        <f ca="1">NPV(B1257,Project_FCF!C18:J18)+Project_FCF!B18</f>
        <v>966.8108727042993</v>
      </c>
      <c r="D1257" s="4"/>
      <c r="E1257" s="4"/>
    </row>
    <row r="1258" spans="1:5" x14ac:dyDescent="0.3">
      <c r="A1258" s="9">
        <v>1250</v>
      </c>
      <c r="B1258" s="10">
        <f t="shared" ca="1" si="19"/>
        <v>6.880054581525126E-2</v>
      </c>
      <c r="C1258" s="10">
        <f ca="1">NPV(B1258,Project_FCF!C18:J18)+Project_FCF!B18</f>
        <v>1036.9328427642254</v>
      </c>
      <c r="D1258" s="4"/>
      <c r="E1258" s="4"/>
    </row>
    <row r="1259" spans="1:5" x14ac:dyDescent="0.3">
      <c r="A1259" s="9">
        <v>1251</v>
      </c>
      <c r="B1259" s="10">
        <f t="shared" ca="1" si="19"/>
        <v>7.0758673736444247E-2</v>
      </c>
      <c r="C1259" s="10">
        <f ca="1">NPV(B1259,Project_FCF!C18:J18)+Project_FCF!B18</f>
        <v>1019.0523159628326</v>
      </c>
      <c r="D1259" s="4"/>
      <c r="E1259" s="4"/>
    </row>
    <row r="1260" spans="1:5" x14ac:dyDescent="0.3">
      <c r="A1260" s="9">
        <v>1252</v>
      </c>
      <c r="B1260" s="10">
        <f t="shared" ca="1" si="19"/>
        <v>8.1209025036447613E-2</v>
      </c>
      <c r="C1260" s="10">
        <f ca="1">NPV(B1260,Project_FCF!C18:J18)+Project_FCF!B18</f>
        <v>928.21978394459734</v>
      </c>
      <c r="D1260" s="4"/>
      <c r="E1260" s="4"/>
    </row>
    <row r="1261" spans="1:5" x14ac:dyDescent="0.3">
      <c r="A1261" s="9">
        <v>1253</v>
      </c>
      <c r="B1261" s="10">
        <f t="shared" ca="1" si="19"/>
        <v>0.10253172818163718</v>
      </c>
      <c r="C1261" s="10">
        <f ca="1">NPV(B1261,Project_FCF!C18:J18)+Project_FCF!B18</f>
        <v>764.6053512095707</v>
      </c>
      <c r="D1261" s="4"/>
      <c r="E1261" s="4"/>
    </row>
    <row r="1262" spans="1:5" x14ac:dyDescent="0.3">
      <c r="A1262" s="9">
        <v>1254</v>
      </c>
      <c r="B1262" s="10">
        <f t="shared" ca="1" si="19"/>
        <v>8.0895800960766179E-2</v>
      </c>
      <c r="C1262" s="10">
        <f ca="1">NPV(B1262,Project_FCF!C18:J18)+Project_FCF!B18</f>
        <v>930.83382215449979</v>
      </c>
      <c r="D1262" s="4"/>
      <c r="E1262" s="4"/>
    </row>
    <row r="1263" spans="1:5" x14ac:dyDescent="0.3">
      <c r="A1263" s="9">
        <v>1255</v>
      </c>
      <c r="B1263" s="10">
        <f t="shared" ca="1" si="19"/>
        <v>9.4834758707318972E-2</v>
      </c>
      <c r="C1263" s="10">
        <f ca="1">NPV(B1263,Project_FCF!C18:J18)+Project_FCF!B18</f>
        <v>820.54046118804354</v>
      </c>
      <c r="D1263" s="4"/>
      <c r="E1263" s="4"/>
    </row>
    <row r="1264" spans="1:5" x14ac:dyDescent="0.3">
      <c r="A1264" s="9">
        <v>1256</v>
      </c>
      <c r="B1264" s="10">
        <f t="shared" ca="1" si="19"/>
        <v>7.480034542802598E-2</v>
      </c>
      <c r="C1264" s="10">
        <f ca="1">NPV(B1264,Project_FCF!C18:J18)+Project_FCF!B18</f>
        <v>983.02179506526363</v>
      </c>
      <c r="D1264" s="4"/>
      <c r="E1264" s="4"/>
    </row>
    <row r="1265" spans="1:5" x14ac:dyDescent="0.3">
      <c r="A1265" s="9">
        <v>1257</v>
      </c>
      <c r="B1265" s="10">
        <f t="shared" ca="1" si="19"/>
        <v>6.7745064543009104E-2</v>
      </c>
      <c r="C1265" s="10">
        <f ca="1">NPV(B1265,Project_FCF!C18:J18)+Project_FCF!B18</f>
        <v>1046.6882648285357</v>
      </c>
      <c r="D1265" s="4"/>
      <c r="E1265" s="4"/>
    </row>
    <row r="1266" spans="1:5" x14ac:dyDescent="0.3">
      <c r="A1266" s="9">
        <v>1258</v>
      </c>
      <c r="B1266" s="10">
        <f t="shared" ca="1" si="19"/>
        <v>9.5422525602706254E-2</v>
      </c>
      <c r="C1266" s="10">
        <f ca="1">NPV(B1266,Project_FCF!C18:J18)+Project_FCF!B18</f>
        <v>816.14975665234147</v>
      </c>
      <c r="D1266" s="4"/>
      <c r="E1266" s="4"/>
    </row>
    <row r="1267" spans="1:5" x14ac:dyDescent="0.3">
      <c r="A1267" s="9">
        <v>1259</v>
      </c>
      <c r="B1267" s="10">
        <f t="shared" ca="1" si="19"/>
        <v>8.0238381951701035E-2</v>
      </c>
      <c r="C1267" s="10">
        <f ca="1">NPV(B1267,Project_FCF!C18:J18)+Project_FCF!B18</f>
        <v>936.34154403771731</v>
      </c>
      <c r="D1267" s="4"/>
      <c r="E1267" s="4"/>
    </row>
    <row r="1268" spans="1:5" x14ac:dyDescent="0.3">
      <c r="A1268" s="9">
        <v>1260</v>
      </c>
      <c r="B1268" s="10">
        <f t="shared" ca="1" si="19"/>
        <v>8.8681532147168909E-2</v>
      </c>
      <c r="C1268" s="10">
        <f ca="1">NPV(B1268,Project_FCF!C18:J18)+Project_FCF!B18</f>
        <v>867.73989238704075</v>
      </c>
      <c r="D1268" s="4"/>
      <c r="E1268" s="4"/>
    </row>
    <row r="1269" spans="1:5" x14ac:dyDescent="0.3">
      <c r="A1269" s="9">
        <v>1261</v>
      </c>
      <c r="B1269" s="10">
        <f t="shared" ca="1" si="19"/>
        <v>8.5292848574311436E-2</v>
      </c>
      <c r="C1269" s="10">
        <f ca="1">NPV(B1269,Project_FCF!C18:J18)+Project_FCF!B18</f>
        <v>894.72481179349325</v>
      </c>
      <c r="D1269" s="4"/>
      <c r="E1269" s="4"/>
    </row>
    <row r="1270" spans="1:5" x14ac:dyDescent="0.3">
      <c r="A1270" s="9">
        <v>1262</v>
      </c>
      <c r="B1270" s="10">
        <f t="shared" ca="1" si="19"/>
        <v>9.2104720137868384E-2</v>
      </c>
      <c r="C1270" s="10">
        <f ca="1">NPV(B1270,Project_FCF!C18:J18)+Project_FCF!B18</f>
        <v>841.20095461505753</v>
      </c>
      <c r="D1270" s="4"/>
      <c r="E1270" s="4"/>
    </row>
    <row r="1271" spans="1:5" x14ac:dyDescent="0.3">
      <c r="A1271" s="9">
        <v>1263</v>
      </c>
      <c r="B1271" s="10">
        <f t="shared" ca="1" si="19"/>
        <v>0.10027707649855241</v>
      </c>
      <c r="C1271" s="10">
        <f ca="1">NPV(B1271,Project_FCF!C18:J18)+Project_FCF!B18</f>
        <v>780.64490863569586</v>
      </c>
      <c r="D1271" s="4"/>
      <c r="E1271" s="4"/>
    </row>
    <row r="1272" spans="1:5" x14ac:dyDescent="0.3">
      <c r="A1272" s="9">
        <v>1264</v>
      </c>
      <c r="B1272" s="10">
        <f t="shared" ca="1" si="19"/>
        <v>0.10127212886262667</v>
      </c>
      <c r="C1272" s="10">
        <f ca="1">NPV(B1272,Project_FCF!C18:J18)+Project_FCF!B18</f>
        <v>773.53151224579415</v>
      </c>
      <c r="D1272" s="4"/>
      <c r="E1272" s="4"/>
    </row>
    <row r="1273" spans="1:5" x14ac:dyDescent="0.3">
      <c r="A1273" s="9">
        <v>1265</v>
      </c>
      <c r="B1273" s="10">
        <f t="shared" ca="1" si="19"/>
        <v>8.7172511221391774E-2</v>
      </c>
      <c r="C1273" s="10">
        <f ca="1">NPV(B1273,Project_FCF!C18:J18)+Project_FCF!B18</f>
        <v>879.6676291483559</v>
      </c>
      <c r="D1273" s="4"/>
      <c r="E1273" s="4"/>
    </row>
    <row r="1274" spans="1:5" x14ac:dyDescent="0.3">
      <c r="A1274" s="9">
        <v>1266</v>
      </c>
      <c r="B1274" s="10">
        <f t="shared" ca="1" si="19"/>
        <v>8.9884183600699497E-2</v>
      </c>
      <c r="C1274" s="10">
        <f ca="1">NPV(B1274,Project_FCF!C18:J18)+Project_FCF!B18</f>
        <v>858.33468435189411</v>
      </c>
      <c r="D1274" s="4"/>
      <c r="E1274" s="4"/>
    </row>
    <row r="1275" spans="1:5" x14ac:dyDescent="0.3">
      <c r="A1275" s="9">
        <v>1267</v>
      </c>
      <c r="B1275" s="10">
        <f t="shared" ca="1" si="19"/>
        <v>8.1356478679570549E-2</v>
      </c>
      <c r="C1275" s="10">
        <f ca="1">NPV(B1275,Project_FCF!C18:J18)+Project_FCF!B18</f>
        <v>926.9914435959256</v>
      </c>
      <c r="D1275" s="4"/>
      <c r="E1275" s="4"/>
    </row>
    <row r="1276" spans="1:5" x14ac:dyDescent="0.3">
      <c r="A1276" s="9">
        <v>1268</v>
      </c>
      <c r="B1276" s="10">
        <f t="shared" ca="1" si="19"/>
        <v>7.0794482099252307E-2</v>
      </c>
      <c r="C1276" s="10">
        <f ca="1">NPV(B1276,Project_FCF!C18:J18)+Project_FCF!B18</f>
        <v>1018.7279440677526</v>
      </c>
      <c r="D1276" s="4"/>
      <c r="E1276" s="4"/>
    </row>
    <row r="1277" spans="1:5" x14ac:dyDescent="0.3">
      <c r="A1277" s="9">
        <v>1269</v>
      </c>
      <c r="B1277" s="10">
        <f t="shared" ca="1" si="19"/>
        <v>7.082480066943142E-2</v>
      </c>
      <c r="C1277" s="10">
        <f ca="1">NPV(B1277,Project_FCF!C18:J18)+Project_FCF!B18</f>
        <v>1018.4533745791923</v>
      </c>
      <c r="D1277" s="4"/>
      <c r="E1277" s="4"/>
    </row>
    <row r="1278" spans="1:5" x14ac:dyDescent="0.3">
      <c r="A1278" s="9">
        <v>1270</v>
      </c>
      <c r="B1278" s="10">
        <f t="shared" ca="1" si="19"/>
        <v>6.7493162811892077E-2</v>
      </c>
      <c r="C1278" s="10">
        <f ca="1">NPV(B1278,Project_FCF!C18:J18)+Project_FCF!B18</f>
        <v>1049.0287713611363</v>
      </c>
      <c r="D1278" s="4"/>
      <c r="E1278" s="4"/>
    </row>
    <row r="1279" spans="1:5" x14ac:dyDescent="0.3">
      <c r="A1279" s="9">
        <v>1271</v>
      </c>
      <c r="B1279" s="10">
        <f t="shared" ca="1" si="19"/>
        <v>6.8879893269771286E-2</v>
      </c>
      <c r="C1279" s="10">
        <f ca="1">NPV(B1279,Project_FCF!C18:J18)+Project_FCF!B18</f>
        <v>1036.2028049818896</v>
      </c>
      <c r="D1279" s="4"/>
      <c r="E1279" s="4"/>
    </row>
    <row r="1280" spans="1:5" x14ac:dyDescent="0.3">
      <c r="A1280" s="9">
        <v>1272</v>
      </c>
      <c r="B1280" s="10">
        <f t="shared" ca="1" si="19"/>
        <v>8.5725111190728509E-2</v>
      </c>
      <c r="C1280" s="10">
        <f ca="1">NPV(B1280,Project_FCF!C18:J18)+Project_FCF!B18</f>
        <v>891.24234056786145</v>
      </c>
      <c r="D1280" s="4"/>
      <c r="E1280" s="4"/>
    </row>
    <row r="1281" spans="1:5" x14ac:dyDescent="0.3">
      <c r="A1281" s="9">
        <v>1273</v>
      </c>
      <c r="B1281" s="10">
        <f t="shared" ca="1" si="19"/>
        <v>6.4421312887231102E-2</v>
      </c>
      <c r="C1281" s="10">
        <f ca="1">NPV(B1281,Project_FCF!C18:J18)+Project_FCF!B18</f>
        <v>1077.9559871245938</v>
      </c>
      <c r="D1281" s="4"/>
      <c r="E1281" s="4"/>
    </row>
    <row r="1282" spans="1:5" x14ac:dyDescent="0.3">
      <c r="A1282" s="9">
        <v>1274</v>
      </c>
      <c r="B1282" s="10">
        <f t="shared" ca="1" si="19"/>
        <v>7.8365542043507222E-2</v>
      </c>
      <c r="C1282" s="10">
        <f ca="1">NPV(B1282,Project_FCF!C18:J18)+Project_FCF!B18</f>
        <v>952.19041918312405</v>
      </c>
      <c r="D1282" s="4"/>
      <c r="E1282" s="4"/>
    </row>
    <row r="1283" spans="1:5" x14ac:dyDescent="0.3">
      <c r="A1283" s="9">
        <v>1275</v>
      </c>
      <c r="B1283" s="10">
        <f t="shared" ca="1" si="19"/>
        <v>7.1443438985861196E-2</v>
      </c>
      <c r="C1283" s="10">
        <f ca="1">NPV(B1283,Project_FCF!C18:J18)+Project_FCF!B18</f>
        <v>1012.8654490627039</v>
      </c>
      <c r="D1283" s="4"/>
      <c r="E1283" s="4"/>
    </row>
    <row r="1284" spans="1:5" x14ac:dyDescent="0.3">
      <c r="A1284" s="9">
        <v>1276</v>
      </c>
      <c r="B1284" s="10">
        <f t="shared" ca="1" si="19"/>
        <v>8.2559710548590501E-2</v>
      </c>
      <c r="C1284" s="10">
        <f ca="1">NPV(B1284,Project_FCF!C18:J18)+Project_FCF!B18</f>
        <v>917.02158352282163</v>
      </c>
      <c r="D1284" s="4"/>
      <c r="E1284" s="4"/>
    </row>
    <row r="1285" spans="1:5" x14ac:dyDescent="0.3">
      <c r="A1285" s="9">
        <v>1277</v>
      </c>
      <c r="B1285" s="10">
        <f t="shared" ca="1" si="19"/>
        <v>8.1716184757452404E-2</v>
      </c>
      <c r="C1285" s="10">
        <f ca="1">NPV(B1285,Project_FCF!C18:J18)+Project_FCF!B18</f>
        <v>924.00098489983679</v>
      </c>
      <c r="D1285" s="4"/>
      <c r="E1285" s="4"/>
    </row>
    <row r="1286" spans="1:5" x14ac:dyDescent="0.3">
      <c r="A1286" s="9">
        <v>1278</v>
      </c>
      <c r="B1286" s="10">
        <f t="shared" ca="1" si="19"/>
        <v>6.9510095896014229E-2</v>
      </c>
      <c r="C1286" s="10">
        <f ca="1">NPV(B1286,Project_FCF!C18:J18)+Project_FCF!B18</f>
        <v>1030.4211173827384</v>
      </c>
      <c r="D1286" s="4"/>
      <c r="E1286" s="4"/>
    </row>
    <row r="1287" spans="1:5" x14ac:dyDescent="0.3">
      <c r="A1287" s="9">
        <v>1279</v>
      </c>
      <c r="B1287" s="10">
        <f t="shared" ca="1" si="19"/>
        <v>9.5960952547012035E-2</v>
      </c>
      <c r="C1287" s="10">
        <f ca="1">NPV(B1287,Project_FCF!C18:J18)+Project_FCF!B18</f>
        <v>812.1452800934012</v>
      </c>
      <c r="D1287" s="4"/>
      <c r="E1287" s="4"/>
    </row>
    <row r="1288" spans="1:5" x14ac:dyDescent="0.3">
      <c r="A1288" s="9">
        <v>1280</v>
      </c>
      <c r="B1288" s="10">
        <f t="shared" ca="1" si="19"/>
        <v>0.10367462444034811</v>
      </c>
      <c r="C1288" s="10">
        <f ca="1">NPV(B1288,Project_FCF!C18:J18)+Project_FCF!B18</f>
        <v>756.58127228412104</v>
      </c>
      <c r="D1288" s="4"/>
      <c r="E1288" s="4"/>
    </row>
    <row r="1289" spans="1:5" x14ac:dyDescent="0.3">
      <c r="A1289" s="9">
        <v>1281</v>
      </c>
      <c r="B1289" s="10">
        <f t="shared" ref="B1289:B1352" ca="1" si="20">$B$4+RAND()*($B$5-$B$4)</f>
        <v>7.5601875319442582E-2</v>
      </c>
      <c r="C1289" s="10">
        <f ca="1">NPV(B1289,Project_FCF!C18:J18)+Project_FCF!B18</f>
        <v>976.01368340341287</v>
      </c>
      <c r="D1289" s="4"/>
      <c r="E1289" s="4"/>
    </row>
    <row r="1290" spans="1:5" x14ac:dyDescent="0.3">
      <c r="A1290" s="9">
        <v>1282</v>
      </c>
      <c r="B1290" s="10">
        <f t="shared" ca="1" si="20"/>
        <v>0.10280846275362368</v>
      </c>
      <c r="C1290" s="10">
        <f ca="1">NPV(B1290,Project_FCF!C18:J18)+Project_FCF!B18</f>
        <v>762.6559219323965</v>
      </c>
      <c r="D1290" s="4"/>
      <c r="E1290" s="4"/>
    </row>
    <row r="1291" spans="1:5" x14ac:dyDescent="0.3">
      <c r="A1291" s="9">
        <v>1283</v>
      </c>
      <c r="B1291" s="10">
        <f t="shared" ca="1" si="20"/>
        <v>7.5864657390670359E-2</v>
      </c>
      <c r="C1291" s="10">
        <f ca="1">NPV(B1291,Project_FCF!C18:J18)+Project_FCF!B18</f>
        <v>973.72581176932863</v>
      </c>
      <c r="D1291" s="4"/>
      <c r="E1291" s="4"/>
    </row>
    <row r="1292" spans="1:5" x14ac:dyDescent="0.3">
      <c r="A1292" s="9">
        <v>1284</v>
      </c>
      <c r="B1292" s="10">
        <f t="shared" ca="1" si="20"/>
        <v>6.7063599261734386E-2</v>
      </c>
      <c r="C1292" s="10">
        <f ca="1">NPV(B1292,Project_FCF!C18:J18)+Project_FCF!B18</f>
        <v>1053.0309618520434</v>
      </c>
      <c r="D1292" s="4"/>
      <c r="E1292" s="4"/>
    </row>
    <row r="1293" spans="1:5" x14ac:dyDescent="0.3">
      <c r="A1293" s="9">
        <v>1285</v>
      </c>
      <c r="B1293" s="10">
        <f t="shared" ca="1" si="20"/>
        <v>8.0900279465168146E-2</v>
      </c>
      <c r="C1293" s="10">
        <f ca="1">NPV(B1293,Project_FCF!C18:J18)+Project_FCF!B18</f>
        <v>930.79640062124349</v>
      </c>
      <c r="D1293" s="4"/>
      <c r="E1293" s="4"/>
    </row>
    <row r="1294" spans="1:5" x14ac:dyDescent="0.3">
      <c r="A1294" s="9">
        <v>1286</v>
      </c>
      <c r="B1294" s="10">
        <f t="shared" ca="1" si="20"/>
        <v>0.10103794492143063</v>
      </c>
      <c r="C1294" s="10">
        <f ca="1">NPV(B1294,Project_FCF!C18:J18)+Project_FCF!B18</f>
        <v>775.20069657700492</v>
      </c>
      <c r="D1294" s="4"/>
      <c r="E1294" s="4"/>
    </row>
    <row r="1295" spans="1:5" x14ac:dyDescent="0.3">
      <c r="A1295" s="9">
        <v>1287</v>
      </c>
      <c r="B1295" s="10">
        <f t="shared" ca="1" si="20"/>
        <v>6.8546076109313847E-2</v>
      </c>
      <c r="C1295" s="10">
        <f ca="1">NPV(B1295,Project_FCF!C18:J18)+Project_FCF!B18</f>
        <v>1039.2772406007959</v>
      </c>
      <c r="D1295" s="4"/>
      <c r="E1295" s="4"/>
    </row>
    <row r="1296" spans="1:5" x14ac:dyDescent="0.3">
      <c r="A1296" s="9">
        <v>1288</v>
      </c>
      <c r="B1296" s="10">
        <f t="shared" ca="1" si="20"/>
        <v>0.10010320556189801</v>
      </c>
      <c r="C1296" s="10">
        <f ca="1">NPV(B1296,Project_FCF!C18:J18)+Project_FCF!B18</f>
        <v>781.8935236468692</v>
      </c>
      <c r="D1296" s="4"/>
      <c r="E1296" s="4"/>
    </row>
    <row r="1297" spans="1:5" x14ac:dyDescent="0.3">
      <c r="A1297" s="9">
        <v>1289</v>
      </c>
      <c r="B1297" s="10">
        <f t="shared" ca="1" si="20"/>
        <v>9.0882094681279002E-2</v>
      </c>
      <c r="C1297" s="10">
        <f ca="1">NPV(B1297,Project_FCF!C18:J18)+Project_FCF!B18</f>
        <v>850.59781835474018</v>
      </c>
      <c r="D1297" s="4"/>
      <c r="E1297" s="4"/>
    </row>
    <row r="1298" spans="1:5" x14ac:dyDescent="0.3">
      <c r="A1298" s="9">
        <v>1290</v>
      </c>
      <c r="B1298" s="10">
        <f t="shared" ca="1" si="20"/>
        <v>8.9575879328500529E-2</v>
      </c>
      <c r="C1298" s="10">
        <f ca="1">NPV(B1298,Project_FCF!C18:J18)+Project_FCF!B18</f>
        <v>860.73727556029735</v>
      </c>
      <c r="D1298" s="4"/>
      <c r="E1298" s="4"/>
    </row>
    <row r="1299" spans="1:5" x14ac:dyDescent="0.3">
      <c r="A1299" s="9">
        <v>1291</v>
      </c>
      <c r="B1299" s="10">
        <f t="shared" ca="1" si="20"/>
        <v>8.6306071249965491E-2</v>
      </c>
      <c r="C1299" s="10">
        <f ca="1">NPV(B1299,Project_FCF!C18:J18)+Project_FCF!B18</f>
        <v>886.58058161752933</v>
      </c>
      <c r="D1299" s="4"/>
      <c r="E1299" s="4"/>
    </row>
    <row r="1300" spans="1:5" x14ac:dyDescent="0.3">
      <c r="A1300" s="9">
        <v>1292</v>
      </c>
      <c r="B1300" s="10">
        <f t="shared" ca="1" si="20"/>
        <v>9.8885978246374628E-2</v>
      </c>
      <c r="C1300" s="10">
        <f ca="1">NPV(B1300,Project_FCF!C18:J18)+Project_FCF!B18</f>
        <v>790.68219267192194</v>
      </c>
      <c r="D1300" s="4"/>
      <c r="E1300" s="4"/>
    </row>
    <row r="1301" spans="1:5" x14ac:dyDescent="0.3">
      <c r="A1301" s="9">
        <v>1293</v>
      </c>
      <c r="B1301" s="10">
        <f t="shared" ca="1" si="20"/>
        <v>0.10095262488891239</v>
      </c>
      <c r="C1301" s="10">
        <f ca="1">NPV(B1301,Project_FCF!C18:J18)+Project_FCF!B18</f>
        <v>775.8095836010375</v>
      </c>
      <c r="D1301" s="4"/>
      <c r="E1301" s="4"/>
    </row>
    <row r="1302" spans="1:5" x14ac:dyDescent="0.3">
      <c r="A1302" s="9">
        <v>1294</v>
      </c>
      <c r="B1302" s="10">
        <f t="shared" ca="1" si="20"/>
        <v>8.0148485359792576E-2</v>
      </c>
      <c r="C1302" s="10">
        <f ca="1">NPV(B1302,Project_FCF!C18:J18)+Project_FCF!B18</f>
        <v>937.09691576302907</v>
      </c>
      <c r="D1302" s="4"/>
      <c r="E1302" s="4"/>
    </row>
    <row r="1303" spans="1:5" x14ac:dyDescent="0.3">
      <c r="A1303" s="9">
        <v>1295</v>
      </c>
      <c r="B1303" s="10">
        <f t="shared" ca="1" si="20"/>
        <v>6.8789387501160787E-2</v>
      </c>
      <c r="C1303" s="10">
        <f ca="1">NPV(B1303,Project_FCF!C18:J18)+Project_FCF!B18</f>
        <v>1037.0355424026454</v>
      </c>
      <c r="D1303" s="4"/>
      <c r="E1303" s="4"/>
    </row>
    <row r="1304" spans="1:5" x14ac:dyDescent="0.3">
      <c r="A1304" s="9">
        <v>1296</v>
      </c>
      <c r="B1304" s="10">
        <f t="shared" ca="1" si="20"/>
        <v>7.44169949405835E-2</v>
      </c>
      <c r="C1304" s="10">
        <f ca="1">NPV(B1304,Project_FCF!C18:J18)+Project_FCF!B18</f>
        <v>986.38948034399959</v>
      </c>
      <c r="D1304" s="4"/>
      <c r="E1304" s="4"/>
    </row>
    <row r="1305" spans="1:5" x14ac:dyDescent="0.3">
      <c r="A1305" s="9">
        <v>1297</v>
      </c>
      <c r="B1305" s="10">
        <f t="shared" ca="1" si="20"/>
        <v>8.2566099662574763E-2</v>
      </c>
      <c r="C1305" s="10">
        <f ca="1">NPV(B1305,Project_FCF!C18:J18)+Project_FCF!B18</f>
        <v>916.96889724861944</v>
      </c>
      <c r="D1305" s="4"/>
      <c r="E1305" s="4"/>
    </row>
    <row r="1306" spans="1:5" x14ac:dyDescent="0.3">
      <c r="A1306" s="9">
        <v>1298</v>
      </c>
      <c r="B1306" s="10">
        <f t="shared" ca="1" si="20"/>
        <v>0.1034459711550188</v>
      </c>
      <c r="C1306" s="10">
        <f ca="1">NPV(B1306,Project_FCF!C18:J18)+Project_FCF!B18</f>
        <v>758.18092945589274</v>
      </c>
      <c r="D1306" s="4"/>
      <c r="E1306" s="4"/>
    </row>
    <row r="1307" spans="1:5" x14ac:dyDescent="0.3">
      <c r="A1307" s="9">
        <v>1299</v>
      </c>
      <c r="B1307" s="10">
        <f t="shared" ca="1" si="20"/>
        <v>7.6445460326340697E-2</v>
      </c>
      <c r="C1307" s="10">
        <f ca="1">NPV(B1307,Project_FCF!C18:J18)+Project_FCF!B18</f>
        <v>968.68612234042757</v>
      </c>
      <c r="D1307" s="4"/>
      <c r="E1307" s="4"/>
    </row>
    <row r="1308" spans="1:5" x14ac:dyDescent="0.3">
      <c r="A1308" s="9">
        <v>1300</v>
      </c>
      <c r="B1308" s="10">
        <f t="shared" ca="1" si="20"/>
        <v>7.2400247750884633E-2</v>
      </c>
      <c r="C1308" s="10">
        <f ca="1">NPV(B1308,Project_FCF!C18:J18)+Project_FCF!B18</f>
        <v>1004.2773431105188</v>
      </c>
      <c r="D1308" s="4"/>
      <c r="E1308" s="4"/>
    </row>
    <row r="1309" spans="1:5" x14ac:dyDescent="0.3">
      <c r="A1309" s="9">
        <v>1301</v>
      </c>
      <c r="B1309" s="10">
        <f t="shared" ca="1" si="20"/>
        <v>8.6337277453099215E-2</v>
      </c>
      <c r="C1309" s="10">
        <f ca="1">NPV(B1309,Project_FCF!C18:J18)+Project_FCF!B18</f>
        <v>886.33077994755376</v>
      </c>
      <c r="D1309" s="4"/>
      <c r="E1309" s="4"/>
    </row>
    <row r="1310" spans="1:5" x14ac:dyDescent="0.3">
      <c r="A1310" s="9">
        <v>1302</v>
      </c>
      <c r="B1310" s="10">
        <f t="shared" ca="1" si="20"/>
        <v>8.3490643641750448E-2</v>
      </c>
      <c r="C1310" s="10">
        <f ca="1">NPV(B1310,Project_FCF!C18:J18)+Project_FCF!B18</f>
        <v>909.37289829052315</v>
      </c>
      <c r="D1310" s="4"/>
      <c r="E1310" s="4"/>
    </row>
    <row r="1311" spans="1:5" x14ac:dyDescent="0.3">
      <c r="A1311" s="9">
        <v>1303</v>
      </c>
      <c r="B1311" s="10">
        <f t="shared" ca="1" si="20"/>
        <v>6.8760382439120887E-2</v>
      </c>
      <c r="C1311" s="10">
        <f ca="1">NPV(B1311,Project_FCF!C18:J18)+Project_FCF!B18</f>
        <v>1037.3025442406072</v>
      </c>
      <c r="D1311" s="4"/>
      <c r="E1311" s="4"/>
    </row>
    <row r="1312" spans="1:5" x14ac:dyDescent="0.3">
      <c r="A1312" s="9">
        <v>1304</v>
      </c>
      <c r="B1312" s="10">
        <f t="shared" ca="1" si="20"/>
        <v>6.7173298903516671E-2</v>
      </c>
      <c r="C1312" s="10">
        <f ca="1">NPV(B1312,Project_FCF!C18:J18)+Project_FCF!B18</f>
        <v>1052.0075870683331</v>
      </c>
      <c r="D1312" s="4"/>
      <c r="E1312" s="4"/>
    </row>
    <row r="1313" spans="1:5" x14ac:dyDescent="0.3">
      <c r="A1313" s="9">
        <v>1305</v>
      </c>
      <c r="B1313" s="10">
        <f t="shared" ca="1" si="20"/>
        <v>8.0296765164789022E-2</v>
      </c>
      <c r="C1313" s="10">
        <f ca="1">NPV(B1313,Project_FCF!C18:J18)+Project_FCF!B18</f>
        <v>935.85125766618307</v>
      </c>
      <c r="D1313" s="4"/>
      <c r="E1313" s="4"/>
    </row>
    <row r="1314" spans="1:5" x14ac:dyDescent="0.3">
      <c r="A1314" s="9">
        <v>1306</v>
      </c>
      <c r="B1314" s="10">
        <f t="shared" ca="1" si="20"/>
        <v>6.408292962941764E-2</v>
      </c>
      <c r="C1314" s="10">
        <f ca="1">NPV(B1314,Project_FCF!C18:J18)+Project_FCF!B18</f>
        <v>1081.1865691052678</v>
      </c>
      <c r="D1314" s="4"/>
      <c r="E1314" s="4"/>
    </row>
    <row r="1315" spans="1:5" x14ac:dyDescent="0.3">
      <c r="A1315" s="9">
        <v>1307</v>
      </c>
      <c r="B1315" s="10">
        <f t="shared" ca="1" si="20"/>
        <v>7.3599371530616187E-2</v>
      </c>
      <c r="C1315" s="10">
        <f ca="1">NPV(B1315,Project_FCF!C18:J18)+Project_FCF!B18</f>
        <v>993.60676084219517</v>
      </c>
      <c r="D1315" s="4"/>
      <c r="E1315" s="4"/>
    </row>
    <row r="1316" spans="1:5" x14ac:dyDescent="0.3">
      <c r="A1316" s="9">
        <v>1308</v>
      </c>
      <c r="B1316" s="10">
        <f t="shared" ca="1" si="20"/>
        <v>8.8109043620252361E-2</v>
      </c>
      <c r="C1316" s="10">
        <f ca="1">NPV(B1316,Project_FCF!C18:J18)+Project_FCF!B18</f>
        <v>872.24833117266144</v>
      </c>
      <c r="D1316" s="4"/>
      <c r="E1316" s="4"/>
    </row>
    <row r="1317" spans="1:5" x14ac:dyDescent="0.3">
      <c r="A1317" s="9">
        <v>1309</v>
      </c>
      <c r="B1317" s="10">
        <f t="shared" ca="1" si="20"/>
        <v>6.983259856566415E-2</v>
      </c>
      <c r="C1317" s="10">
        <f ca="1">NPV(B1317,Project_FCF!C18:J18)+Project_FCF!B18</f>
        <v>1027.4736755214067</v>
      </c>
      <c r="D1317" s="4"/>
      <c r="E1317" s="4"/>
    </row>
    <row r="1318" spans="1:5" x14ac:dyDescent="0.3">
      <c r="A1318" s="9">
        <v>1310</v>
      </c>
      <c r="B1318" s="10">
        <f t="shared" ca="1" si="20"/>
        <v>9.1274398767782705E-2</v>
      </c>
      <c r="C1318" s="10">
        <f ca="1">NPV(B1318,Project_FCF!C18:J18)+Project_FCF!B18</f>
        <v>847.57281976799868</v>
      </c>
      <c r="D1318" s="4"/>
      <c r="E1318" s="4"/>
    </row>
    <row r="1319" spans="1:5" x14ac:dyDescent="0.3">
      <c r="A1319" s="9">
        <v>1311</v>
      </c>
      <c r="B1319" s="10">
        <f t="shared" ca="1" si="20"/>
        <v>7.9512899105455559E-2</v>
      </c>
      <c r="C1319" s="10">
        <f ca="1">NPV(B1319,Project_FCF!C18:J18)+Project_FCF!B18</f>
        <v>942.4529540516105</v>
      </c>
      <c r="D1319" s="4"/>
      <c r="E1319" s="4"/>
    </row>
    <row r="1320" spans="1:5" x14ac:dyDescent="0.3">
      <c r="A1320" s="9">
        <v>1312</v>
      </c>
      <c r="B1320" s="10">
        <f t="shared" ca="1" si="20"/>
        <v>8.6567685946402934E-2</v>
      </c>
      <c r="C1320" s="10">
        <f ca="1">NPV(B1320,Project_FCF!C18:J18)+Project_FCF!B18</f>
        <v>884.48829099739737</v>
      </c>
      <c r="D1320" s="4"/>
      <c r="E1320" s="4"/>
    </row>
    <row r="1321" spans="1:5" x14ac:dyDescent="0.3">
      <c r="A1321" s="9">
        <v>1313</v>
      </c>
      <c r="B1321" s="10">
        <f t="shared" ca="1" si="20"/>
        <v>7.3940122471544037E-2</v>
      </c>
      <c r="C1321" s="10">
        <f ca="1">NPV(B1321,Project_FCF!C18:J18)+Project_FCF!B18</f>
        <v>990.59316838000245</v>
      </c>
      <c r="D1321" s="4"/>
      <c r="E1321" s="4"/>
    </row>
    <row r="1322" spans="1:5" x14ac:dyDescent="0.3">
      <c r="A1322" s="9">
        <v>1314</v>
      </c>
      <c r="B1322" s="10">
        <f t="shared" ca="1" si="20"/>
        <v>8.6115910564218134E-2</v>
      </c>
      <c r="C1322" s="10">
        <f ca="1">NPV(B1322,Project_FCF!C18:J18)+Project_FCF!B18</f>
        <v>888.10412339907793</v>
      </c>
      <c r="D1322" s="4"/>
      <c r="E1322" s="4"/>
    </row>
    <row r="1323" spans="1:5" x14ac:dyDescent="0.3">
      <c r="A1323" s="9">
        <v>1315</v>
      </c>
      <c r="B1323" s="10">
        <f t="shared" ca="1" si="20"/>
        <v>7.0818759066457904E-2</v>
      </c>
      <c r="C1323" s="10">
        <f ca="1">NPV(B1323,Project_FCF!C18:J18)+Project_FCF!B18</f>
        <v>1018.5080829081617</v>
      </c>
      <c r="D1323" s="4"/>
      <c r="E1323" s="4"/>
    </row>
    <row r="1324" spans="1:5" x14ac:dyDescent="0.3">
      <c r="A1324" s="9">
        <v>1316</v>
      </c>
      <c r="B1324" s="10">
        <f t="shared" ca="1" si="20"/>
        <v>6.7064613597659903E-2</v>
      </c>
      <c r="C1324" s="10">
        <f ca="1">NPV(B1324,Project_FCF!C18:J18)+Project_FCF!B18</f>
        <v>1053.0214950915004</v>
      </c>
      <c r="D1324" s="4"/>
      <c r="E1324" s="4"/>
    </row>
    <row r="1325" spans="1:5" x14ac:dyDescent="0.3">
      <c r="A1325" s="9">
        <v>1317</v>
      </c>
      <c r="B1325" s="10">
        <f t="shared" ca="1" si="20"/>
        <v>6.883935368908238E-2</v>
      </c>
      <c r="C1325" s="10">
        <f ca="1">NPV(B1325,Project_FCF!C18:J18)+Project_FCF!B18</f>
        <v>1036.5757319899105</v>
      </c>
      <c r="D1325" s="4"/>
      <c r="E1325" s="4"/>
    </row>
    <row r="1326" spans="1:5" x14ac:dyDescent="0.3">
      <c r="A1326" s="9">
        <v>1318</v>
      </c>
      <c r="B1326" s="10">
        <f t="shared" ca="1" si="20"/>
        <v>0.10303110429787891</v>
      </c>
      <c r="C1326" s="10">
        <f ca="1">NPV(B1326,Project_FCF!C18:J18)+Project_FCF!B18</f>
        <v>761.09057711923742</v>
      </c>
      <c r="D1326" s="4"/>
      <c r="E1326" s="4"/>
    </row>
    <row r="1327" spans="1:5" x14ac:dyDescent="0.3">
      <c r="A1327" s="9">
        <v>1319</v>
      </c>
      <c r="B1327" s="10">
        <f t="shared" ca="1" si="20"/>
        <v>8.5764329514155357E-2</v>
      </c>
      <c r="C1327" s="10">
        <f ca="1">NPV(B1327,Project_FCF!C18:J18)+Project_FCF!B18</f>
        <v>890.92697049587946</v>
      </c>
      <c r="D1327" s="4"/>
      <c r="E1327" s="4"/>
    </row>
    <row r="1328" spans="1:5" x14ac:dyDescent="0.3">
      <c r="A1328" s="9">
        <v>1320</v>
      </c>
      <c r="B1328" s="10">
        <f t="shared" ca="1" si="20"/>
        <v>9.7884087401323747E-2</v>
      </c>
      <c r="C1328" s="10">
        <f ca="1">NPV(B1328,Project_FCF!C18:J18)+Project_FCF!B18</f>
        <v>797.97879318801961</v>
      </c>
      <c r="D1328" s="4"/>
      <c r="E1328" s="4"/>
    </row>
    <row r="1329" spans="1:5" x14ac:dyDescent="0.3">
      <c r="A1329" s="9">
        <v>1321</v>
      </c>
      <c r="B1329" s="10">
        <f t="shared" ca="1" si="20"/>
        <v>0.10285889803308222</v>
      </c>
      <c r="C1329" s="10">
        <f ca="1">NPV(B1329,Project_FCF!C18:J18)+Project_FCF!B18</f>
        <v>762.30108574489282</v>
      </c>
      <c r="D1329" s="4"/>
      <c r="E1329" s="4"/>
    </row>
    <row r="1330" spans="1:5" x14ac:dyDescent="0.3">
      <c r="A1330" s="9">
        <v>1322</v>
      </c>
      <c r="B1330" s="10">
        <f t="shared" ca="1" si="20"/>
        <v>8.1804386547845248E-2</v>
      </c>
      <c r="C1330" s="10">
        <f ca="1">NPV(B1330,Project_FCF!C18:J18)+Project_FCF!B18</f>
        <v>923.26901000027351</v>
      </c>
      <c r="D1330" s="4"/>
      <c r="E1330" s="4"/>
    </row>
    <row r="1331" spans="1:5" x14ac:dyDescent="0.3">
      <c r="A1331" s="9">
        <v>1323</v>
      </c>
      <c r="B1331" s="10">
        <f t="shared" ca="1" si="20"/>
        <v>9.3090243118289062E-2</v>
      </c>
      <c r="C1331" s="10">
        <f ca="1">NPV(B1331,Project_FCF!C18:J18)+Project_FCF!B18</f>
        <v>833.69169973691919</v>
      </c>
      <c r="D1331" s="4"/>
      <c r="E1331" s="4"/>
    </row>
    <row r="1332" spans="1:5" x14ac:dyDescent="0.3">
      <c r="A1332" s="9">
        <v>1324</v>
      </c>
      <c r="B1332" s="10">
        <f t="shared" ca="1" si="20"/>
        <v>6.7016075437705588E-2</v>
      </c>
      <c r="C1332" s="10">
        <f ca="1">NPV(B1332,Project_FCF!C18:J18)+Project_FCF!B18</f>
        <v>1053.4745867035624</v>
      </c>
      <c r="D1332" s="4"/>
      <c r="E1332" s="4"/>
    </row>
    <row r="1333" spans="1:5" x14ac:dyDescent="0.3">
      <c r="A1333" s="9">
        <v>1325</v>
      </c>
      <c r="B1333" s="10">
        <f t="shared" ca="1" si="20"/>
        <v>7.8984113635416547E-2</v>
      </c>
      <c r="C1333" s="10">
        <f ca="1">NPV(B1333,Project_FCF!C18:J18)+Project_FCF!B18</f>
        <v>946.92965035998623</v>
      </c>
      <c r="D1333" s="4"/>
      <c r="E1333" s="4"/>
    </row>
    <row r="1334" spans="1:5" x14ac:dyDescent="0.3">
      <c r="A1334" s="9">
        <v>1326</v>
      </c>
      <c r="B1334" s="10">
        <f t="shared" ca="1" si="20"/>
        <v>8.1931574278877956E-2</v>
      </c>
      <c r="C1334" s="10">
        <f ca="1">NPV(B1334,Project_FCF!C18:J18)+Project_FCF!B18</f>
        <v>922.21439659907946</v>
      </c>
      <c r="D1334" s="4"/>
      <c r="E1334" s="4"/>
    </row>
    <row r="1335" spans="1:5" x14ac:dyDescent="0.3">
      <c r="A1335" s="9">
        <v>1327</v>
      </c>
      <c r="B1335" s="10">
        <f t="shared" ca="1" si="20"/>
        <v>8.7073327569234069E-2</v>
      </c>
      <c r="C1335" s="10">
        <f ca="1">NPV(B1335,Project_FCF!C18:J18)+Project_FCF!B18</f>
        <v>880.4565818042604</v>
      </c>
      <c r="D1335" s="4"/>
      <c r="E1335" s="4"/>
    </row>
    <row r="1336" spans="1:5" x14ac:dyDescent="0.3">
      <c r="A1336" s="9">
        <v>1328</v>
      </c>
      <c r="B1336" s="10">
        <f t="shared" ca="1" si="20"/>
        <v>7.9046049925164633E-2</v>
      </c>
      <c r="C1336" s="10">
        <f ca="1">NPV(B1336,Project_FCF!C18:J18)+Project_FCF!B18</f>
        <v>946.40432442032761</v>
      </c>
      <c r="D1336" s="4"/>
      <c r="E1336" s="4"/>
    </row>
    <row r="1337" spans="1:5" x14ac:dyDescent="0.3">
      <c r="A1337" s="9">
        <v>1329</v>
      </c>
      <c r="B1337" s="10">
        <f t="shared" ca="1" si="20"/>
        <v>9.8951708047751691E-2</v>
      </c>
      <c r="C1337" s="10">
        <f ca="1">NPV(B1337,Project_FCF!C18:J18)+Project_FCF!B18</f>
        <v>790.20547981830896</v>
      </c>
      <c r="D1337" s="4"/>
      <c r="E1337" s="4"/>
    </row>
    <row r="1338" spans="1:5" x14ac:dyDescent="0.3">
      <c r="A1338" s="9">
        <v>1330</v>
      </c>
      <c r="B1338" s="10">
        <f t="shared" ca="1" si="20"/>
        <v>0.10343031127261471</v>
      </c>
      <c r="C1338" s="10">
        <f ca="1">NPV(B1338,Project_FCF!C18:J18)+Project_FCF!B18</f>
        <v>758.29058956097606</v>
      </c>
      <c r="D1338" s="4"/>
      <c r="E1338" s="4"/>
    </row>
    <row r="1339" spans="1:5" x14ac:dyDescent="0.3">
      <c r="A1339" s="9">
        <v>1331</v>
      </c>
      <c r="B1339" s="10">
        <f t="shared" ca="1" si="20"/>
        <v>9.844972365681473E-2</v>
      </c>
      <c r="C1339" s="10">
        <f ca="1">NPV(B1339,Project_FCF!C18:J18)+Project_FCF!B18</f>
        <v>793.8523663109379</v>
      </c>
      <c r="D1339" s="4"/>
      <c r="E1339" s="4"/>
    </row>
    <row r="1340" spans="1:5" x14ac:dyDescent="0.3">
      <c r="A1340" s="9">
        <v>1332</v>
      </c>
      <c r="B1340" s="10">
        <f t="shared" ca="1" si="20"/>
        <v>0.10289558922131692</v>
      </c>
      <c r="C1340" s="10">
        <f ca="1">NPV(B1340,Project_FCF!C18:J18)+Project_FCF!B18</f>
        <v>762.0430328925936</v>
      </c>
      <c r="D1340" s="4"/>
      <c r="E1340" s="4"/>
    </row>
    <row r="1341" spans="1:5" x14ac:dyDescent="0.3">
      <c r="A1341" s="9">
        <v>1333</v>
      </c>
      <c r="B1341" s="10">
        <f t="shared" ca="1" si="20"/>
        <v>9.1992803818539984E-2</v>
      </c>
      <c r="C1341" s="10">
        <f ca="1">NPV(B1341,Project_FCF!C18:J18)+Project_FCF!B18</f>
        <v>842.05738054931589</v>
      </c>
      <c r="D1341" s="4"/>
      <c r="E1341" s="4"/>
    </row>
    <row r="1342" spans="1:5" x14ac:dyDescent="0.3">
      <c r="A1342" s="9">
        <v>1334</v>
      </c>
      <c r="B1342" s="10">
        <f t="shared" ca="1" si="20"/>
        <v>9.8713396104925716E-2</v>
      </c>
      <c r="C1342" s="10">
        <f ca="1">NPV(B1342,Project_FCF!C18:J18)+Project_FCF!B18</f>
        <v>791.93502544259036</v>
      </c>
      <c r="D1342" s="4"/>
      <c r="E1342" s="4"/>
    </row>
    <row r="1343" spans="1:5" x14ac:dyDescent="0.3">
      <c r="A1343" s="9">
        <v>1335</v>
      </c>
      <c r="B1343" s="10">
        <f t="shared" ca="1" si="20"/>
        <v>6.5348621652328173E-2</v>
      </c>
      <c r="C1343" s="10">
        <f ca="1">NPV(B1343,Project_FCF!C18:J18)+Project_FCF!B18</f>
        <v>1069.1479860498175</v>
      </c>
      <c r="D1343" s="4"/>
      <c r="E1343" s="4"/>
    </row>
    <row r="1344" spans="1:5" x14ac:dyDescent="0.3">
      <c r="A1344" s="9">
        <v>1336</v>
      </c>
      <c r="B1344" s="10">
        <f t="shared" ca="1" si="20"/>
        <v>8.8590016894215723E-2</v>
      </c>
      <c r="C1344" s="10">
        <f ca="1">NPV(B1344,Project_FCF!C18:J18)+Project_FCF!B18</f>
        <v>868.45922642169239</v>
      </c>
      <c r="D1344" s="4"/>
      <c r="E1344" s="4"/>
    </row>
    <row r="1345" spans="1:5" x14ac:dyDescent="0.3">
      <c r="A1345" s="9">
        <v>1337</v>
      </c>
      <c r="B1345" s="10">
        <f t="shared" ca="1" si="20"/>
        <v>6.6178003075834962E-2</v>
      </c>
      <c r="C1345" s="10">
        <f ca="1">NPV(B1345,Project_FCF!C18:J18)+Project_FCF!B18</f>
        <v>1061.3257927340617</v>
      </c>
      <c r="D1345" s="4"/>
      <c r="E1345" s="4"/>
    </row>
    <row r="1346" spans="1:5" x14ac:dyDescent="0.3">
      <c r="A1346" s="9">
        <v>1338</v>
      </c>
      <c r="B1346" s="10">
        <f t="shared" ca="1" si="20"/>
        <v>8.168028645920429E-2</v>
      </c>
      <c r="C1346" s="10">
        <f ca="1">NPV(B1346,Project_FCF!C18:J18)+Project_FCF!B18</f>
        <v>924.29904666164293</v>
      </c>
      <c r="D1346" s="4"/>
      <c r="E1346" s="4"/>
    </row>
    <row r="1347" spans="1:5" x14ac:dyDescent="0.3">
      <c r="A1347" s="9">
        <v>1339</v>
      </c>
      <c r="B1347" s="10">
        <f t="shared" ca="1" si="20"/>
        <v>7.2032952836871736E-2</v>
      </c>
      <c r="C1347" s="10">
        <f ca="1">NPV(B1347,Project_FCF!C18:J18)+Project_FCF!B18</f>
        <v>1007.5663184869109</v>
      </c>
      <c r="D1347" s="4"/>
      <c r="E1347" s="4"/>
    </row>
    <row r="1348" spans="1:5" x14ac:dyDescent="0.3">
      <c r="A1348" s="9">
        <v>1340</v>
      </c>
      <c r="B1348" s="10">
        <f t="shared" ca="1" si="20"/>
        <v>8.1612182318389404E-2</v>
      </c>
      <c r="C1348" s="10">
        <f ca="1">NPV(B1348,Project_FCF!C18:J18)+Project_FCF!B18</f>
        <v>924.86474507958178</v>
      </c>
      <c r="D1348" s="4"/>
      <c r="E1348" s="4"/>
    </row>
    <row r="1349" spans="1:5" x14ac:dyDescent="0.3">
      <c r="A1349" s="9">
        <v>1341</v>
      </c>
      <c r="B1349" s="10">
        <f t="shared" ca="1" si="20"/>
        <v>9.9485916332158003E-2</v>
      </c>
      <c r="C1349" s="10">
        <f ca="1">NPV(B1349,Project_FCF!C18:J18)+Project_FCF!B18</f>
        <v>786.3401013690434</v>
      </c>
      <c r="D1349" s="4"/>
      <c r="E1349" s="4"/>
    </row>
    <row r="1350" spans="1:5" x14ac:dyDescent="0.3">
      <c r="A1350" s="9">
        <v>1342</v>
      </c>
      <c r="B1350" s="10">
        <f t="shared" ca="1" si="20"/>
        <v>8.0468413657656432E-2</v>
      </c>
      <c r="C1350" s="10">
        <f ca="1">NPV(B1350,Project_FCF!C18:J18)+Project_FCF!B18</f>
        <v>934.41111578555024</v>
      </c>
      <c r="D1350" s="4"/>
      <c r="E1350" s="4"/>
    </row>
    <row r="1351" spans="1:5" x14ac:dyDescent="0.3">
      <c r="A1351" s="9">
        <v>1343</v>
      </c>
      <c r="B1351" s="10">
        <f t="shared" ca="1" si="20"/>
        <v>8.758998563948267E-2</v>
      </c>
      <c r="C1351" s="10">
        <f ca="1">NPV(B1351,Project_FCF!C18:J18)+Project_FCF!B18</f>
        <v>876.35359575783968</v>
      </c>
      <c r="D1351" s="4"/>
      <c r="E1351" s="4"/>
    </row>
    <row r="1352" spans="1:5" x14ac:dyDescent="0.3">
      <c r="A1352" s="9">
        <v>1344</v>
      </c>
      <c r="B1352" s="10">
        <f t="shared" ca="1" si="20"/>
        <v>0.10304971703670235</v>
      </c>
      <c r="C1352" s="10">
        <f ca="1">NPV(B1352,Project_FCF!C18:J18)+Project_FCF!B18</f>
        <v>760.95983720467984</v>
      </c>
      <c r="D1352" s="4"/>
      <c r="E1352" s="4"/>
    </row>
    <row r="1353" spans="1:5" x14ac:dyDescent="0.3">
      <c r="A1353" s="9">
        <v>1345</v>
      </c>
      <c r="B1353" s="10">
        <f t="shared" ref="B1353:B1416" ca="1" si="21">$B$4+RAND()*($B$5-$B$4)</f>
        <v>7.916569491886824E-2</v>
      </c>
      <c r="C1353" s="10">
        <f ca="1">NPV(B1353,Project_FCF!C18:J18)+Project_FCF!B18</f>
        <v>945.39026191255698</v>
      </c>
      <c r="D1353" s="4"/>
      <c r="E1353" s="4"/>
    </row>
    <row r="1354" spans="1:5" x14ac:dyDescent="0.3">
      <c r="A1354" s="9">
        <v>1346</v>
      </c>
      <c r="B1354" s="10">
        <f t="shared" ca="1" si="21"/>
        <v>7.4106192647432886E-2</v>
      </c>
      <c r="C1354" s="10">
        <f ca="1">NPV(B1354,Project_FCF!C18:J18)+Project_FCF!B18</f>
        <v>989.12742114910111</v>
      </c>
      <c r="D1354" s="4"/>
      <c r="E1354" s="4"/>
    </row>
    <row r="1355" spans="1:5" x14ac:dyDescent="0.3">
      <c r="A1355" s="9">
        <v>1347</v>
      </c>
      <c r="B1355" s="10">
        <f t="shared" ca="1" si="21"/>
        <v>7.3826247932595443E-2</v>
      </c>
      <c r="C1355" s="10">
        <f ca="1">NPV(B1355,Project_FCF!C18:J18)+Project_FCF!B18</f>
        <v>991.59935847476868</v>
      </c>
      <c r="D1355" s="4"/>
      <c r="E1355" s="4"/>
    </row>
    <row r="1356" spans="1:5" x14ac:dyDescent="0.3">
      <c r="A1356" s="9">
        <v>1348</v>
      </c>
      <c r="B1356" s="10">
        <f t="shared" ca="1" si="21"/>
        <v>6.6560715354419445E-2</v>
      </c>
      <c r="C1356" s="10">
        <f ca="1">NPV(B1356,Project_FCF!C18:J18)+Project_FCF!B18</f>
        <v>1057.7338988586253</v>
      </c>
      <c r="D1356" s="4"/>
      <c r="E1356" s="4"/>
    </row>
    <row r="1357" spans="1:5" x14ac:dyDescent="0.3">
      <c r="A1357" s="9">
        <v>1349</v>
      </c>
      <c r="B1357" s="10">
        <f t="shared" ca="1" si="21"/>
        <v>9.8973920243194069E-2</v>
      </c>
      <c r="C1357" s="10">
        <f ca="1">NPV(B1357,Project_FCF!C18:J18)+Project_FCF!B18</f>
        <v>790.04443845433457</v>
      </c>
      <c r="D1357" s="4"/>
      <c r="E1357" s="4"/>
    </row>
    <row r="1358" spans="1:5" x14ac:dyDescent="0.3">
      <c r="A1358" s="9">
        <v>1350</v>
      </c>
      <c r="B1358" s="10">
        <f t="shared" ca="1" si="21"/>
        <v>6.9875886244013571E-2</v>
      </c>
      <c r="C1358" s="10">
        <f ca="1">NPV(B1358,Project_FCF!C18:J18)+Project_FCF!B18</f>
        <v>1027.0786381677356</v>
      </c>
      <c r="D1358" s="4"/>
      <c r="E1358" s="4"/>
    </row>
    <row r="1359" spans="1:5" x14ac:dyDescent="0.3">
      <c r="A1359" s="9">
        <v>1351</v>
      </c>
      <c r="B1359" s="10">
        <f t="shared" ca="1" si="21"/>
        <v>9.0985418579537514E-2</v>
      </c>
      <c r="C1359" s="10">
        <f ca="1">NPV(B1359,Project_FCF!C18:J18)+Project_FCF!B18</f>
        <v>849.80019951086229</v>
      </c>
      <c r="D1359" s="4"/>
      <c r="E1359" s="4"/>
    </row>
    <row r="1360" spans="1:5" x14ac:dyDescent="0.3">
      <c r="A1360" s="9">
        <v>1352</v>
      </c>
      <c r="B1360" s="10">
        <f t="shared" ca="1" si="21"/>
        <v>6.5585870262193577E-2</v>
      </c>
      <c r="C1360" s="10">
        <f ca="1">NPV(B1360,Project_FCF!C18:J18)+Project_FCF!B18</f>
        <v>1066.9050627178619</v>
      </c>
      <c r="D1360" s="4"/>
      <c r="E1360" s="4"/>
    </row>
    <row r="1361" spans="1:5" x14ac:dyDescent="0.3">
      <c r="A1361" s="9">
        <v>1353</v>
      </c>
      <c r="B1361" s="10">
        <f t="shared" ca="1" si="21"/>
        <v>6.9376947079983167E-2</v>
      </c>
      <c r="C1361" s="10">
        <f ca="1">NPV(B1361,Project_FCF!C18:J18)+Project_FCF!B18</f>
        <v>1031.6402303479913</v>
      </c>
      <c r="D1361" s="4"/>
      <c r="E1361" s="4"/>
    </row>
    <row r="1362" spans="1:5" x14ac:dyDescent="0.3">
      <c r="A1362" s="9">
        <v>1354</v>
      </c>
      <c r="B1362" s="10">
        <f t="shared" ca="1" si="21"/>
        <v>0.10000519031724074</v>
      </c>
      <c r="C1362" s="10">
        <f ca="1">NPV(B1362,Project_FCF!C18:J18)+Project_FCF!B18</f>
        <v>782.59814198575305</v>
      </c>
      <c r="D1362" s="4"/>
      <c r="E1362" s="4"/>
    </row>
    <row r="1363" spans="1:5" x14ac:dyDescent="0.3">
      <c r="A1363" s="9">
        <v>1355</v>
      </c>
      <c r="B1363" s="10">
        <f t="shared" ca="1" si="21"/>
        <v>7.7659513925573451E-2</v>
      </c>
      <c r="C1363" s="10">
        <f ca="1">NPV(B1363,Project_FCF!C18:J18)+Project_FCF!B18</f>
        <v>958.22670712699278</v>
      </c>
      <c r="D1363" s="4"/>
      <c r="E1363" s="4"/>
    </row>
    <row r="1364" spans="1:5" x14ac:dyDescent="0.3">
      <c r="A1364" s="9">
        <v>1356</v>
      </c>
      <c r="B1364" s="10">
        <f t="shared" ca="1" si="21"/>
        <v>9.8627156849527525E-2</v>
      </c>
      <c r="C1364" s="10">
        <f ca="1">NPV(B1364,Project_FCF!C18:J18)+Project_FCF!B18</f>
        <v>792.56169646429589</v>
      </c>
      <c r="D1364" s="4"/>
      <c r="E1364" s="4"/>
    </row>
    <row r="1365" spans="1:5" x14ac:dyDescent="0.3">
      <c r="A1365" s="9">
        <v>1357</v>
      </c>
      <c r="B1365" s="10">
        <f t="shared" ca="1" si="21"/>
        <v>0.10136708274771375</v>
      </c>
      <c r="C1365" s="10">
        <f ca="1">NPV(B1365,Project_FCF!C18:J18)+Project_FCF!B18</f>
        <v>772.8555769091322</v>
      </c>
      <c r="D1365" s="4"/>
      <c r="E1365" s="4"/>
    </row>
    <row r="1366" spans="1:5" x14ac:dyDescent="0.3">
      <c r="A1366" s="9">
        <v>1358</v>
      </c>
      <c r="B1366" s="10">
        <f t="shared" ca="1" si="21"/>
        <v>8.2772791503734011E-2</v>
      </c>
      <c r="C1366" s="10">
        <f ca="1">NPV(B1366,Project_FCF!C18:J18)+Project_FCF!B18</f>
        <v>915.26590056999862</v>
      </c>
      <c r="D1366" s="4"/>
      <c r="E1366" s="4"/>
    </row>
    <row r="1367" spans="1:5" x14ac:dyDescent="0.3">
      <c r="A1367" s="9">
        <v>1359</v>
      </c>
      <c r="B1367" s="10">
        <f t="shared" ca="1" si="21"/>
        <v>9.6282285075899421E-2</v>
      </c>
      <c r="C1367" s="10">
        <f ca="1">NPV(B1367,Project_FCF!C18:J18)+Project_FCF!B18</f>
        <v>809.76342114225326</v>
      </c>
      <c r="D1367" s="4"/>
      <c r="E1367" s="4"/>
    </row>
    <row r="1368" spans="1:5" x14ac:dyDescent="0.3">
      <c r="A1368" s="9">
        <v>1360</v>
      </c>
      <c r="B1368" s="10">
        <f t="shared" ca="1" si="21"/>
        <v>8.4595929395527472E-2</v>
      </c>
      <c r="C1368" s="10">
        <f ca="1">NPV(B1368,Project_FCF!C18:J18)+Project_FCF!B18</f>
        <v>900.36455118616641</v>
      </c>
      <c r="D1368" s="4"/>
      <c r="E1368" s="4"/>
    </row>
    <row r="1369" spans="1:5" x14ac:dyDescent="0.3">
      <c r="A1369" s="9">
        <v>1361</v>
      </c>
      <c r="B1369" s="10">
        <f t="shared" ca="1" si="21"/>
        <v>7.3621062020649511E-2</v>
      </c>
      <c r="C1369" s="10">
        <f ca="1">NPV(B1369,Project_FCF!C18:J18)+Project_FCF!B18</f>
        <v>993.41468589524811</v>
      </c>
      <c r="D1369" s="4"/>
      <c r="E1369" s="4"/>
    </row>
    <row r="1370" spans="1:5" x14ac:dyDescent="0.3">
      <c r="A1370" s="9">
        <v>1362</v>
      </c>
      <c r="B1370" s="10">
        <f t="shared" ca="1" si="21"/>
        <v>7.4707876785815169E-2</v>
      </c>
      <c r="C1370" s="10">
        <f ca="1">NPV(B1370,Project_FCF!C18:J18)+Project_FCF!B18</f>
        <v>983.83317675494004</v>
      </c>
      <c r="D1370" s="4"/>
      <c r="E1370" s="4"/>
    </row>
    <row r="1371" spans="1:5" x14ac:dyDescent="0.3">
      <c r="A1371" s="9">
        <v>1363</v>
      </c>
      <c r="B1371" s="10">
        <f t="shared" ca="1" si="21"/>
        <v>9.8298125848726714E-2</v>
      </c>
      <c r="C1371" s="10">
        <f ca="1">NPV(B1371,Project_FCF!C18:J18)+Project_FCF!B18</f>
        <v>794.95651971701864</v>
      </c>
      <c r="D1371" s="4"/>
      <c r="E1371" s="4"/>
    </row>
    <row r="1372" spans="1:5" x14ac:dyDescent="0.3">
      <c r="A1372" s="9">
        <v>1364</v>
      </c>
      <c r="B1372" s="10">
        <f t="shared" ca="1" si="21"/>
        <v>7.0001715196302675E-2</v>
      </c>
      <c r="C1372" s="10">
        <f ca="1">NPV(B1372,Project_FCF!C18:J18)+Project_FCF!B18</f>
        <v>1025.9311199827769</v>
      </c>
      <c r="D1372" s="4"/>
      <c r="E1372" s="4"/>
    </row>
    <row r="1373" spans="1:5" x14ac:dyDescent="0.3">
      <c r="A1373" s="9">
        <v>1365</v>
      </c>
      <c r="B1373" s="10">
        <f t="shared" ca="1" si="21"/>
        <v>0.10075211749750784</v>
      </c>
      <c r="C1373" s="10">
        <f ca="1">NPV(B1373,Project_FCF!C18:J18)+Project_FCF!B18</f>
        <v>777.24209479003775</v>
      </c>
      <c r="D1373" s="4"/>
      <c r="E1373" s="4"/>
    </row>
    <row r="1374" spans="1:5" x14ac:dyDescent="0.3">
      <c r="A1374" s="9">
        <v>1366</v>
      </c>
      <c r="B1374" s="10">
        <f t="shared" ca="1" si="21"/>
        <v>9.1403222410183615E-2</v>
      </c>
      <c r="C1374" s="10">
        <f ca="1">NPV(B1374,Project_FCF!C18:J18)+Project_FCF!B18</f>
        <v>846.58150889643571</v>
      </c>
      <c r="D1374" s="4"/>
      <c r="E1374" s="4"/>
    </row>
    <row r="1375" spans="1:5" x14ac:dyDescent="0.3">
      <c r="A1375" s="9">
        <v>1367</v>
      </c>
      <c r="B1375" s="10">
        <f t="shared" ca="1" si="21"/>
        <v>6.6910225880348909E-2</v>
      </c>
      <c r="C1375" s="10">
        <f ca="1">NPV(B1375,Project_FCF!C18:J18)+Project_FCF!B18</f>
        <v>1054.4632805550993</v>
      </c>
      <c r="D1375" s="4"/>
      <c r="E1375" s="4"/>
    </row>
    <row r="1376" spans="1:5" x14ac:dyDescent="0.3">
      <c r="A1376" s="9">
        <v>1368</v>
      </c>
      <c r="B1376" s="10">
        <f t="shared" ca="1" si="21"/>
        <v>6.5926635761400038E-2</v>
      </c>
      <c r="C1376" s="10">
        <f ca="1">NPV(B1376,Project_FCF!C18:J18)+Project_FCF!B18</f>
        <v>1063.6910038621063</v>
      </c>
      <c r="D1376" s="4"/>
      <c r="E1376" s="4"/>
    </row>
    <row r="1377" spans="1:5" x14ac:dyDescent="0.3">
      <c r="A1377" s="9">
        <v>1369</v>
      </c>
      <c r="B1377" s="10">
        <f t="shared" ca="1" si="21"/>
        <v>0.10015881792572494</v>
      </c>
      <c r="C1377" s="10">
        <f ca="1">NPV(B1377,Project_FCF!C18:J18)+Project_FCF!B18</f>
        <v>781.49397246352578</v>
      </c>
      <c r="D1377" s="4"/>
      <c r="E1377" s="4"/>
    </row>
    <row r="1378" spans="1:5" x14ac:dyDescent="0.3">
      <c r="A1378" s="9">
        <v>1370</v>
      </c>
      <c r="B1378" s="10">
        <f t="shared" ca="1" si="21"/>
        <v>8.2295877364237796E-2</v>
      </c>
      <c r="C1378" s="10">
        <f ca="1">NPV(B1378,Project_FCF!C18:J18)+Project_FCF!B18</f>
        <v>919.19954968679917</v>
      </c>
      <c r="D1378" s="4"/>
      <c r="E1378" s="4"/>
    </row>
    <row r="1379" spans="1:5" x14ac:dyDescent="0.3">
      <c r="A1379" s="9">
        <v>1371</v>
      </c>
      <c r="B1379" s="10">
        <f t="shared" ca="1" si="21"/>
        <v>9.6104177801944912E-2</v>
      </c>
      <c r="C1379" s="10">
        <f ca="1">NPV(B1379,Project_FCF!C18:J18)+Project_FCF!B18</f>
        <v>811.08289320027984</v>
      </c>
      <c r="D1379" s="4"/>
      <c r="E1379" s="4"/>
    </row>
    <row r="1380" spans="1:5" x14ac:dyDescent="0.3">
      <c r="A1380" s="9">
        <v>1372</v>
      </c>
      <c r="B1380" s="10">
        <f t="shared" ca="1" si="21"/>
        <v>8.1120875580702911E-2</v>
      </c>
      <c r="C1380" s="10">
        <f ca="1">NPV(B1380,Project_FCF!C18:J18)+Project_FCF!B18</f>
        <v>928.95478610069949</v>
      </c>
      <c r="D1380" s="4"/>
      <c r="E1380" s="4"/>
    </row>
    <row r="1381" spans="1:5" x14ac:dyDescent="0.3">
      <c r="A1381" s="9">
        <v>1373</v>
      </c>
      <c r="B1381" s="10">
        <f t="shared" ca="1" si="21"/>
        <v>9.0819253230828137E-2</v>
      </c>
      <c r="C1381" s="10">
        <f ca="1">NPV(B1381,Project_FCF!C18:J18)+Project_FCF!B18</f>
        <v>851.08324545359642</v>
      </c>
      <c r="D1381" s="4"/>
      <c r="E1381" s="4"/>
    </row>
    <row r="1382" spans="1:5" x14ac:dyDescent="0.3">
      <c r="A1382" s="9">
        <v>1374</v>
      </c>
      <c r="B1382" s="10">
        <f t="shared" ca="1" si="21"/>
        <v>9.4098809819399318E-2</v>
      </c>
      <c r="C1382" s="10">
        <f ca="1">NPV(B1382,Project_FCF!C18:J18)+Project_FCF!B18</f>
        <v>826.06662217870849</v>
      </c>
      <c r="D1382" s="4"/>
      <c r="E1382" s="4"/>
    </row>
    <row r="1383" spans="1:5" x14ac:dyDescent="0.3">
      <c r="A1383" s="9">
        <v>1375</v>
      </c>
      <c r="B1383" s="10">
        <f t="shared" ca="1" si="21"/>
        <v>8.8225846371987313E-2</v>
      </c>
      <c r="C1383" s="10">
        <f ca="1">NPV(B1383,Project_FCF!C18:J18)+Project_FCF!B18</f>
        <v>871.32684057226948</v>
      </c>
      <c r="D1383" s="4"/>
      <c r="E1383" s="4"/>
    </row>
    <row r="1384" spans="1:5" x14ac:dyDescent="0.3">
      <c r="A1384" s="9">
        <v>1376</v>
      </c>
      <c r="B1384" s="10">
        <f t="shared" ca="1" si="21"/>
        <v>7.2484769516049333E-2</v>
      </c>
      <c r="C1384" s="10">
        <f ca="1">NPV(B1384,Project_FCF!C18:J18)+Project_FCF!B18</f>
        <v>1003.5218537616363</v>
      </c>
      <c r="D1384" s="4"/>
      <c r="E1384" s="4"/>
    </row>
    <row r="1385" spans="1:5" x14ac:dyDescent="0.3">
      <c r="A1385" s="9">
        <v>1377</v>
      </c>
      <c r="B1385" s="10">
        <f t="shared" ca="1" si="21"/>
        <v>8.2591289713846924E-2</v>
      </c>
      <c r="C1385" s="10">
        <f ca="1">NPV(B1385,Project_FCF!C18:J18)+Project_FCF!B18</f>
        <v>916.76119959330299</v>
      </c>
      <c r="D1385" s="4"/>
      <c r="E1385" s="4"/>
    </row>
    <row r="1386" spans="1:5" x14ac:dyDescent="0.3">
      <c r="A1386" s="9">
        <v>1378</v>
      </c>
      <c r="B1386" s="10">
        <f t="shared" ca="1" si="21"/>
        <v>6.4078295938555879E-2</v>
      </c>
      <c r="C1386" s="10">
        <f ca="1">NPV(B1386,Project_FCF!C18:J18)+Project_FCF!B18</f>
        <v>1081.2308687951236</v>
      </c>
      <c r="D1386" s="4"/>
      <c r="E1386" s="4"/>
    </row>
    <row r="1387" spans="1:5" x14ac:dyDescent="0.3">
      <c r="A1387" s="9">
        <v>1379</v>
      </c>
      <c r="B1387" s="10">
        <f t="shared" ca="1" si="21"/>
        <v>8.3285332733578174E-2</v>
      </c>
      <c r="C1387" s="10">
        <f ca="1">NPV(B1387,Project_FCF!C18:J18)+Project_FCF!B18</f>
        <v>911.05492238943702</v>
      </c>
      <c r="D1387" s="4"/>
      <c r="E1387" s="4"/>
    </row>
    <row r="1388" spans="1:5" x14ac:dyDescent="0.3">
      <c r="A1388" s="9">
        <v>1380</v>
      </c>
      <c r="B1388" s="10">
        <f t="shared" ca="1" si="21"/>
        <v>8.4428124253977582E-2</v>
      </c>
      <c r="C1388" s="10">
        <f ca="1">NPV(B1388,Project_FCF!C18:J18)+Project_FCF!B18</f>
        <v>901.72714047542172</v>
      </c>
      <c r="D1388" s="4"/>
      <c r="E1388" s="4"/>
    </row>
    <row r="1389" spans="1:5" x14ac:dyDescent="0.3">
      <c r="A1389" s="9">
        <v>1381</v>
      </c>
      <c r="B1389" s="10">
        <f t="shared" ca="1" si="21"/>
        <v>9.8290138209148975E-2</v>
      </c>
      <c r="C1389" s="10">
        <f ca="1">NPV(B1389,Project_FCF!C18:J18)+Project_FCF!B18</f>
        <v>795.01473335381525</v>
      </c>
      <c r="D1389" s="4"/>
      <c r="E1389" s="4"/>
    </row>
    <row r="1390" spans="1:5" x14ac:dyDescent="0.3">
      <c r="A1390" s="9">
        <v>1382</v>
      </c>
      <c r="B1390" s="10">
        <f t="shared" ca="1" si="21"/>
        <v>8.5197318620556628E-2</v>
      </c>
      <c r="C1390" s="10">
        <f ca="1">NPV(B1390,Project_FCF!C18:J18)+Project_FCF!B18</f>
        <v>895.49604218527816</v>
      </c>
      <c r="D1390" s="4"/>
      <c r="E1390" s="4"/>
    </row>
    <row r="1391" spans="1:5" x14ac:dyDescent="0.3">
      <c r="A1391" s="9">
        <v>1383</v>
      </c>
      <c r="B1391" s="10">
        <f t="shared" ca="1" si="21"/>
        <v>8.2777345794309842E-2</v>
      </c>
      <c r="C1391" s="10">
        <f ca="1">NPV(B1391,Project_FCF!C18:J18)+Project_FCF!B18</f>
        <v>915.22840776734279</v>
      </c>
      <c r="D1391" s="4"/>
      <c r="E1391" s="4"/>
    </row>
    <row r="1392" spans="1:5" x14ac:dyDescent="0.3">
      <c r="A1392" s="9">
        <v>1384</v>
      </c>
      <c r="B1392" s="10">
        <f t="shared" ca="1" si="21"/>
        <v>9.7268919941940174E-2</v>
      </c>
      <c r="C1392" s="10">
        <f ca="1">NPV(B1392,Project_FCF!C18:J18)+Project_FCF!B18</f>
        <v>802.48724764904568</v>
      </c>
      <c r="D1392" s="4"/>
      <c r="E1392" s="4"/>
    </row>
    <row r="1393" spans="1:5" x14ac:dyDescent="0.3">
      <c r="A1393" s="9">
        <v>1385</v>
      </c>
      <c r="B1393" s="10">
        <f t="shared" ca="1" si="21"/>
        <v>6.4670842029361172E-2</v>
      </c>
      <c r="C1393" s="10">
        <f ca="1">NPV(B1393,Project_FCF!C18:J18)+Project_FCF!B18</f>
        <v>1075.5793560630086</v>
      </c>
      <c r="D1393" s="4"/>
      <c r="E1393" s="4"/>
    </row>
    <row r="1394" spans="1:5" x14ac:dyDescent="0.3">
      <c r="A1394" s="9">
        <v>1386</v>
      </c>
      <c r="B1394" s="10">
        <f t="shared" ca="1" si="21"/>
        <v>0.10261570500451685</v>
      </c>
      <c r="C1394" s="10">
        <f ca="1">NPV(B1394,Project_FCF!C18:J18)+Project_FCF!B18</f>
        <v>764.01334290001637</v>
      </c>
      <c r="D1394" s="4"/>
      <c r="E1394" s="4"/>
    </row>
    <row r="1395" spans="1:5" x14ac:dyDescent="0.3">
      <c r="A1395" s="9">
        <v>1387</v>
      </c>
      <c r="B1395" s="10">
        <f t="shared" ca="1" si="21"/>
        <v>8.0248189047070484E-2</v>
      </c>
      <c r="C1395" s="10">
        <f ca="1">NPV(B1395,Project_FCF!C18:J18)+Project_FCF!B18</f>
        <v>936.25917083057061</v>
      </c>
      <c r="D1395" s="4"/>
      <c r="E1395" s="4"/>
    </row>
    <row r="1396" spans="1:5" x14ac:dyDescent="0.3">
      <c r="A1396" s="9">
        <v>1388</v>
      </c>
      <c r="B1396" s="10">
        <f t="shared" ca="1" si="21"/>
        <v>8.8626933775669423E-2</v>
      </c>
      <c r="C1396" s="10">
        <f ca="1">NPV(B1396,Project_FCF!C18:J18)+Project_FCF!B18</f>
        <v>868.16898766418467</v>
      </c>
      <c r="D1396" s="4"/>
      <c r="E1396" s="4"/>
    </row>
    <row r="1397" spans="1:5" x14ac:dyDescent="0.3">
      <c r="A1397" s="9">
        <v>1389</v>
      </c>
      <c r="B1397" s="10">
        <f t="shared" ca="1" si="21"/>
        <v>9.1523121087491568E-2</v>
      </c>
      <c r="C1397" s="10">
        <f ca="1">NPV(B1397,Project_FCF!C18:J18)+Project_FCF!B18</f>
        <v>845.65977616511304</v>
      </c>
      <c r="D1397" s="4"/>
      <c r="E1397" s="4"/>
    </row>
    <row r="1398" spans="1:5" x14ac:dyDescent="0.3">
      <c r="A1398" s="9">
        <v>1390</v>
      </c>
      <c r="B1398" s="10">
        <f t="shared" ca="1" si="21"/>
        <v>8.2185314041374913E-2</v>
      </c>
      <c r="C1398" s="10">
        <f ca="1">NPV(B1398,Project_FCF!C18:J18)+Project_FCF!B18</f>
        <v>920.11361403913497</v>
      </c>
      <c r="D1398" s="4"/>
      <c r="E1398" s="4"/>
    </row>
    <row r="1399" spans="1:5" x14ac:dyDescent="0.3">
      <c r="A1399" s="9">
        <v>1391</v>
      </c>
      <c r="B1399" s="10">
        <f t="shared" ca="1" si="21"/>
        <v>9.0357531458326049E-2</v>
      </c>
      <c r="C1399" s="10">
        <f ca="1">NPV(B1399,Project_FCF!C18:J18)+Project_FCF!B18</f>
        <v>854.65722973935817</v>
      </c>
      <c r="D1399" s="4"/>
      <c r="E1399" s="4"/>
    </row>
    <row r="1400" spans="1:5" x14ac:dyDescent="0.3">
      <c r="A1400" s="9">
        <v>1392</v>
      </c>
      <c r="B1400" s="10">
        <f t="shared" ca="1" si="21"/>
        <v>8.3484067491390992E-2</v>
      </c>
      <c r="C1400" s="10">
        <f ca="1">NPV(B1400,Project_FCF!C18:J18)+Project_FCF!B18</f>
        <v>909.42673151661666</v>
      </c>
      <c r="D1400" s="4"/>
      <c r="E1400" s="4"/>
    </row>
    <row r="1401" spans="1:5" x14ac:dyDescent="0.3">
      <c r="A1401" s="9">
        <v>1393</v>
      </c>
      <c r="B1401" s="10">
        <f t="shared" ca="1" si="21"/>
        <v>9.6999402767921794E-2</v>
      </c>
      <c r="C1401" s="10">
        <f ca="1">NPV(B1401,Project_FCF!C18:J18)+Project_FCF!B18</f>
        <v>804.46931170383959</v>
      </c>
      <c r="D1401" s="4"/>
      <c r="E1401" s="4"/>
    </row>
    <row r="1402" spans="1:5" x14ac:dyDescent="0.3">
      <c r="A1402" s="9">
        <v>1394</v>
      </c>
      <c r="B1402" s="10">
        <f t="shared" ca="1" si="21"/>
        <v>0.10341207016260726</v>
      </c>
      <c r="C1402" s="10">
        <f ca="1">NPV(B1402,Project_FCF!C18:J18)+Project_FCF!B18</f>
        <v>758.41834177177407</v>
      </c>
      <c r="D1402" s="4"/>
      <c r="E1402" s="4"/>
    </row>
    <row r="1403" spans="1:5" x14ac:dyDescent="0.3">
      <c r="A1403" s="9">
        <v>1395</v>
      </c>
      <c r="B1403" s="10">
        <f t="shared" ca="1" si="21"/>
        <v>9.0782280981483651E-2</v>
      </c>
      <c r="C1403" s="10">
        <f ca="1">NPV(B1403,Project_FCF!C18:J18)+Project_FCF!B18</f>
        <v>851.36895438410488</v>
      </c>
      <c r="D1403" s="4"/>
      <c r="E1403" s="4"/>
    </row>
    <row r="1404" spans="1:5" x14ac:dyDescent="0.3">
      <c r="A1404" s="9">
        <v>1396</v>
      </c>
      <c r="B1404" s="10">
        <f t="shared" ca="1" si="21"/>
        <v>8.8663030259069131E-2</v>
      </c>
      <c r="C1404" s="10">
        <f ca="1">NPV(B1404,Project_FCF!C18:J18)+Project_FCF!B18</f>
        <v>867.88528034016258</v>
      </c>
      <c r="D1404" s="4"/>
      <c r="E1404" s="4"/>
    </row>
    <row r="1405" spans="1:5" x14ac:dyDescent="0.3">
      <c r="A1405" s="9">
        <v>1397</v>
      </c>
      <c r="B1405" s="10">
        <f t="shared" ca="1" si="21"/>
        <v>7.9396403144142313E-2</v>
      </c>
      <c r="C1405" s="10">
        <f ca="1">NPV(B1405,Project_FCF!C18:J18)+Project_FCF!B18</f>
        <v>943.43759320155118</v>
      </c>
      <c r="D1405" s="4"/>
      <c r="E1405" s="4"/>
    </row>
    <row r="1406" spans="1:5" x14ac:dyDescent="0.3">
      <c r="A1406" s="9">
        <v>1398</v>
      </c>
      <c r="B1406" s="10">
        <f t="shared" ca="1" si="21"/>
        <v>9.1416226231816181E-2</v>
      </c>
      <c r="C1406" s="10">
        <f ca="1">NPV(B1406,Project_FCF!C18:J18)+Project_FCF!B18</f>
        <v>846.4814988378921</v>
      </c>
      <c r="D1406" s="4"/>
      <c r="E1406" s="4"/>
    </row>
    <row r="1407" spans="1:5" x14ac:dyDescent="0.3">
      <c r="A1407" s="9">
        <v>1399</v>
      </c>
      <c r="B1407" s="10">
        <f t="shared" ca="1" si="21"/>
        <v>6.9937101907178195E-2</v>
      </c>
      <c r="C1407" s="10">
        <f ca="1">NPV(B1407,Project_FCF!C18:J18)+Project_FCF!B18</f>
        <v>1026.5202268614698</v>
      </c>
      <c r="D1407" s="4"/>
      <c r="E1407" s="4"/>
    </row>
    <row r="1408" spans="1:5" x14ac:dyDescent="0.3">
      <c r="A1408" s="9">
        <v>1400</v>
      </c>
      <c r="B1408" s="10">
        <f t="shared" ca="1" si="21"/>
        <v>8.7502208326808162E-2</v>
      </c>
      <c r="C1408" s="10">
        <f ca="1">NPV(B1408,Project_FCF!C18:J18)+Project_FCF!B18</f>
        <v>877.04949292716014</v>
      </c>
      <c r="D1408" s="4"/>
      <c r="E1408" s="4"/>
    </row>
    <row r="1409" spans="1:5" x14ac:dyDescent="0.3">
      <c r="A1409" s="9">
        <v>1401</v>
      </c>
      <c r="B1409" s="10">
        <f t="shared" ca="1" si="21"/>
        <v>9.067927499093198E-2</v>
      </c>
      <c r="C1409" s="10">
        <f ca="1">NPV(B1409,Project_FCF!C18:J18)+Project_FCF!B18</f>
        <v>852.16538700556816</v>
      </c>
      <c r="D1409" s="4"/>
      <c r="E1409" s="4"/>
    </row>
    <row r="1410" spans="1:5" x14ac:dyDescent="0.3">
      <c r="A1410" s="9">
        <v>1402</v>
      </c>
      <c r="B1410" s="10">
        <f t="shared" ca="1" si="21"/>
        <v>9.9574776174985169E-2</v>
      </c>
      <c r="C1410" s="10">
        <f ca="1">NPV(B1410,Project_FCF!C18:J18)+Project_FCF!B18</f>
        <v>785.69869335717158</v>
      </c>
      <c r="D1410" s="4"/>
      <c r="E1410" s="4"/>
    </row>
    <row r="1411" spans="1:5" x14ac:dyDescent="0.3">
      <c r="A1411" s="9">
        <v>1403</v>
      </c>
      <c r="B1411" s="10">
        <f t="shared" ca="1" si="21"/>
        <v>7.742861562320745E-2</v>
      </c>
      <c r="C1411" s="10">
        <f ca="1">NPV(B1411,Project_FCF!C18:J18)+Project_FCF!B18</f>
        <v>960.20817878483649</v>
      </c>
      <c r="D1411" s="4"/>
      <c r="E1411" s="4"/>
    </row>
    <row r="1412" spans="1:5" x14ac:dyDescent="0.3">
      <c r="A1412" s="9">
        <v>1404</v>
      </c>
      <c r="B1412" s="10">
        <f t="shared" ca="1" si="21"/>
        <v>0.10069229240747071</v>
      </c>
      <c r="C1412" s="10">
        <f ca="1">NPV(B1412,Project_FCF!C18:J18)+Project_FCF!B18</f>
        <v>777.66994319919331</v>
      </c>
      <c r="D1412" s="4"/>
      <c r="E1412" s="4"/>
    </row>
    <row r="1413" spans="1:5" x14ac:dyDescent="0.3">
      <c r="A1413" s="9">
        <v>1405</v>
      </c>
      <c r="B1413" s="10">
        <f t="shared" ca="1" si="21"/>
        <v>8.523451616022347E-2</v>
      </c>
      <c r="C1413" s="10">
        <f ca="1">NPV(B1413,Project_FCF!C18:J18)+Project_FCF!B18</f>
        <v>895.19567062918372</v>
      </c>
      <c r="D1413" s="4"/>
      <c r="E1413" s="4"/>
    </row>
    <row r="1414" spans="1:5" x14ac:dyDescent="0.3">
      <c r="A1414" s="9">
        <v>1406</v>
      </c>
      <c r="B1414" s="10">
        <f t="shared" ca="1" si="21"/>
        <v>6.8351500723907277E-2</v>
      </c>
      <c r="C1414" s="10">
        <f ca="1">NPV(B1414,Project_FCF!C18:J18)+Project_FCF!B18</f>
        <v>1041.0730789393638</v>
      </c>
      <c r="D1414" s="4"/>
      <c r="E1414" s="4"/>
    </row>
    <row r="1415" spans="1:5" x14ac:dyDescent="0.3">
      <c r="A1415" s="9">
        <v>1407</v>
      </c>
      <c r="B1415" s="10">
        <f t="shared" ca="1" si="21"/>
        <v>8.1204823532380149E-2</v>
      </c>
      <c r="C1415" s="10">
        <f ca="1">NPV(B1415,Project_FCF!C18:J18)+Project_FCF!B18</f>
        <v>928.25480499472337</v>
      </c>
      <c r="D1415" s="4"/>
      <c r="E1415" s="4"/>
    </row>
    <row r="1416" spans="1:5" x14ac:dyDescent="0.3">
      <c r="A1416" s="9">
        <v>1408</v>
      </c>
      <c r="B1416" s="10">
        <f t="shared" ca="1" si="21"/>
        <v>6.7742906512807594E-2</v>
      </c>
      <c r="C1416" s="10">
        <f ca="1">NPV(B1416,Project_FCF!C18:J18)+Project_FCF!B18</f>
        <v>1046.7082956888103</v>
      </c>
      <c r="D1416" s="4"/>
      <c r="E1416" s="4"/>
    </row>
    <row r="1417" spans="1:5" x14ac:dyDescent="0.3">
      <c r="A1417" s="9">
        <v>1409</v>
      </c>
      <c r="B1417" s="10">
        <f t="shared" ref="B1417:B1480" ca="1" si="22">$B$4+RAND()*($B$5-$B$4)</f>
        <v>7.4408851699291081E-2</v>
      </c>
      <c r="C1417" s="10">
        <f ca="1">NPV(B1417,Project_FCF!C18:J18)+Project_FCF!B18</f>
        <v>986.46112962155348</v>
      </c>
      <c r="D1417" s="4"/>
      <c r="E1417" s="4"/>
    </row>
    <row r="1418" spans="1:5" x14ac:dyDescent="0.3">
      <c r="A1418" s="9">
        <v>1410</v>
      </c>
      <c r="B1418" s="10">
        <f t="shared" ca="1" si="22"/>
        <v>7.4307152793062228E-2</v>
      </c>
      <c r="C1418" s="10">
        <f ca="1">NPV(B1418,Project_FCF!C18:J18)+Project_FCF!B18</f>
        <v>987.35633236741592</v>
      </c>
      <c r="D1418" s="4"/>
      <c r="E1418" s="4"/>
    </row>
    <row r="1419" spans="1:5" x14ac:dyDescent="0.3">
      <c r="A1419" s="9">
        <v>1411</v>
      </c>
      <c r="B1419" s="10">
        <f t="shared" ca="1" si="22"/>
        <v>8.4701400527029125E-2</v>
      </c>
      <c r="C1419" s="10">
        <f ca="1">NPV(B1419,Project_FCF!C18:J18)+Project_FCF!B18</f>
        <v>899.5090426764059</v>
      </c>
      <c r="D1419" s="4"/>
      <c r="E1419" s="4"/>
    </row>
    <row r="1420" spans="1:5" x14ac:dyDescent="0.3">
      <c r="A1420" s="9">
        <v>1412</v>
      </c>
      <c r="B1420" s="10">
        <f t="shared" ca="1" si="22"/>
        <v>9.7844811992305325E-2</v>
      </c>
      <c r="C1420" s="10">
        <f ca="1">NPV(B1420,Project_FCF!C18:J18)+Project_FCF!B18</f>
        <v>798.2659904465072</v>
      </c>
      <c r="D1420" s="4"/>
      <c r="E1420" s="4"/>
    </row>
    <row r="1421" spans="1:5" x14ac:dyDescent="0.3">
      <c r="A1421" s="9">
        <v>1413</v>
      </c>
      <c r="B1421" s="10">
        <f t="shared" ca="1" si="22"/>
        <v>9.4162058404709204E-2</v>
      </c>
      <c r="C1421" s="10">
        <f ca="1">NPV(B1421,Project_FCF!C18:J18)+Project_FCF!B18</f>
        <v>825.59044529676748</v>
      </c>
      <c r="D1421" s="4"/>
      <c r="E1421" s="4"/>
    </row>
    <row r="1422" spans="1:5" x14ac:dyDescent="0.3">
      <c r="A1422" s="9">
        <v>1414</v>
      </c>
      <c r="B1422" s="10">
        <f t="shared" ca="1" si="22"/>
        <v>8.2123307369288412E-2</v>
      </c>
      <c r="C1422" s="10">
        <f ca="1">NPV(B1422,Project_FCF!C18:J18)+Project_FCF!B18</f>
        <v>920.62659471966526</v>
      </c>
      <c r="D1422" s="4"/>
      <c r="E1422" s="4"/>
    </row>
    <row r="1423" spans="1:5" x14ac:dyDescent="0.3">
      <c r="A1423" s="9">
        <v>1415</v>
      </c>
      <c r="B1423" s="10">
        <f t="shared" ca="1" si="22"/>
        <v>7.8430930958577449E-2</v>
      </c>
      <c r="C1423" s="10">
        <f ca="1">NPV(B1423,Project_FCF!C18:J18)+Project_FCF!B18</f>
        <v>951.63308146335089</v>
      </c>
      <c r="D1423" s="4"/>
      <c r="E1423" s="4"/>
    </row>
    <row r="1424" spans="1:5" x14ac:dyDescent="0.3">
      <c r="A1424" s="9">
        <v>1416</v>
      </c>
      <c r="B1424" s="10">
        <f t="shared" ca="1" si="22"/>
        <v>7.8131236642550353E-2</v>
      </c>
      <c r="C1424" s="10">
        <f ca="1">NPV(B1424,Project_FCF!C18:J18)+Project_FCF!B18</f>
        <v>954.189887252885</v>
      </c>
      <c r="D1424" s="4"/>
      <c r="E1424" s="4"/>
    </row>
    <row r="1425" spans="1:5" x14ac:dyDescent="0.3">
      <c r="A1425" s="9">
        <v>1417</v>
      </c>
      <c r="B1425" s="10">
        <f t="shared" ca="1" si="22"/>
        <v>8.7080452253516863E-2</v>
      </c>
      <c r="C1425" s="10">
        <f ca="1">NPV(B1425,Project_FCF!C18:J18)+Project_FCF!B18</f>
        <v>880.39988820823419</v>
      </c>
      <c r="D1425" s="4"/>
      <c r="E1425" s="4"/>
    </row>
    <row r="1426" spans="1:5" x14ac:dyDescent="0.3">
      <c r="A1426" s="9">
        <v>1418</v>
      </c>
      <c r="B1426" s="10">
        <f t="shared" ca="1" si="22"/>
        <v>0.10260376294378196</v>
      </c>
      <c r="C1426" s="10">
        <f ca="1">NPV(B1426,Project_FCF!C18:J18)+Project_FCF!B18</f>
        <v>764.09750690665919</v>
      </c>
      <c r="D1426" s="4"/>
      <c r="E1426" s="4"/>
    </row>
    <row r="1427" spans="1:5" x14ac:dyDescent="0.3">
      <c r="A1427" s="9">
        <v>1419</v>
      </c>
      <c r="B1427" s="10">
        <f t="shared" ca="1" si="22"/>
        <v>7.5715767478506946E-2</v>
      </c>
      <c r="C1427" s="10">
        <f ca="1">NPV(B1427,Project_FCF!C18:J18)+Project_FCF!B18</f>
        <v>975.02150982035164</v>
      </c>
      <c r="D1427" s="4"/>
      <c r="E1427" s="4"/>
    </row>
    <row r="1428" spans="1:5" x14ac:dyDescent="0.3">
      <c r="A1428" s="9">
        <v>1420</v>
      </c>
      <c r="B1428" s="10">
        <f t="shared" ca="1" si="22"/>
        <v>6.47616514748897E-2</v>
      </c>
      <c r="C1428" s="10">
        <f ca="1">NPV(B1428,Project_FCF!C18:J18)+Project_FCF!B18</f>
        <v>1074.7156329003462</v>
      </c>
      <c r="D1428" s="4"/>
      <c r="E1428" s="4"/>
    </row>
    <row r="1429" spans="1:5" x14ac:dyDescent="0.3">
      <c r="A1429" s="9">
        <v>1421</v>
      </c>
      <c r="B1429" s="10">
        <f t="shared" ca="1" si="22"/>
        <v>7.4029206937416284E-2</v>
      </c>
      <c r="C1429" s="10">
        <f ca="1">NPV(B1429,Project_FCF!C18:J18)+Project_FCF!B18</f>
        <v>989.80666058290581</v>
      </c>
      <c r="D1429" s="4"/>
      <c r="E1429" s="4"/>
    </row>
    <row r="1430" spans="1:5" x14ac:dyDescent="0.3">
      <c r="A1430" s="9">
        <v>1422</v>
      </c>
      <c r="B1430" s="10">
        <f t="shared" ca="1" si="22"/>
        <v>6.960498273105388E-2</v>
      </c>
      <c r="C1430" s="10">
        <f ca="1">NPV(B1430,Project_FCF!C18:J18)+Project_FCF!B18</f>
        <v>1029.5531272494979</v>
      </c>
      <c r="D1430" s="4"/>
      <c r="E1430" s="4"/>
    </row>
    <row r="1431" spans="1:5" x14ac:dyDescent="0.3">
      <c r="A1431" s="9">
        <v>1423</v>
      </c>
      <c r="B1431" s="10">
        <f t="shared" ca="1" si="22"/>
        <v>9.9093362610928576E-2</v>
      </c>
      <c r="C1431" s="10">
        <f ca="1">NPV(B1431,Project_FCF!C18:J18)+Project_FCF!B18</f>
        <v>789.17894247156732</v>
      </c>
      <c r="D1431" s="4"/>
      <c r="E1431" s="4"/>
    </row>
    <row r="1432" spans="1:5" x14ac:dyDescent="0.3">
      <c r="A1432" s="9">
        <v>1424</v>
      </c>
      <c r="B1432" s="10">
        <f t="shared" ca="1" si="22"/>
        <v>7.8009046766466056E-2</v>
      </c>
      <c r="C1432" s="10">
        <f ca="1">NPV(B1432,Project_FCF!C18:J18)+Project_FCF!B18</f>
        <v>955.23408655253024</v>
      </c>
      <c r="D1432" s="4"/>
      <c r="E1432" s="4"/>
    </row>
    <row r="1433" spans="1:5" x14ac:dyDescent="0.3">
      <c r="A1433" s="9">
        <v>1425</v>
      </c>
      <c r="B1433" s="10">
        <f t="shared" ca="1" si="22"/>
        <v>9.5515471196853025E-2</v>
      </c>
      <c r="C1433" s="10">
        <f ca="1">NPV(B1433,Project_FCF!C18:J18)+Project_FCF!B18</f>
        <v>815.4572836713337</v>
      </c>
      <c r="D1433" s="4"/>
      <c r="E1433" s="4"/>
    </row>
    <row r="1434" spans="1:5" x14ac:dyDescent="0.3">
      <c r="A1434" s="9">
        <v>1426</v>
      </c>
      <c r="B1434" s="10">
        <f t="shared" ca="1" si="22"/>
        <v>9.5535682280206993E-2</v>
      </c>
      <c r="C1434" s="10">
        <f ca="1">NPV(B1434,Project_FCF!C18:J18)+Project_FCF!B18</f>
        <v>815.30677146938024</v>
      </c>
      <c r="D1434" s="4"/>
      <c r="E1434" s="4"/>
    </row>
    <row r="1435" spans="1:5" x14ac:dyDescent="0.3">
      <c r="A1435" s="9">
        <v>1427</v>
      </c>
      <c r="B1435" s="10">
        <f t="shared" ca="1" si="22"/>
        <v>0.102874018979945</v>
      </c>
      <c r="C1435" s="10">
        <f ca="1">NPV(B1435,Project_FCF!C18:J18)+Project_FCF!B18</f>
        <v>762.19472970387278</v>
      </c>
      <c r="D1435" s="4"/>
      <c r="E1435" s="4"/>
    </row>
    <row r="1436" spans="1:5" x14ac:dyDescent="0.3">
      <c r="A1436" s="9">
        <v>1428</v>
      </c>
      <c r="B1436" s="10">
        <f t="shared" ca="1" si="22"/>
        <v>9.8295869990035187E-2</v>
      </c>
      <c r="C1436" s="10">
        <f ca="1">NPV(B1436,Project_FCF!C18:J18)+Project_FCF!B18</f>
        <v>794.97295996910179</v>
      </c>
      <c r="D1436" s="4"/>
      <c r="E1436" s="4"/>
    </row>
    <row r="1437" spans="1:5" x14ac:dyDescent="0.3">
      <c r="A1437" s="9">
        <v>1429</v>
      </c>
      <c r="B1437" s="10">
        <f t="shared" ca="1" si="22"/>
        <v>6.4181590094329471E-2</v>
      </c>
      <c r="C1437" s="10">
        <f ca="1">NPV(B1437,Project_FCF!C18:J18)+Project_FCF!B18</f>
        <v>1080.2437344434124</v>
      </c>
      <c r="D1437" s="4"/>
      <c r="E1437" s="4"/>
    </row>
    <row r="1438" spans="1:5" x14ac:dyDescent="0.3">
      <c r="A1438" s="9">
        <v>1430</v>
      </c>
      <c r="B1438" s="10">
        <f t="shared" ca="1" si="22"/>
        <v>7.4770163786334429E-2</v>
      </c>
      <c r="C1438" s="10">
        <f ca="1">NPV(B1438,Project_FCF!C18:J18)+Project_FCF!B18</f>
        <v>983.28656309043367</v>
      </c>
      <c r="D1438" s="4"/>
      <c r="E1438" s="4"/>
    </row>
    <row r="1439" spans="1:5" x14ac:dyDescent="0.3">
      <c r="A1439" s="9">
        <v>1431</v>
      </c>
      <c r="B1439" s="10">
        <f t="shared" ca="1" si="22"/>
        <v>7.8057259832696707E-2</v>
      </c>
      <c r="C1439" s="10">
        <f ca="1">NPV(B1439,Project_FCF!C18:J18)+Project_FCF!B18</f>
        <v>954.82195035308246</v>
      </c>
      <c r="D1439" s="4"/>
      <c r="E1439" s="4"/>
    </row>
    <row r="1440" spans="1:5" x14ac:dyDescent="0.3">
      <c r="A1440" s="9">
        <v>1432</v>
      </c>
      <c r="B1440" s="10">
        <f t="shared" ca="1" si="22"/>
        <v>6.6285011804815774E-2</v>
      </c>
      <c r="C1440" s="10">
        <f ca="1">NPV(B1440,Project_FCF!C18:J18)+Project_FCF!B18</f>
        <v>1060.3203605833971</v>
      </c>
      <c r="D1440" s="4"/>
      <c r="E1440" s="4"/>
    </row>
    <row r="1441" spans="1:5" x14ac:dyDescent="0.3">
      <c r="A1441" s="9">
        <v>1433</v>
      </c>
      <c r="B1441" s="10">
        <f t="shared" ca="1" si="22"/>
        <v>8.7510275949931438E-2</v>
      </c>
      <c r="C1441" s="10">
        <f ca="1">NPV(B1441,Project_FCF!C18:J18)+Project_FCF!B18</f>
        <v>876.98551285421263</v>
      </c>
      <c r="D1441" s="4"/>
      <c r="E1441" s="4"/>
    </row>
    <row r="1442" spans="1:5" x14ac:dyDescent="0.3">
      <c r="A1442" s="9">
        <v>1434</v>
      </c>
      <c r="B1442" s="10">
        <f t="shared" ca="1" si="22"/>
        <v>7.534389677880321E-2</v>
      </c>
      <c r="C1442" s="10">
        <f ca="1">NPV(B1442,Project_FCF!C18:J18)+Project_FCF!B18</f>
        <v>978.26440576125378</v>
      </c>
      <c r="D1442" s="4"/>
      <c r="E1442" s="4"/>
    </row>
    <row r="1443" spans="1:5" x14ac:dyDescent="0.3">
      <c r="A1443" s="9">
        <v>1435</v>
      </c>
      <c r="B1443" s="10">
        <f t="shared" ca="1" si="22"/>
        <v>0.10097276047848876</v>
      </c>
      <c r="C1443" s="10">
        <f ca="1">NPV(B1443,Project_FCF!C18:J18)+Project_FCF!B18</f>
        <v>775.66584945961449</v>
      </c>
      <c r="D1443" s="4"/>
      <c r="E1443" s="4"/>
    </row>
    <row r="1444" spans="1:5" x14ac:dyDescent="0.3">
      <c r="A1444" s="9">
        <v>1436</v>
      </c>
      <c r="B1444" s="10">
        <f t="shared" ca="1" si="22"/>
        <v>8.5849600060816322E-2</v>
      </c>
      <c r="C1444" s="10">
        <f ca="1">NPV(B1444,Project_FCF!C18:J18)+Project_FCF!B18</f>
        <v>890.24161301810364</v>
      </c>
      <c r="D1444" s="4"/>
      <c r="E1444" s="4"/>
    </row>
    <row r="1445" spans="1:5" x14ac:dyDescent="0.3">
      <c r="A1445" s="9">
        <v>1437</v>
      </c>
      <c r="B1445" s="10">
        <f t="shared" ca="1" si="22"/>
        <v>7.9625913651716007E-2</v>
      </c>
      <c r="C1445" s="10">
        <f ca="1">NPV(B1445,Project_FCF!C18:J18)+Project_FCF!B18</f>
        <v>941.49861093314189</v>
      </c>
      <c r="D1445" s="4"/>
      <c r="E1445" s="4"/>
    </row>
    <row r="1446" spans="1:5" x14ac:dyDescent="0.3">
      <c r="A1446" s="9">
        <v>1438</v>
      </c>
      <c r="B1446" s="10">
        <f t="shared" ca="1" si="22"/>
        <v>8.9996823811623064E-2</v>
      </c>
      <c r="C1446" s="10">
        <f ca="1">NPV(B1446,Project_FCF!C18:J18)+Project_FCF!B18</f>
        <v>857.4583387016653</v>
      </c>
      <c r="D1446" s="4"/>
      <c r="E1446" s="4"/>
    </row>
    <row r="1447" spans="1:5" x14ac:dyDescent="0.3">
      <c r="A1447" s="9">
        <v>1439</v>
      </c>
      <c r="B1447" s="10">
        <f t="shared" ca="1" si="22"/>
        <v>6.5890054981738014E-2</v>
      </c>
      <c r="C1447" s="10">
        <f ca="1">NPV(B1447,Project_FCF!C18:J18)+Project_FCF!B18</f>
        <v>1064.0356062141364</v>
      </c>
      <c r="D1447" s="4"/>
      <c r="E1447" s="4"/>
    </row>
    <row r="1448" spans="1:5" x14ac:dyDescent="0.3">
      <c r="A1448" s="9">
        <v>1440</v>
      </c>
      <c r="B1448" s="10">
        <f t="shared" ca="1" si="22"/>
        <v>8.3461212085227374E-2</v>
      </c>
      <c r="C1448" s="10">
        <f ca="1">NPV(B1448,Project_FCF!C18:J18)+Project_FCF!B18</f>
        <v>909.61385064378669</v>
      </c>
      <c r="D1448" s="4"/>
      <c r="E1448" s="4"/>
    </row>
    <row r="1449" spans="1:5" x14ac:dyDescent="0.3">
      <c r="A1449" s="9">
        <v>1441</v>
      </c>
      <c r="B1449" s="10">
        <f t="shared" ca="1" si="22"/>
        <v>7.2786022010929277E-2</v>
      </c>
      <c r="C1449" s="10">
        <f ca="1">NPV(B1449,Project_FCF!C18:J18)+Project_FCF!B18</f>
        <v>1000.8332933101372</v>
      </c>
      <c r="D1449" s="4"/>
      <c r="E1449" s="4"/>
    </row>
    <row r="1450" spans="1:5" x14ac:dyDescent="0.3">
      <c r="A1450" s="9">
        <v>1442</v>
      </c>
      <c r="B1450" s="10">
        <f t="shared" ca="1" si="22"/>
        <v>6.7156619835738798E-2</v>
      </c>
      <c r="C1450" s="10">
        <f ca="1">NPV(B1450,Project_FCF!C18:J18)+Project_FCF!B18</f>
        <v>1052.1631258057898</v>
      </c>
      <c r="D1450" s="4"/>
      <c r="E1450" s="4"/>
    </row>
    <row r="1451" spans="1:5" x14ac:dyDescent="0.3">
      <c r="A1451" s="9">
        <v>1443</v>
      </c>
      <c r="B1451" s="10">
        <f t="shared" ca="1" si="22"/>
        <v>9.2003474388963113E-2</v>
      </c>
      <c r="C1451" s="10">
        <f ca="1">NPV(B1451,Project_FCF!C18:J18)+Project_FCF!B18</f>
        <v>841.97569290767638</v>
      </c>
      <c r="D1451" s="4"/>
      <c r="E1451" s="4"/>
    </row>
    <row r="1452" spans="1:5" x14ac:dyDescent="0.3">
      <c r="A1452" s="9">
        <v>1444</v>
      </c>
      <c r="B1452" s="10">
        <f t="shared" ca="1" si="22"/>
        <v>8.5774947728966877E-2</v>
      </c>
      <c r="C1452" s="10">
        <f ca="1">NPV(B1452,Project_FCF!C18:J18)+Project_FCF!B18</f>
        <v>890.84160201647296</v>
      </c>
      <c r="D1452" s="4"/>
      <c r="E1452" s="4"/>
    </row>
    <row r="1453" spans="1:5" x14ac:dyDescent="0.3">
      <c r="A1453" s="9">
        <v>1445</v>
      </c>
      <c r="B1453" s="10">
        <f t="shared" ca="1" si="22"/>
        <v>7.6505061549408893E-2</v>
      </c>
      <c r="C1453" s="10">
        <f ca="1">NPV(B1453,Project_FCF!C18:J18)+Project_FCF!B18</f>
        <v>968.17027545483552</v>
      </c>
      <c r="D1453" s="4"/>
      <c r="E1453" s="4"/>
    </row>
    <row r="1454" spans="1:5" x14ac:dyDescent="0.3">
      <c r="A1454" s="9">
        <v>1446</v>
      </c>
      <c r="B1454" s="10">
        <f t="shared" ca="1" si="22"/>
        <v>8.5258931625387765E-2</v>
      </c>
      <c r="C1454" s="10">
        <f ca="1">NPV(B1454,Project_FCF!C18:J18)+Project_FCF!B18</f>
        <v>894.99856277307526</v>
      </c>
      <c r="D1454" s="4"/>
      <c r="E1454" s="4"/>
    </row>
    <row r="1455" spans="1:5" x14ac:dyDescent="0.3">
      <c r="A1455" s="9">
        <v>1447</v>
      </c>
      <c r="B1455" s="10">
        <f t="shared" ca="1" si="22"/>
        <v>9.487100940474226E-2</v>
      </c>
      <c r="C1455" s="10">
        <f ca="1">NPV(B1455,Project_FCF!C18:J18)+Project_FCF!B18</f>
        <v>820.26907931636947</v>
      </c>
      <c r="D1455" s="4"/>
      <c r="E1455" s="4"/>
    </row>
    <row r="1456" spans="1:5" x14ac:dyDescent="0.3">
      <c r="A1456" s="9">
        <v>1448</v>
      </c>
      <c r="B1456" s="10">
        <f t="shared" ca="1" si="22"/>
        <v>9.9745980586936303E-2</v>
      </c>
      <c r="C1456" s="10">
        <f ca="1">NPV(B1456,Project_FCF!C18:J18)+Project_FCF!B18</f>
        <v>784.46415458040428</v>
      </c>
      <c r="D1456" s="4"/>
      <c r="E1456" s="4"/>
    </row>
    <row r="1457" spans="1:5" x14ac:dyDescent="0.3">
      <c r="A1457" s="9">
        <v>1449</v>
      </c>
      <c r="B1457" s="10">
        <f t="shared" ca="1" si="22"/>
        <v>8.9280791055032088E-2</v>
      </c>
      <c r="C1457" s="10">
        <f ca="1">NPV(B1457,Project_FCF!C18:J18)+Project_FCF!B18</f>
        <v>863.04233502686839</v>
      </c>
      <c r="D1457" s="4"/>
      <c r="E1457" s="4"/>
    </row>
    <row r="1458" spans="1:5" x14ac:dyDescent="0.3">
      <c r="A1458" s="9">
        <v>1450</v>
      </c>
      <c r="B1458" s="10">
        <f t="shared" ca="1" si="22"/>
        <v>0.10072996170920315</v>
      </c>
      <c r="C1458" s="10">
        <f ca="1">NPV(B1458,Project_FCF!C18:J18)+Project_FCF!B18</f>
        <v>777.40052217080552</v>
      </c>
      <c r="D1458" s="4"/>
      <c r="E1458" s="4"/>
    </row>
    <row r="1459" spans="1:5" x14ac:dyDescent="0.3">
      <c r="A1459" s="9">
        <v>1451</v>
      </c>
      <c r="B1459" s="10">
        <f t="shared" ca="1" si="22"/>
        <v>9.8477194097186332E-2</v>
      </c>
      <c r="C1459" s="10">
        <f ca="1">NPV(B1459,Project_FCF!C18:J18)+Project_FCF!B18</f>
        <v>793.6524264566865</v>
      </c>
      <c r="D1459" s="4"/>
      <c r="E1459" s="4"/>
    </row>
    <row r="1460" spans="1:5" x14ac:dyDescent="0.3">
      <c r="A1460" s="9">
        <v>1452</v>
      </c>
      <c r="B1460" s="10">
        <f t="shared" ca="1" si="22"/>
        <v>6.8496231762518095E-2</v>
      </c>
      <c r="C1460" s="10">
        <f ca="1">NPV(B1460,Project_FCF!C18:J18)+Project_FCF!B18</f>
        <v>1039.7370125188274</v>
      </c>
      <c r="D1460" s="4"/>
      <c r="E1460" s="4"/>
    </row>
    <row r="1461" spans="1:5" x14ac:dyDescent="0.3">
      <c r="A1461" s="9">
        <v>1453</v>
      </c>
      <c r="B1461" s="10">
        <f t="shared" ca="1" si="22"/>
        <v>8.4901883085577737E-2</v>
      </c>
      <c r="C1461" s="10">
        <f ca="1">NPV(B1461,Project_FCF!C18:J18)+Project_FCF!B18</f>
        <v>897.88483180990966</v>
      </c>
      <c r="D1461" s="4"/>
      <c r="E1461" s="4"/>
    </row>
    <row r="1462" spans="1:5" x14ac:dyDescent="0.3">
      <c r="A1462" s="9">
        <v>1454</v>
      </c>
      <c r="B1462" s="10">
        <f t="shared" ca="1" si="22"/>
        <v>7.97069051033336E-2</v>
      </c>
      <c r="C1462" s="10">
        <f ca="1">NPV(B1462,Project_FCF!C18:J18)+Project_FCF!B18</f>
        <v>940.81521144420344</v>
      </c>
      <c r="D1462" s="4"/>
      <c r="E1462" s="4"/>
    </row>
    <row r="1463" spans="1:5" x14ac:dyDescent="0.3">
      <c r="A1463" s="9">
        <v>1455</v>
      </c>
      <c r="B1463" s="10">
        <f t="shared" ca="1" si="22"/>
        <v>7.7727923828455628E-2</v>
      </c>
      <c r="C1463" s="10">
        <f ca="1">NPV(B1463,Project_FCF!C18:J18)+Project_FCF!B18</f>
        <v>957.64034150129646</v>
      </c>
      <c r="D1463" s="4"/>
      <c r="E1463" s="4"/>
    </row>
    <row r="1464" spans="1:5" x14ac:dyDescent="0.3">
      <c r="A1464" s="9">
        <v>1456</v>
      </c>
      <c r="B1464" s="10">
        <f t="shared" ca="1" si="22"/>
        <v>9.0943244811040005E-2</v>
      </c>
      <c r="C1464" s="10">
        <f ca="1">NPV(B1464,Project_FCF!C18:J18)+Project_FCF!B18</f>
        <v>850.12568588080421</v>
      </c>
      <c r="D1464" s="4"/>
      <c r="E1464" s="4"/>
    </row>
    <row r="1465" spans="1:5" x14ac:dyDescent="0.3">
      <c r="A1465" s="9">
        <v>1457</v>
      </c>
      <c r="B1465" s="10">
        <f t="shared" ca="1" si="22"/>
        <v>7.235255236891594E-2</v>
      </c>
      <c r="C1465" s="10">
        <f ca="1">NPV(B1465,Project_FCF!C18:J18)+Project_FCF!B18</f>
        <v>1004.7038892643013</v>
      </c>
      <c r="D1465" s="4"/>
      <c r="E1465" s="4"/>
    </row>
    <row r="1466" spans="1:5" x14ac:dyDescent="0.3">
      <c r="A1466" s="9">
        <v>1458</v>
      </c>
      <c r="B1466" s="10">
        <f t="shared" ca="1" si="22"/>
        <v>6.5409202943673778E-2</v>
      </c>
      <c r="C1466" s="10">
        <f ca="1">NPV(B1466,Project_FCF!C18:J18)+Project_FCF!B18</f>
        <v>1068.5748486139</v>
      </c>
      <c r="D1466" s="4"/>
      <c r="E1466" s="4"/>
    </row>
    <row r="1467" spans="1:5" x14ac:dyDescent="0.3">
      <c r="A1467" s="9">
        <v>1459</v>
      </c>
      <c r="B1467" s="10">
        <f t="shared" ca="1" si="22"/>
        <v>8.2746918878356168E-2</v>
      </c>
      <c r="C1467" s="10">
        <f ca="1">NPV(B1467,Project_FCF!C18:J18)+Project_FCF!B18</f>
        <v>915.47892037748056</v>
      </c>
      <c r="D1467" s="4"/>
      <c r="E1467" s="4"/>
    </row>
    <row r="1468" spans="1:5" x14ac:dyDescent="0.3">
      <c r="A1468" s="9">
        <v>1460</v>
      </c>
      <c r="B1468" s="10">
        <f t="shared" ca="1" si="22"/>
        <v>9.526804979894439E-2</v>
      </c>
      <c r="C1468" s="10">
        <f ca="1">NPV(B1468,Project_FCF!C18:J18)+Project_FCF!B18</f>
        <v>817.30176106109911</v>
      </c>
      <c r="D1468" s="4"/>
      <c r="E1468" s="4"/>
    </row>
    <row r="1469" spans="1:5" x14ac:dyDescent="0.3">
      <c r="A1469" s="9">
        <v>1461</v>
      </c>
      <c r="B1469" s="10">
        <f t="shared" ca="1" si="22"/>
        <v>8.3097803535871054E-2</v>
      </c>
      <c r="C1469" s="10">
        <f ca="1">NPV(B1469,Project_FCF!C18:J18)+Project_FCF!B18</f>
        <v>912.59365853969462</v>
      </c>
      <c r="D1469" s="4"/>
      <c r="E1469" s="4"/>
    </row>
    <row r="1470" spans="1:5" x14ac:dyDescent="0.3">
      <c r="A1470" s="9">
        <v>1462</v>
      </c>
      <c r="B1470" s="10">
        <f t="shared" ca="1" si="22"/>
        <v>9.0184040808964694E-2</v>
      </c>
      <c r="C1470" s="10">
        <f ca="1">NPV(B1470,Project_FCF!C18:J18)+Project_FCF!B18</f>
        <v>856.00349700639777</v>
      </c>
      <c r="D1470" s="4"/>
      <c r="E1470" s="4"/>
    </row>
    <row r="1471" spans="1:5" x14ac:dyDescent="0.3">
      <c r="A1471" s="9">
        <v>1463</v>
      </c>
      <c r="B1471" s="10">
        <f t="shared" ca="1" si="22"/>
        <v>0.10392180567351872</v>
      </c>
      <c r="C1471" s="10">
        <f ca="1">NPV(B1471,Project_FCF!C18:J18)+Project_FCF!B18</f>
        <v>754.85517554915646</v>
      </c>
      <c r="D1471" s="4"/>
      <c r="E1471" s="4"/>
    </row>
    <row r="1472" spans="1:5" x14ac:dyDescent="0.3">
      <c r="A1472" s="9">
        <v>1464</v>
      </c>
      <c r="B1472" s="10">
        <f t="shared" ca="1" si="22"/>
        <v>9.8046926862332101E-2</v>
      </c>
      <c r="C1472" s="10">
        <f ca="1">NPV(B1472,Project_FCF!C18:J18)+Project_FCF!B18</f>
        <v>796.78898378446934</v>
      </c>
      <c r="D1472" s="4"/>
      <c r="E1472" s="4"/>
    </row>
    <row r="1473" spans="1:5" x14ac:dyDescent="0.3">
      <c r="A1473" s="9">
        <v>1465</v>
      </c>
      <c r="B1473" s="10">
        <f t="shared" ca="1" si="22"/>
        <v>8.696744975989168E-2</v>
      </c>
      <c r="C1473" s="10">
        <f ca="1">NPV(B1473,Project_FCF!C18:J18)+Project_FCF!B18</f>
        <v>881.29946373014445</v>
      </c>
      <c r="D1473" s="4"/>
      <c r="E1473" s="4"/>
    </row>
    <row r="1474" spans="1:5" x14ac:dyDescent="0.3">
      <c r="A1474" s="9">
        <v>1466</v>
      </c>
      <c r="B1474" s="10">
        <f t="shared" ca="1" si="22"/>
        <v>9.0393658258862253E-2</v>
      </c>
      <c r="C1474" s="10">
        <f ca="1">NPV(B1474,Project_FCF!C18:J18)+Project_FCF!B18</f>
        <v>854.37712065200435</v>
      </c>
      <c r="D1474" s="4"/>
      <c r="E1474" s="4"/>
    </row>
    <row r="1475" spans="1:5" x14ac:dyDescent="0.3">
      <c r="A1475" s="9">
        <v>1467</v>
      </c>
      <c r="B1475" s="10">
        <f t="shared" ca="1" si="22"/>
        <v>8.5385698606674693E-2</v>
      </c>
      <c r="C1475" s="10">
        <f ca="1">NPV(B1475,Project_FCF!C18:J18)+Project_FCF!B18</f>
        <v>893.97577421503183</v>
      </c>
      <c r="D1475" s="4"/>
      <c r="E1475" s="4"/>
    </row>
    <row r="1476" spans="1:5" x14ac:dyDescent="0.3">
      <c r="A1476" s="9">
        <v>1468</v>
      </c>
      <c r="B1476" s="10">
        <f t="shared" ca="1" si="22"/>
        <v>7.7510428985071406E-2</v>
      </c>
      <c r="C1476" s="10">
        <f ca="1">NPV(B1476,Project_FCF!C18:J18)+Project_FCF!B18</f>
        <v>959.50567427498731</v>
      </c>
      <c r="D1476" s="4"/>
      <c r="E1476" s="4"/>
    </row>
    <row r="1477" spans="1:5" x14ac:dyDescent="0.3">
      <c r="A1477" s="9">
        <v>1469</v>
      </c>
      <c r="B1477" s="10">
        <f t="shared" ca="1" si="22"/>
        <v>8.3061869695968946E-2</v>
      </c>
      <c r="C1477" s="10">
        <f ca="1">NPV(B1477,Project_FCF!C18:J18)+Project_FCF!B18</f>
        <v>912.88876785819866</v>
      </c>
      <c r="D1477" s="4"/>
      <c r="E1477" s="4"/>
    </row>
    <row r="1478" spans="1:5" x14ac:dyDescent="0.3">
      <c r="A1478" s="9">
        <v>1470</v>
      </c>
      <c r="B1478" s="10">
        <f t="shared" ca="1" si="22"/>
        <v>8.5294611821122523E-2</v>
      </c>
      <c r="C1478" s="10">
        <f ca="1">NPV(B1478,Project_FCF!C18:J18)+Project_FCF!B18</f>
        <v>894.710582254575</v>
      </c>
      <c r="D1478" s="4"/>
      <c r="E1478" s="4"/>
    </row>
    <row r="1479" spans="1:5" x14ac:dyDescent="0.3">
      <c r="A1479" s="9">
        <v>1471</v>
      </c>
      <c r="B1479" s="10">
        <f t="shared" ca="1" si="22"/>
        <v>9.7708946802032487E-2</v>
      </c>
      <c r="C1479" s="10">
        <f ca="1">NPV(B1479,Project_FCF!C18:J18)+Project_FCF!B18</f>
        <v>799.26016825482088</v>
      </c>
      <c r="D1479" s="4"/>
      <c r="E1479" s="4"/>
    </row>
    <row r="1480" spans="1:5" x14ac:dyDescent="0.3">
      <c r="A1480" s="9">
        <v>1472</v>
      </c>
      <c r="B1480" s="10">
        <f t="shared" ca="1" si="22"/>
        <v>6.7446174460573952E-2</v>
      </c>
      <c r="C1480" s="10">
        <f ca="1">NPV(B1480,Project_FCF!C18:J18)+Project_FCF!B18</f>
        <v>1049.4658819753029</v>
      </c>
      <c r="D1480" s="4"/>
      <c r="E1480" s="4"/>
    </row>
    <row r="1481" spans="1:5" x14ac:dyDescent="0.3">
      <c r="A1481" s="9">
        <v>1473</v>
      </c>
      <c r="B1481" s="10">
        <f t="shared" ref="B1481:B1544" ca="1" si="23">$B$4+RAND()*($B$5-$B$4)</f>
        <v>7.8395988533160155E-2</v>
      </c>
      <c r="C1481" s="10">
        <f ca="1">NPV(B1481,Project_FCF!C18:J18)+Project_FCF!B18</f>
        <v>951.93087464369296</v>
      </c>
      <c r="D1481" s="4"/>
      <c r="E1481" s="4"/>
    </row>
    <row r="1482" spans="1:5" x14ac:dyDescent="0.3">
      <c r="A1482" s="9">
        <v>1474</v>
      </c>
      <c r="B1482" s="10">
        <f t="shared" ca="1" si="23"/>
        <v>9.2001512257647966E-2</v>
      </c>
      <c r="C1482" s="10">
        <f ca="1">NPV(B1482,Project_FCF!C18:J18)+Project_FCF!B18</f>
        <v>841.99071332385688</v>
      </c>
      <c r="D1482" s="4"/>
      <c r="E1482" s="4"/>
    </row>
    <row r="1483" spans="1:5" x14ac:dyDescent="0.3">
      <c r="A1483" s="9">
        <v>1475</v>
      </c>
      <c r="B1483" s="10">
        <f t="shared" ca="1" si="23"/>
        <v>9.4734260827964448E-2</v>
      </c>
      <c r="C1483" s="10">
        <f ca="1">NPV(B1483,Project_FCF!C18:J18)+Project_FCF!B18</f>
        <v>821.29321584840909</v>
      </c>
      <c r="D1483" s="4"/>
      <c r="E1483" s="4"/>
    </row>
    <row r="1484" spans="1:5" x14ac:dyDescent="0.3">
      <c r="A1484" s="9">
        <v>1476</v>
      </c>
      <c r="B1484" s="10">
        <f t="shared" ca="1" si="23"/>
        <v>8.5117722251901493E-2</v>
      </c>
      <c r="C1484" s="10">
        <f ca="1">NPV(B1484,Project_FCF!C18:J18)+Project_FCF!B18</f>
        <v>896.13908241309946</v>
      </c>
      <c r="D1484" s="4"/>
      <c r="E1484" s="4"/>
    </row>
    <row r="1485" spans="1:5" x14ac:dyDescent="0.3">
      <c r="A1485" s="9">
        <v>1477</v>
      </c>
      <c r="B1485" s="10">
        <f t="shared" ca="1" si="23"/>
        <v>7.7216957071123873E-2</v>
      </c>
      <c r="C1485" s="10">
        <f ca="1">NPV(B1485,Project_FCF!C18:J18)+Project_FCF!B18</f>
        <v>962.02774687608962</v>
      </c>
      <c r="D1485" s="4"/>
      <c r="E1485" s="4"/>
    </row>
    <row r="1486" spans="1:5" x14ac:dyDescent="0.3">
      <c r="A1486" s="9">
        <v>1478</v>
      </c>
      <c r="B1486" s="10">
        <f t="shared" ca="1" si="23"/>
        <v>8.8059673916692394E-2</v>
      </c>
      <c r="C1486" s="10">
        <f ca="1">NPV(B1486,Project_FCF!C18:J18)+Project_FCF!B18</f>
        <v>872.63807783603147</v>
      </c>
      <c r="D1486" s="4"/>
      <c r="E1486" s="4"/>
    </row>
    <row r="1487" spans="1:5" x14ac:dyDescent="0.3">
      <c r="A1487" s="9">
        <v>1479</v>
      </c>
      <c r="B1487" s="10">
        <f t="shared" ca="1" si="23"/>
        <v>8.2950822784224429E-2</v>
      </c>
      <c r="C1487" s="10">
        <f ca="1">NPV(B1487,Project_FCF!C18:J18)+Project_FCF!B18</f>
        <v>913.80127956024148</v>
      </c>
      <c r="D1487" s="4"/>
      <c r="E1487" s="4"/>
    </row>
    <row r="1488" spans="1:5" x14ac:dyDescent="0.3">
      <c r="A1488" s="9">
        <v>1480</v>
      </c>
      <c r="B1488" s="10">
        <f t="shared" ca="1" si="23"/>
        <v>0.1026688266185202</v>
      </c>
      <c r="C1488" s="10">
        <f ca="1">NPV(B1488,Project_FCF!C18:J18)+Project_FCF!B18</f>
        <v>763.63905231803574</v>
      </c>
      <c r="D1488" s="4"/>
      <c r="E1488" s="4"/>
    </row>
    <row r="1489" spans="1:5" x14ac:dyDescent="0.3">
      <c r="A1489" s="9">
        <v>1481</v>
      </c>
      <c r="B1489" s="10">
        <f t="shared" ca="1" si="23"/>
        <v>8.818561702450195E-2</v>
      </c>
      <c r="C1489" s="10">
        <f ca="1">NPV(B1489,Project_FCF!C18:J18)+Project_FCF!B18</f>
        <v>871.64412584754905</v>
      </c>
      <c r="D1489" s="4"/>
      <c r="E1489" s="4"/>
    </row>
    <row r="1490" spans="1:5" x14ac:dyDescent="0.3">
      <c r="A1490" s="9">
        <v>1482</v>
      </c>
      <c r="B1490" s="10">
        <f t="shared" ca="1" si="23"/>
        <v>6.8525486599771021E-2</v>
      </c>
      <c r="C1490" s="10">
        <f ca="1">NPV(B1490,Project_FCF!C18:J18)+Project_FCF!B18</f>
        <v>1039.4671390609706</v>
      </c>
      <c r="D1490" s="4"/>
      <c r="E1490" s="4"/>
    </row>
    <row r="1491" spans="1:5" x14ac:dyDescent="0.3">
      <c r="A1491" s="9">
        <v>1483</v>
      </c>
      <c r="B1491" s="10">
        <f t="shared" ca="1" si="23"/>
        <v>6.7363893001716996E-2</v>
      </c>
      <c r="C1491" s="10">
        <f ca="1">NPV(B1491,Project_FCF!C18:J18)+Project_FCF!B18</f>
        <v>1050.231706290213</v>
      </c>
      <c r="D1491" s="4"/>
      <c r="E1491" s="4"/>
    </row>
    <row r="1492" spans="1:5" x14ac:dyDescent="0.3">
      <c r="A1492" s="9">
        <v>1484</v>
      </c>
      <c r="B1492" s="10">
        <f t="shared" ca="1" si="23"/>
        <v>9.4443436245927367E-2</v>
      </c>
      <c r="C1492" s="10">
        <f ca="1">NPV(B1492,Project_FCF!C18:J18)+Project_FCF!B18</f>
        <v>823.47490048498298</v>
      </c>
      <c r="D1492" s="4"/>
      <c r="E1492" s="4"/>
    </row>
    <row r="1493" spans="1:5" x14ac:dyDescent="0.3">
      <c r="A1493" s="9">
        <v>1485</v>
      </c>
      <c r="B1493" s="10">
        <f t="shared" ca="1" si="23"/>
        <v>6.9958765409532733E-2</v>
      </c>
      <c r="C1493" s="10">
        <f ca="1">NPV(B1493,Project_FCF!C18:J18)+Project_FCF!B18</f>
        <v>1026.3226774239106</v>
      </c>
      <c r="D1493" s="4"/>
      <c r="E1493" s="4"/>
    </row>
    <row r="1494" spans="1:5" x14ac:dyDescent="0.3">
      <c r="A1494" s="9">
        <v>1486</v>
      </c>
      <c r="B1494" s="10">
        <f t="shared" ca="1" si="23"/>
        <v>8.8206937475119762E-2</v>
      </c>
      <c r="C1494" s="10">
        <f ca="1">NPV(B1494,Project_FCF!C18:J18)+Project_FCF!B18</f>
        <v>871.47596084098086</v>
      </c>
      <c r="D1494" s="4"/>
      <c r="E1494" s="4"/>
    </row>
    <row r="1495" spans="1:5" x14ac:dyDescent="0.3">
      <c r="A1495" s="9">
        <v>1487</v>
      </c>
      <c r="B1495" s="10">
        <f t="shared" ca="1" si="23"/>
        <v>8.3250733202100469E-2</v>
      </c>
      <c r="C1495" s="10">
        <f ca="1">NPV(B1495,Project_FCF!C18:J18)+Project_FCF!B18</f>
        <v>911.33865066245244</v>
      </c>
      <c r="D1495" s="4"/>
      <c r="E1495" s="4"/>
    </row>
    <row r="1496" spans="1:5" x14ac:dyDescent="0.3">
      <c r="A1496" s="9">
        <v>1488</v>
      </c>
      <c r="B1496" s="10">
        <f t="shared" ca="1" si="23"/>
        <v>9.5304213427887058E-2</v>
      </c>
      <c r="C1496" s="10">
        <f ca="1">NPV(B1496,Project_FCF!C18:J18)+Project_FCF!B18</f>
        <v>817.03194590930684</v>
      </c>
      <c r="D1496" s="4"/>
      <c r="E1496" s="4"/>
    </row>
    <row r="1497" spans="1:5" x14ac:dyDescent="0.3">
      <c r="A1497" s="9">
        <v>1489</v>
      </c>
      <c r="B1497" s="10">
        <f t="shared" ca="1" si="23"/>
        <v>8.2170211878507593E-2</v>
      </c>
      <c r="C1497" s="10">
        <f ca="1">NPV(B1497,Project_FCF!C18:J18)+Project_FCF!B18</f>
        <v>920.23853089047589</v>
      </c>
      <c r="D1497" s="4"/>
      <c r="E1497" s="4"/>
    </row>
    <row r="1498" spans="1:5" x14ac:dyDescent="0.3">
      <c r="A1498" s="9">
        <v>1490</v>
      </c>
      <c r="B1498" s="10">
        <f t="shared" ca="1" si="23"/>
        <v>8.9687032080738041E-2</v>
      </c>
      <c r="C1498" s="10">
        <f ca="1">NPV(B1498,Project_FCF!C18:J18)+Project_FCF!B18</f>
        <v>859.87039969614057</v>
      </c>
      <c r="D1498" s="4"/>
      <c r="E1498" s="4"/>
    </row>
    <row r="1499" spans="1:5" x14ac:dyDescent="0.3">
      <c r="A1499" s="9">
        <v>1491</v>
      </c>
      <c r="B1499" s="10">
        <f t="shared" ca="1" si="23"/>
        <v>7.0165528965335872E-2</v>
      </c>
      <c r="C1499" s="10">
        <f ca="1">NPV(B1499,Project_FCF!C18:J18)+Project_FCF!B18</f>
        <v>1024.4389289652033</v>
      </c>
      <c r="D1499" s="4"/>
      <c r="E1499" s="4"/>
    </row>
    <row r="1500" spans="1:5" x14ac:dyDescent="0.3">
      <c r="A1500" s="9">
        <v>1492</v>
      </c>
      <c r="B1500" s="10">
        <f t="shared" ca="1" si="23"/>
        <v>8.0357437080638736E-2</v>
      </c>
      <c r="C1500" s="10">
        <f ca="1">NPV(B1500,Project_FCF!C18:J18)+Project_FCF!B18</f>
        <v>935.341992138357</v>
      </c>
      <c r="D1500" s="4"/>
      <c r="E1500" s="4"/>
    </row>
    <row r="1501" spans="1:5" x14ac:dyDescent="0.3">
      <c r="A1501" s="9">
        <v>1493</v>
      </c>
      <c r="B1501" s="10">
        <f t="shared" ca="1" si="23"/>
        <v>7.3671931801231397E-2</v>
      </c>
      <c r="C1501" s="10">
        <f ca="1">NPV(B1501,Project_FCF!C18:J18)+Project_FCF!B18</f>
        <v>992.96435139991945</v>
      </c>
      <c r="D1501" s="4"/>
      <c r="E1501" s="4"/>
    </row>
    <row r="1502" spans="1:5" x14ac:dyDescent="0.3">
      <c r="A1502" s="9">
        <v>1494</v>
      </c>
      <c r="B1502" s="10">
        <f t="shared" ca="1" si="23"/>
        <v>7.2363660496654381E-2</v>
      </c>
      <c r="C1502" s="10">
        <f ca="1">NPV(B1502,Project_FCF!C18:J18)+Project_FCF!B18</f>
        <v>1004.6045332440042</v>
      </c>
      <c r="D1502" s="4"/>
      <c r="E1502" s="4"/>
    </row>
    <row r="1503" spans="1:5" x14ac:dyDescent="0.3">
      <c r="A1503" s="9">
        <v>1495</v>
      </c>
      <c r="B1503" s="10">
        <f t="shared" ca="1" si="23"/>
        <v>8.2847013758603136E-2</v>
      </c>
      <c r="C1503" s="10">
        <f ca="1">NPV(B1503,Project_FCF!C18:J18)+Project_FCF!B18</f>
        <v>914.65504078588424</v>
      </c>
      <c r="D1503" s="4"/>
      <c r="E1503" s="4"/>
    </row>
    <row r="1504" spans="1:5" x14ac:dyDescent="0.3">
      <c r="A1504" s="9">
        <v>1496</v>
      </c>
      <c r="B1504" s="10">
        <f t="shared" ca="1" si="23"/>
        <v>8.9172558414318107E-2</v>
      </c>
      <c r="C1504" s="10">
        <f ca="1">NPV(B1504,Project_FCF!C18:J18)+Project_FCF!B18</f>
        <v>863.88912733607322</v>
      </c>
      <c r="D1504" s="4"/>
      <c r="E1504" s="4"/>
    </row>
    <row r="1505" spans="1:5" x14ac:dyDescent="0.3">
      <c r="A1505" s="9">
        <v>1497</v>
      </c>
      <c r="B1505" s="10">
        <f t="shared" ca="1" si="23"/>
        <v>7.9301357931249275E-2</v>
      </c>
      <c r="C1505" s="10">
        <f ca="1">NPV(B1505,Project_FCF!C18:J18)+Project_FCF!B18</f>
        <v>944.24160336320756</v>
      </c>
      <c r="D1505" s="4"/>
      <c r="E1505" s="4"/>
    </row>
    <row r="1506" spans="1:5" x14ac:dyDescent="0.3">
      <c r="A1506" s="9">
        <v>1498</v>
      </c>
      <c r="B1506" s="10">
        <f t="shared" ca="1" si="23"/>
        <v>7.3923917341730427E-2</v>
      </c>
      <c r="C1506" s="10">
        <f ca="1">NPV(B1506,Project_FCF!C18:J18)+Project_FCF!B18</f>
        <v>990.73630024813269</v>
      </c>
      <c r="D1506" s="4"/>
      <c r="E1506" s="4"/>
    </row>
    <row r="1507" spans="1:5" x14ac:dyDescent="0.3">
      <c r="A1507" s="9">
        <v>1499</v>
      </c>
      <c r="B1507" s="10">
        <f t="shared" ca="1" si="23"/>
        <v>9.5012904610122378E-2</v>
      </c>
      <c r="C1507" s="10">
        <f ca="1">NPV(B1507,Project_FCF!C18:J18)+Project_FCF!B18</f>
        <v>819.20755510390586</v>
      </c>
      <c r="D1507" s="4"/>
      <c r="E1507" s="4"/>
    </row>
    <row r="1508" spans="1:5" x14ac:dyDescent="0.3">
      <c r="A1508" s="9">
        <v>1500</v>
      </c>
      <c r="B1508" s="10">
        <f t="shared" ca="1" si="23"/>
        <v>8.4106809236505431E-2</v>
      </c>
      <c r="C1508" s="10">
        <f ca="1">NPV(B1508,Project_FCF!C18:J18)+Project_FCF!B18</f>
        <v>904.34128959836539</v>
      </c>
      <c r="D1508" s="4"/>
      <c r="E1508" s="4"/>
    </row>
    <row r="1509" spans="1:5" x14ac:dyDescent="0.3">
      <c r="A1509" s="9">
        <v>1501</v>
      </c>
      <c r="B1509" s="10">
        <f t="shared" ca="1" si="23"/>
        <v>7.1191580013345385E-2</v>
      </c>
      <c r="C1509" s="10">
        <f ca="1">NPV(B1509,Project_FCF!C18:J18)+Project_FCF!B18</f>
        <v>1015.1370506642143</v>
      </c>
      <c r="D1509" s="4"/>
      <c r="E1509" s="4"/>
    </row>
    <row r="1510" spans="1:5" x14ac:dyDescent="0.3">
      <c r="A1510" s="9">
        <v>1502</v>
      </c>
      <c r="B1510" s="10">
        <f t="shared" ca="1" si="23"/>
        <v>7.2428006682156473E-2</v>
      </c>
      <c r="C1510" s="10">
        <f ca="1">NPV(B1510,Project_FCF!C18:J18)+Project_FCF!B18</f>
        <v>1004.0291662844925</v>
      </c>
      <c r="D1510" s="4"/>
      <c r="E1510" s="4"/>
    </row>
    <row r="1511" spans="1:5" x14ac:dyDescent="0.3">
      <c r="A1511" s="9">
        <v>1503</v>
      </c>
      <c r="B1511" s="10">
        <f t="shared" ca="1" si="23"/>
        <v>7.8219011004273781E-2</v>
      </c>
      <c r="C1511" s="10">
        <f ca="1">NPV(B1511,Project_FCF!C18:J18)+Project_FCF!B18</f>
        <v>953.44041942510785</v>
      </c>
      <c r="D1511" s="4"/>
      <c r="E1511" s="4"/>
    </row>
    <row r="1512" spans="1:5" x14ac:dyDescent="0.3">
      <c r="A1512" s="9">
        <v>1504</v>
      </c>
      <c r="B1512" s="10">
        <f t="shared" ca="1" si="23"/>
        <v>7.026726648413445E-2</v>
      </c>
      <c r="C1512" s="10">
        <f ca="1">NPV(B1512,Project_FCF!C18:J18)+Project_FCF!B18</f>
        <v>1023.5131821639293</v>
      </c>
      <c r="D1512" s="4"/>
      <c r="E1512" s="4"/>
    </row>
    <row r="1513" spans="1:5" x14ac:dyDescent="0.3">
      <c r="A1513" s="9">
        <v>1505</v>
      </c>
      <c r="B1513" s="10">
        <f t="shared" ca="1" si="23"/>
        <v>0.10068943098456454</v>
      </c>
      <c r="C1513" s="10">
        <f ca="1">NPV(B1513,Project_FCF!C18:J18)+Project_FCF!B18</f>
        <v>777.69041209033071</v>
      </c>
      <c r="D1513" s="4"/>
      <c r="E1513" s="4"/>
    </row>
    <row r="1514" spans="1:5" x14ac:dyDescent="0.3">
      <c r="A1514" s="9">
        <v>1506</v>
      </c>
      <c r="B1514" s="10">
        <f t="shared" ca="1" si="23"/>
        <v>6.974533676142694E-2</v>
      </c>
      <c r="C1514" s="10">
        <f ca="1">NPV(B1514,Project_FCF!C18:J18)+Project_FCF!B18</f>
        <v>1028.2704322236684</v>
      </c>
      <c r="D1514" s="4"/>
      <c r="E1514" s="4"/>
    </row>
    <row r="1515" spans="1:5" x14ac:dyDescent="0.3">
      <c r="A1515" s="9">
        <v>1507</v>
      </c>
      <c r="B1515" s="10">
        <f t="shared" ca="1" si="23"/>
        <v>8.5331275877357032E-2</v>
      </c>
      <c r="C1515" s="10">
        <f ca="1">NPV(B1515,Project_FCF!C18:J18)+Project_FCF!B18</f>
        <v>894.41474535574457</v>
      </c>
      <c r="D1515" s="4"/>
      <c r="E1515" s="4"/>
    </row>
    <row r="1516" spans="1:5" x14ac:dyDescent="0.3">
      <c r="A1516" s="9">
        <v>1508</v>
      </c>
      <c r="B1516" s="10">
        <f t="shared" ca="1" si="23"/>
        <v>9.2801487350255896E-2</v>
      </c>
      <c r="C1516" s="10">
        <f ca="1">NPV(B1516,Project_FCF!C18:J18)+Project_FCF!B18</f>
        <v>835.88589120447568</v>
      </c>
      <c r="D1516" s="4"/>
      <c r="E1516" s="4"/>
    </row>
    <row r="1517" spans="1:5" x14ac:dyDescent="0.3">
      <c r="A1517" s="9">
        <v>1509</v>
      </c>
      <c r="B1517" s="10">
        <f t="shared" ca="1" si="23"/>
        <v>8.5083042382350815E-2</v>
      </c>
      <c r="C1517" s="10">
        <f ca="1">NPV(B1517,Project_FCF!C18:J18)+Project_FCF!B18</f>
        <v>896.41937933197278</v>
      </c>
      <c r="D1517" s="4"/>
      <c r="E1517" s="4"/>
    </row>
    <row r="1518" spans="1:5" x14ac:dyDescent="0.3">
      <c r="A1518" s="9">
        <v>1510</v>
      </c>
      <c r="B1518" s="10">
        <f t="shared" ca="1" si="23"/>
        <v>7.0659670756355639E-2</v>
      </c>
      <c r="C1518" s="10">
        <f ca="1">NPV(B1518,Project_FCF!C18:J18)+Project_FCF!B18</f>
        <v>1019.9496246815536</v>
      </c>
      <c r="D1518" s="4"/>
      <c r="E1518" s="4"/>
    </row>
    <row r="1519" spans="1:5" x14ac:dyDescent="0.3">
      <c r="A1519" s="9">
        <v>1511</v>
      </c>
      <c r="B1519" s="10">
        <f t="shared" ca="1" si="23"/>
        <v>8.0447326312525283E-2</v>
      </c>
      <c r="C1519" s="10">
        <f ca="1">NPV(B1519,Project_FCF!C18:J18)+Project_FCF!B18</f>
        <v>934.58793424895407</v>
      </c>
      <c r="D1519" s="4"/>
      <c r="E1519" s="4"/>
    </row>
    <row r="1520" spans="1:5" x14ac:dyDescent="0.3">
      <c r="A1520" s="9">
        <v>1512</v>
      </c>
      <c r="B1520" s="10">
        <f t="shared" ca="1" si="23"/>
        <v>9.6290151493374401E-2</v>
      </c>
      <c r="C1520" s="10">
        <f ca="1">NPV(B1520,Project_FCF!C18:J18)+Project_FCF!B18</f>
        <v>809.70518664106544</v>
      </c>
      <c r="D1520" s="4"/>
      <c r="E1520" s="4"/>
    </row>
    <row r="1521" spans="1:5" x14ac:dyDescent="0.3">
      <c r="A1521" s="9">
        <v>1513</v>
      </c>
      <c r="B1521" s="10">
        <f t="shared" ca="1" si="23"/>
        <v>9.9404940125509628E-2</v>
      </c>
      <c r="C1521" s="10">
        <f ca="1">NPV(B1521,Project_FCF!C18:J18)+Project_FCF!B18</f>
        <v>786.92498981812946</v>
      </c>
      <c r="D1521" s="4"/>
      <c r="E1521" s="4"/>
    </row>
    <row r="1522" spans="1:5" x14ac:dyDescent="0.3">
      <c r="A1522" s="9">
        <v>1514</v>
      </c>
      <c r="B1522" s="10">
        <f t="shared" ca="1" si="23"/>
        <v>8.8851351110384086E-2</v>
      </c>
      <c r="C1522" s="10">
        <f ca="1">NPV(B1522,Project_FCF!C18:J18)+Project_FCF!B18</f>
        <v>866.40644196373637</v>
      </c>
      <c r="D1522" s="4"/>
      <c r="E1522" s="4"/>
    </row>
    <row r="1523" spans="1:5" x14ac:dyDescent="0.3">
      <c r="A1523" s="9">
        <v>1515</v>
      </c>
      <c r="B1523" s="10">
        <f t="shared" ca="1" si="23"/>
        <v>7.2142148802185613E-2</v>
      </c>
      <c r="C1523" s="10">
        <f ca="1">NPV(B1523,Project_FCF!C18:J18)+Project_FCF!B18</f>
        <v>1006.587502436631</v>
      </c>
      <c r="D1523" s="4"/>
      <c r="E1523" s="4"/>
    </row>
    <row r="1524" spans="1:5" x14ac:dyDescent="0.3">
      <c r="A1524" s="9">
        <v>1516</v>
      </c>
      <c r="B1524" s="10">
        <f t="shared" ca="1" si="23"/>
        <v>6.4255805511043679E-2</v>
      </c>
      <c r="C1524" s="10">
        <f ca="1">NPV(B1524,Project_FCF!C18:J18)+Project_FCF!B18</f>
        <v>1079.5350006042725</v>
      </c>
      <c r="D1524" s="4"/>
      <c r="E1524" s="4"/>
    </row>
    <row r="1525" spans="1:5" x14ac:dyDescent="0.3">
      <c r="A1525" s="9">
        <v>1517</v>
      </c>
      <c r="B1525" s="10">
        <f t="shared" ca="1" si="23"/>
        <v>8.056027550376077E-2</v>
      </c>
      <c r="C1525" s="10">
        <f ca="1">NPV(B1525,Project_FCF!C18:J18)+Project_FCF!B18</f>
        <v>933.64119473489859</v>
      </c>
      <c r="D1525" s="4"/>
      <c r="E1525" s="4"/>
    </row>
    <row r="1526" spans="1:5" x14ac:dyDescent="0.3">
      <c r="A1526" s="9">
        <v>1518</v>
      </c>
      <c r="B1526" s="10">
        <f t="shared" ca="1" si="23"/>
        <v>6.6611587804171521E-2</v>
      </c>
      <c r="C1526" s="10">
        <f ca="1">NPV(B1526,Project_FCF!C18:J18)+Project_FCF!B18</f>
        <v>1057.257276204771</v>
      </c>
      <c r="D1526" s="4"/>
      <c r="E1526" s="4"/>
    </row>
    <row r="1527" spans="1:5" x14ac:dyDescent="0.3">
      <c r="A1527" s="9">
        <v>1519</v>
      </c>
      <c r="B1527" s="10">
        <f t="shared" ca="1" si="23"/>
        <v>8.5064726983996725E-2</v>
      </c>
      <c r="C1527" s="10">
        <f ca="1">NPV(B1527,Project_FCF!C18:J18)+Project_FCF!B18</f>
        <v>896.5674428721552</v>
      </c>
      <c r="D1527" s="4"/>
      <c r="E1527" s="4"/>
    </row>
    <row r="1528" spans="1:5" x14ac:dyDescent="0.3">
      <c r="A1528" s="9">
        <v>1520</v>
      </c>
      <c r="B1528" s="10">
        <f t="shared" ca="1" si="23"/>
        <v>9.7019391873657879E-2</v>
      </c>
      <c r="C1528" s="10">
        <f ca="1">NPV(B1528,Project_FCF!C18:J18)+Project_FCF!B18</f>
        <v>804.32216621191037</v>
      </c>
      <c r="D1528" s="4"/>
      <c r="E1528" s="4"/>
    </row>
    <row r="1529" spans="1:5" x14ac:dyDescent="0.3">
      <c r="A1529" s="9">
        <v>1521</v>
      </c>
      <c r="B1529" s="10">
        <f t="shared" ca="1" si="23"/>
        <v>7.9151468474363967E-2</v>
      </c>
      <c r="C1529" s="10">
        <f ca="1">NPV(B1529,Project_FCF!C18:J18)+Project_FCF!B18</f>
        <v>945.5107889750584</v>
      </c>
      <c r="D1529" s="4"/>
      <c r="E1529" s="4"/>
    </row>
    <row r="1530" spans="1:5" x14ac:dyDescent="0.3">
      <c r="A1530" s="9">
        <v>1522</v>
      </c>
      <c r="B1530" s="10">
        <f t="shared" ca="1" si="23"/>
        <v>9.2369601049295785E-2</v>
      </c>
      <c r="C1530" s="10">
        <f ca="1">NPV(B1530,Project_FCF!C18:J18)+Project_FCF!B18</f>
        <v>839.17697653387086</v>
      </c>
      <c r="D1530" s="4"/>
      <c r="E1530" s="4"/>
    </row>
    <row r="1531" spans="1:5" x14ac:dyDescent="0.3">
      <c r="A1531" s="9">
        <v>1523</v>
      </c>
      <c r="B1531" s="10">
        <f t="shared" ca="1" si="23"/>
        <v>7.0045633879620081E-2</v>
      </c>
      <c r="C1531" s="10">
        <f ca="1">NPV(B1531,Project_FCF!C18:J18)+Project_FCF!B18</f>
        <v>1025.5308690759659</v>
      </c>
      <c r="D1531" s="4"/>
      <c r="E1531" s="4"/>
    </row>
    <row r="1532" spans="1:5" x14ac:dyDescent="0.3">
      <c r="A1532" s="9">
        <v>1524</v>
      </c>
      <c r="B1532" s="10">
        <f t="shared" ca="1" si="23"/>
        <v>7.6551683541581678E-2</v>
      </c>
      <c r="C1532" s="10">
        <f ca="1">NPV(B1532,Project_FCF!C18:J18)+Project_FCF!B18</f>
        <v>967.76693426735756</v>
      </c>
      <c r="D1532" s="4"/>
      <c r="E1532" s="4"/>
    </row>
    <row r="1533" spans="1:5" x14ac:dyDescent="0.3">
      <c r="A1533" s="9">
        <v>1525</v>
      </c>
      <c r="B1533" s="10">
        <f t="shared" ca="1" si="23"/>
        <v>7.9538088194538198E-2</v>
      </c>
      <c r="C1533" s="10">
        <f ca="1">NPV(B1533,Project_FCF!C18:J18)+Project_FCF!B18</f>
        <v>942.24017239429713</v>
      </c>
      <c r="D1533" s="4"/>
      <c r="E1533" s="4"/>
    </row>
    <row r="1534" spans="1:5" x14ac:dyDescent="0.3">
      <c r="A1534" s="9">
        <v>1526</v>
      </c>
      <c r="B1534" s="10">
        <f t="shared" ca="1" si="23"/>
        <v>6.7537797441688086E-2</v>
      </c>
      <c r="C1534" s="10">
        <f ca="1">NPV(B1534,Project_FCF!C18:J18)+Project_FCF!B18</f>
        <v>1048.6137094350104</v>
      </c>
      <c r="D1534" s="4"/>
      <c r="E1534" s="4"/>
    </row>
    <row r="1535" spans="1:5" x14ac:dyDescent="0.3">
      <c r="A1535" s="9">
        <v>1527</v>
      </c>
      <c r="B1535" s="10">
        <f t="shared" ca="1" si="23"/>
        <v>7.0660791290967029E-2</v>
      </c>
      <c r="C1535" s="10">
        <f ca="1">NPV(B1535,Project_FCF!C18:J18)+Project_FCF!B18</f>
        <v>1019.939464781972</v>
      </c>
      <c r="D1535" s="4"/>
      <c r="E1535" s="4"/>
    </row>
    <row r="1536" spans="1:5" x14ac:dyDescent="0.3">
      <c r="A1536" s="9">
        <v>1528</v>
      </c>
      <c r="B1536" s="10">
        <f t="shared" ca="1" si="23"/>
        <v>0.10114438542931795</v>
      </c>
      <c r="C1536" s="10">
        <f ca="1">NPV(B1536,Project_FCF!C18:J18)+Project_FCF!B18</f>
        <v>774.44164830771342</v>
      </c>
      <c r="D1536" s="4"/>
      <c r="E1536" s="4"/>
    </row>
    <row r="1537" spans="1:5" x14ac:dyDescent="0.3">
      <c r="A1537" s="9">
        <v>1529</v>
      </c>
      <c r="B1537" s="10">
        <f t="shared" ca="1" si="23"/>
        <v>6.5541931470204193E-2</v>
      </c>
      <c r="C1537" s="10">
        <f ca="1">NPV(B1537,Project_FCF!C18:J18)+Project_FCF!B18</f>
        <v>1067.3201315245071</v>
      </c>
      <c r="D1537" s="4"/>
      <c r="E1537" s="4"/>
    </row>
    <row r="1538" spans="1:5" x14ac:dyDescent="0.3">
      <c r="A1538" s="9">
        <v>1530</v>
      </c>
      <c r="B1538" s="10">
        <f t="shared" ca="1" si="23"/>
        <v>8.9717575146933307E-2</v>
      </c>
      <c r="C1538" s="10">
        <f ca="1">NPV(B1538,Project_FCF!C18:J18)+Project_FCF!B18</f>
        <v>859.63232815108495</v>
      </c>
      <c r="D1538" s="4"/>
      <c r="E1538" s="4"/>
    </row>
    <row r="1539" spans="1:5" x14ac:dyDescent="0.3">
      <c r="A1539" s="9">
        <v>1531</v>
      </c>
      <c r="B1539" s="10">
        <f t="shared" ca="1" si="23"/>
        <v>9.0892689946713484E-2</v>
      </c>
      <c r="C1539" s="10">
        <f ca="1">NPV(B1539,Project_FCF!C18:J18)+Project_FCF!B18</f>
        <v>850.51599741022937</v>
      </c>
      <c r="D1539" s="4"/>
      <c r="E1539" s="4"/>
    </row>
    <row r="1540" spans="1:5" x14ac:dyDescent="0.3">
      <c r="A1540" s="9">
        <v>1532</v>
      </c>
      <c r="B1540" s="10">
        <f t="shared" ca="1" si="23"/>
        <v>0.10051193435407729</v>
      </c>
      <c r="C1540" s="10">
        <f ca="1">NPV(B1540,Project_FCF!C18:J18)+Project_FCF!B18</f>
        <v>778.96100545651484</v>
      </c>
      <c r="D1540" s="4"/>
      <c r="E1540" s="4"/>
    </row>
    <row r="1541" spans="1:5" x14ac:dyDescent="0.3">
      <c r="A1541" s="9">
        <v>1533</v>
      </c>
      <c r="B1541" s="10">
        <f t="shared" ca="1" si="23"/>
        <v>7.5515403842497053E-2</v>
      </c>
      <c r="C1541" s="10">
        <f ca="1">NPV(B1541,Project_FCF!C18:J18)+Project_FCF!B18</f>
        <v>976.76758369380673</v>
      </c>
      <c r="D1541" s="4"/>
      <c r="E1541" s="4"/>
    </row>
    <row r="1542" spans="1:5" x14ac:dyDescent="0.3">
      <c r="A1542" s="9">
        <v>1534</v>
      </c>
      <c r="B1542" s="10">
        <f t="shared" ca="1" si="23"/>
        <v>9.0687150097893826E-2</v>
      </c>
      <c r="C1542" s="10">
        <f ca="1">NPV(B1542,Project_FCF!C18:J18)+Project_FCF!B18</f>
        <v>852.10447468104849</v>
      </c>
      <c r="D1542" s="4"/>
      <c r="E1542" s="4"/>
    </row>
    <row r="1543" spans="1:5" x14ac:dyDescent="0.3">
      <c r="A1543" s="9">
        <v>1535</v>
      </c>
      <c r="B1543" s="10">
        <f t="shared" ca="1" si="23"/>
        <v>7.1726619373923869E-2</v>
      </c>
      <c r="C1543" s="10">
        <f ca="1">NPV(B1543,Project_FCF!C18:J18)+Project_FCF!B18</f>
        <v>1010.3168204294348</v>
      </c>
      <c r="D1543" s="4"/>
      <c r="E1543" s="4"/>
    </row>
    <row r="1544" spans="1:5" x14ac:dyDescent="0.3">
      <c r="A1544" s="9">
        <v>1536</v>
      </c>
      <c r="B1544" s="10">
        <f t="shared" ca="1" si="23"/>
        <v>8.8727201338738543E-2</v>
      </c>
      <c r="C1544" s="10">
        <f ca="1">NPV(B1544,Project_FCF!C18:J18)+Project_FCF!B18</f>
        <v>867.38111417003461</v>
      </c>
      <c r="D1544" s="4"/>
      <c r="E1544" s="4"/>
    </row>
    <row r="1545" spans="1:5" x14ac:dyDescent="0.3">
      <c r="A1545" s="9">
        <v>1537</v>
      </c>
      <c r="B1545" s="10">
        <f t="shared" ref="B1545:B1608" ca="1" si="24">$B$4+RAND()*($B$5-$B$4)</f>
        <v>9.1255632531257486E-2</v>
      </c>
      <c r="C1545" s="10">
        <f ca="1">NPV(B1545,Project_FCF!C18:J18)+Project_FCF!B18</f>
        <v>847.7173114650077</v>
      </c>
      <c r="D1545" s="4"/>
      <c r="E1545" s="4"/>
    </row>
    <row r="1546" spans="1:5" x14ac:dyDescent="0.3">
      <c r="A1546" s="9">
        <v>1538</v>
      </c>
      <c r="B1546" s="10">
        <f t="shared" ca="1" si="24"/>
        <v>6.7827884462552085E-2</v>
      </c>
      <c r="C1546" s="10">
        <f ca="1">NPV(B1546,Project_FCF!C18:J18)+Project_FCF!B18</f>
        <v>1045.9197922527603</v>
      </c>
      <c r="D1546" s="4"/>
      <c r="E1546" s="4"/>
    </row>
    <row r="1547" spans="1:5" x14ac:dyDescent="0.3">
      <c r="A1547" s="9">
        <v>1539</v>
      </c>
      <c r="B1547" s="10">
        <f t="shared" ca="1" si="24"/>
        <v>7.7879906689938855E-2</v>
      </c>
      <c r="C1547" s="10">
        <f ca="1">NPV(B1547,Project_FCF!C18:J18)+Project_FCF!B18</f>
        <v>956.33878464633631</v>
      </c>
      <c r="D1547" s="4"/>
      <c r="E1547" s="4"/>
    </row>
    <row r="1548" spans="1:5" x14ac:dyDescent="0.3">
      <c r="A1548" s="9">
        <v>1540</v>
      </c>
      <c r="B1548" s="10">
        <f t="shared" ca="1" si="24"/>
        <v>7.8989869699530701E-2</v>
      </c>
      <c r="C1548" s="10">
        <f ca="1">NPV(B1548,Project_FCF!C18:J18)+Project_FCF!B18</f>
        <v>946.88081816197314</v>
      </c>
      <c r="D1548" s="4"/>
      <c r="E1548" s="4"/>
    </row>
    <row r="1549" spans="1:5" x14ac:dyDescent="0.3">
      <c r="A1549" s="9">
        <v>1541</v>
      </c>
      <c r="B1549" s="10">
        <f t="shared" ca="1" si="24"/>
        <v>9.9060248467306988E-2</v>
      </c>
      <c r="C1549" s="10">
        <f ca="1">NPV(B1549,Project_FCF!C18:J18)+Project_FCF!B18</f>
        <v>789.41881158258229</v>
      </c>
      <c r="D1549" s="4"/>
      <c r="E1549" s="4"/>
    </row>
    <row r="1550" spans="1:5" x14ac:dyDescent="0.3">
      <c r="A1550" s="9">
        <v>1542</v>
      </c>
      <c r="B1550" s="10">
        <f t="shared" ca="1" si="24"/>
        <v>9.643684120492893E-2</v>
      </c>
      <c r="C1550" s="10">
        <f ca="1">NPV(B1550,Project_FCF!C18:J18)+Project_FCF!B18</f>
        <v>808.61990819212929</v>
      </c>
      <c r="D1550" s="4"/>
      <c r="E1550" s="4"/>
    </row>
    <row r="1551" spans="1:5" x14ac:dyDescent="0.3">
      <c r="A1551" s="9">
        <v>1543</v>
      </c>
      <c r="B1551" s="10">
        <f t="shared" ca="1" si="24"/>
        <v>7.3733587365803405E-2</v>
      </c>
      <c r="C1551" s="10">
        <f ca="1">NPV(B1551,Project_FCF!C18:J18)+Project_FCF!B18</f>
        <v>992.41877920818047</v>
      </c>
      <c r="D1551" s="4"/>
      <c r="E1551" s="4"/>
    </row>
    <row r="1552" spans="1:5" x14ac:dyDescent="0.3">
      <c r="A1552" s="9">
        <v>1544</v>
      </c>
      <c r="B1552" s="10">
        <f t="shared" ca="1" si="24"/>
        <v>9.5922612802479518E-2</v>
      </c>
      <c r="C1552" s="10">
        <f ca="1">NPV(B1552,Project_FCF!C18:J18)+Project_FCF!B18</f>
        <v>812.42987035646365</v>
      </c>
      <c r="D1552" s="4"/>
      <c r="E1552" s="4"/>
    </row>
    <row r="1553" spans="1:5" x14ac:dyDescent="0.3">
      <c r="A1553" s="9">
        <v>1545</v>
      </c>
      <c r="B1553" s="10">
        <f t="shared" ca="1" si="24"/>
        <v>9.5019226375398724E-2</v>
      </c>
      <c r="C1553" s="10">
        <f ca="1">NPV(B1553,Project_FCF!C18:J18)+Project_FCF!B18</f>
        <v>819.1602890845711</v>
      </c>
      <c r="D1553" s="4"/>
      <c r="E1553" s="4"/>
    </row>
    <row r="1554" spans="1:5" x14ac:dyDescent="0.3">
      <c r="A1554" s="9">
        <v>1546</v>
      </c>
      <c r="B1554" s="10">
        <f t="shared" ca="1" si="24"/>
        <v>7.5250764637770653E-2</v>
      </c>
      <c r="C1554" s="10">
        <f ca="1">NPV(B1554,Project_FCF!C18:J18)+Project_FCF!B18</f>
        <v>979.07807226503382</v>
      </c>
      <c r="D1554" s="4"/>
      <c r="E1554" s="4"/>
    </row>
    <row r="1555" spans="1:5" x14ac:dyDescent="0.3">
      <c r="A1555" s="9">
        <v>1547</v>
      </c>
      <c r="B1555" s="10">
        <f t="shared" ca="1" si="24"/>
        <v>6.6714644615014307E-2</v>
      </c>
      <c r="C1555" s="10">
        <f ca="1">NPV(B1555,Project_FCF!C18:J18)+Project_FCF!B18</f>
        <v>1056.2923382974918</v>
      </c>
      <c r="D1555" s="4"/>
      <c r="E1555" s="4"/>
    </row>
    <row r="1556" spans="1:5" x14ac:dyDescent="0.3">
      <c r="A1556" s="9">
        <v>1548</v>
      </c>
      <c r="B1556" s="10">
        <f t="shared" ca="1" si="24"/>
        <v>0.10283994266616031</v>
      </c>
      <c r="C1556" s="10">
        <f ca="1">NPV(B1556,Project_FCF!C18:J18)+Project_FCF!B18</f>
        <v>762.43442950643953</v>
      </c>
      <c r="D1556" s="4"/>
      <c r="E1556" s="4"/>
    </row>
    <row r="1557" spans="1:5" x14ac:dyDescent="0.3">
      <c r="A1557" s="9">
        <v>1549</v>
      </c>
      <c r="B1557" s="10">
        <f t="shared" ca="1" si="24"/>
        <v>9.1401189249164128E-2</v>
      </c>
      <c r="C1557" s="10">
        <f ca="1">NPV(B1557,Project_FCF!C18:J18)+Project_FCF!B18</f>
        <v>846.59714649521356</v>
      </c>
      <c r="D1557" s="4"/>
      <c r="E1557" s="4"/>
    </row>
    <row r="1558" spans="1:5" x14ac:dyDescent="0.3">
      <c r="A1558" s="9">
        <v>1550</v>
      </c>
      <c r="B1558" s="10">
        <f t="shared" ca="1" si="24"/>
        <v>8.5338184724199601E-2</v>
      </c>
      <c r="C1558" s="10">
        <f ca="1">NPV(B1558,Project_FCF!C18:J18)+Project_FCF!B18</f>
        <v>894.35900847228527</v>
      </c>
      <c r="D1558" s="4"/>
      <c r="E1558" s="4"/>
    </row>
    <row r="1559" spans="1:5" x14ac:dyDescent="0.3">
      <c r="A1559" s="9">
        <v>1551</v>
      </c>
      <c r="B1559" s="10">
        <f t="shared" ca="1" si="24"/>
        <v>7.3298482532631215E-2</v>
      </c>
      <c r="C1559" s="10">
        <f ca="1">NPV(B1559,Project_FCF!C18:J18)+Project_FCF!B18</f>
        <v>996.27465162498288</v>
      </c>
      <c r="D1559" s="4"/>
      <c r="E1559" s="4"/>
    </row>
    <row r="1560" spans="1:5" x14ac:dyDescent="0.3">
      <c r="A1560" s="9">
        <v>1552</v>
      </c>
      <c r="B1560" s="10">
        <f t="shared" ca="1" si="24"/>
        <v>0.10386625504728139</v>
      </c>
      <c r="C1560" s="10">
        <f ca="1">NPV(B1560,Project_FCF!C18:J18)+Project_FCF!B18</f>
        <v>755.24280473034241</v>
      </c>
      <c r="D1560" s="4"/>
      <c r="E1560" s="4"/>
    </row>
    <row r="1561" spans="1:5" x14ac:dyDescent="0.3">
      <c r="A1561" s="9">
        <v>1553</v>
      </c>
      <c r="B1561" s="10">
        <f t="shared" ca="1" si="24"/>
        <v>8.1355967646591962E-2</v>
      </c>
      <c r="C1561" s="10">
        <f ca="1">NPV(B1561,Project_FCF!C18:J18)+Project_FCF!B18</f>
        <v>926.99569819903718</v>
      </c>
      <c r="D1561" s="4"/>
      <c r="E1561" s="4"/>
    </row>
    <row r="1562" spans="1:5" x14ac:dyDescent="0.3">
      <c r="A1562" s="9">
        <v>1554</v>
      </c>
      <c r="B1562" s="10">
        <f t="shared" ca="1" si="24"/>
        <v>6.5017899856064459E-2</v>
      </c>
      <c r="C1562" s="10">
        <f ca="1">NPV(B1562,Project_FCF!C18:J18)+Project_FCF!B18</f>
        <v>1072.2817695022072</v>
      </c>
      <c r="D1562" s="4"/>
      <c r="E1562" s="4"/>
    </row>
    <row r="1563" spans="1:5" x14ac:dyDescent="0.3">
      <c r="A1563" s="9">
        <v>1555</v>
      </c>
      <c r="B1563" s="10">
        <f t="shared" ca="1" si="24"/>
        <v>9.8037128473482005E-2</v>
      </c>
      <c r="C1563" s="10">
        <f ca="1">NPV(B1563,Project_FCF!C18:J18)+Project_FCF!B18</f>
        <v>796.86053442802472</v>
      </c>
      <c r="D1563" s="4"/>
      <c r="E1563" s="4"/>
    </row>
    <row r="1564" spans="1:5" x14ac:dyDescent="0.3">
      <c r="A1564" s="9">
        <v>1556</v>
      </c>
      <c r="B1564" s="10">
        <f t="shared" ca="1" si="24"/>
        <v>8.9471724047054141E-2</v>
      </c>
      <c r="C1564" s="10">
        <f ca="1">NPV(B1564,Project_FCF!C18:J18)+Project_FCF!B18</f>
        <v>861.55026605381636</v>
      </c>
      <c r="D1564" s="4"/>
      <c r="E1564" s="4"/>
    </row>
    <row r="1565" spans="1:5" x14ac:dyDescent="0.3">
      <c r="A1565" s="9">
        <v>1557</v>
      </c>
      <c r="B1565" s="10">
        <f t="shared" ca="1" si="24"/>
        <v>8.1603444815582474E-2</v>
      </c>
      <c r="C1565" s="10">
        <f ca="1">NPV(B1565,Project_FCF!C18:J18)+Project_FCF!B18</f>
        <v>924.9373441494331</v>
      </c>
      <c r="D1565" s="4"/>
      <c r="E1565" s="4"/>
    </row>
    <row r="1566" spans="1:5" x14ac:dyDescent="0.3">
      <c r="A1566" s="9">
        <v>1558</v>
      </c>
      <c r="B1566" s="10">
        <f t="shared" ca="1" si="24"/>
        <v>8.6340972044190709E-2</v>
      </c>
      <c r="C1566" s="10">
        <f ca="1">NPV(B1566,Project_FCF!C18:J18)+Project_FCF!B18</f>
        <v>886.30120928837391</v>
      </c>
      <c r="D1566" s="4"/>
      <c r="E1566" s="4"/>
    </row>
    <row r="1567" spans="1:5" x14ac:dyDescent="0.3">
      <c r="A1567" s="9">
        <v>1559</v>
      </c>
      <c r="B1567" s="10">
        <f t="shared" ca="1" si="24"/>
        <v>9.3435076113452642E-2</v>
      </c>
      <c r="C1567" s="10">
        <f ca="1">NPV(B1567,Project_FCF!C18:J18)+Project_FCF!B18</f>
        <v>831.07788112507296</v>
      </c>
      <c r="D1567" s="4"/>
      <c r="E1567" s="4"/>
    </row>
    <row r="1568" spans="1:5" x14ac:dyDescent="0.3">
      <c r="A1568" s="9">
        <v>1560</v>
      </c>
      <c r="B1568" s="10">
        <f t="shared" ca="1" si="24"/>
        <v>0.10033532783264695</v>
      </c>
      <c r="C1568" s="10">
        <f ca="1">NPV(B1568,Project_FCF!C18:J18)+Project_FCF!B18</f>
        <v>780.22696687257098</v>
      </c>
      <c r="D1568" s="4"/>
      <c r="E1568" s="4"/>
    </row>
    <row r="1569" spans="1:5" x14ac:dyDescent="0.3">
      <c r="A1569" s="9">
        <v>1561</v>
      </c>
      <c r="B1569" s="10">
        <f t="shared" ca="1" si="24"/>
        <v>9.9328383906025788E-2</v>
      </c>
      <c r="C1569" s="10">
        <f ca="1">NPV(B1569,Project_FCF!C18:J18)+Project_FCF!B18</f>
        <v>787.47829166617657</v>
      </c>
      <c r="D1569" s="4"/>
      <c r="E1569" s="4"/>
    </row>
    <row r="1570" spans="1:5" x14ac:dyDescent="0.3">
      <c r="A1570" s="9">
        <v>1562</v>
      </c>
      <c r="B1570" s="10">
        <f t="shared" ca="1" si="24"/>
        <v>6.9328387422818633E-2</v>
      </c>
      <c r="C1570" s="10">
        <f ca="1">NPV(B1570,Project_FCF!C18:J18)+Project_FCF!B18</f>
        <v>1032.0851680971068</v>
      </c>
      <c r="D1570" s="4"/>
      <c r="E1570" s="4"/>
    </row>
    <row r="1571" spans="1:5" x14ac:dyDescent="0.3">
      <c r="A1571" s="9">
        <v>1563</v>
      </c>
      <c r="B1571" s="10">
        <f t="shared" ca="1" si="24"/>
        <v>6.593862732378486E-2</v>
      </c>
      <c r="C1571" s="10">
        <f ca="1">NPV(B1571,Project_FCF!C18:J18)+Project_FCF!B18</f>
        <v>1063.578061729484</v>
      </c>
      <c r="D1571" s="4"/>
      <c r="E1571" s="4"/>
    </row>
    <row r="1572" spans="1:5" x14ac:dyDescent="0.3">
      <c r="A1572" s="9">
        <v>1564</v>
      </c>
      <c r="B1572" s="10">
        <f t="shared" ca="1" si="24"/>
        <v>6.9418397865701864E-2</v>
      </c>
      <c r="C1572" s="10">
        <f ca="1">NPV(B1572,Project_FCF!C18:J18)+Project_FCF!B18</f>
        <v>1031.2605663946383</v>
      </c>
      <c r="D1572" s="4"/>
      <c r="E1572" s="4"/>
    </row>
    <row r="1573" spans="1:5" x14ac:dyDescent="0.3">
      <c r="A1573" s="9">
        <v>1565</v>
      </c>
      <c r="B1573" s="10">
        <f t="shared" ca="1" si="24"/>
        <v>0.10375199009775411</v>
      </c>
      <c r="C1573" s="10">
        <f ca="1">NPV(B1573,Project_FCF!C18:J18)+Project_FCF!B18</f>
        <v>756.04066335604557</v>
      </c>
      <c r="D1573" s="4"/>
      <c r="E1573" s="4"/>
    </row>
    <row r="1574" spans="1:5" x14ac:dyDescent="0.3">
      <c r="A1574" s="9">
        <v>1566</v>
      </c>
      <c r="B1574" s="10">
        <f t="shared" ca="1" si="24"/>
        <v>8.6130416927760661E-2</v>
      </c>
      <c r="C1574" s="10">
        <f ca="1">NPV(B1574,Project_FCF!C18:J18)+Project_FCF!B18</f>
        <v>887.98781982574519</v>
      </c>
      <c r="D1574" s="4"/>
      <c r="E1574" s="4"/>
    </row>
    <row r="1575" spans="1:5" x14ac:dyDescent="0.3">
      <c r="A1575" s="9">
        <v>1567</v>
      </c>
      <c r="B1575" s="10">
        <f t="shared" ca="1" si="24"/>
        <v>6.9288260887936562E-2</v>
      </c>
      <c r="C1575" s="10">
        <f ca="1">NPV(B1575,Project_FCF!C18:J18)+Project_FCF!B18</f>
        <v>1032.4529666683507</v>
      </c>
      <c r="D1575" s="4"/>
      <c r="E1575" s="4"/>
    </row>
    <row r="1576" spans="1:5" x14ac:dyDescent="0.3">
      <c r="A1576" s="9">
        <v>1568</v>
      </c>
      <c r="B1576" s="10">
        <f t="shared" ca="1" si="24"/>
        <v>6.7190870493902016E-2</v>
      </c>
      <c r="C1576" s="10">
        <f ca="1">NPV(B1576,Project_FCF!C18:J18)+Project_FCF!B18</f>
        <v>1051.8437478130616</v>
      </c>
      <c r="D1576" s="4"/>
      <c r="E1576" s="4"/>
    </row>
    <row r="1577" spans="1:5" x14ac:dyDescent="0.3">
      <c r="A1577" s="9">
        <v>1569</v>
      </c>
      <c r="B1577" s="10">
        <f t="shared" ca="1" si="24"/>
        <v>6.5194113538903267E-2</v>
      </c>
      <c r="C1577" s="10">
        <f ca="1">NPV(B1577,Project_FCF!C18:J18)+Project_FCF!B18</f>
        <v>1070.6110001132147</v>
      </c>
      <c r="D1577" s="4"/>
      <c r="E1577" s="4"/>
    </row>
    <row r="1578" spans="1:5" x14ac:dyDescent="0.3">
      <c r="A1578" s="9">
        <v>1570</v>
      </c>
      <c r="B1578" s="10">
        <f t="shared" ca="1" si="24"/>
        <v>7.3816702012651531E-2</v>
      </c>
      <c r="C1578" s="10">
        <f ca="1">NPV(B1578,Project_FCF!C18:J18)+Project_FCF!B18</f>
        <v>991.68374740090826</v>
      </c>
      <c r="D1578" s="4"/>
      <c r="E1578" s="4"/>
    </row>
    <row r="1579" spans="1:5" x14ac:dyDescent="0.3">
      <c r="A1579" s="9">
        <v>1571</v>
      </c>
      <c r="B1579" s="10">
        <f t="shared" ca="1" si="24"/>
        <v>9.4689433119223634E-2</v>
      </c>
      <c r="C1579" s="10">
        <f ca="1">NPV(B1579,Project_FCF!C18:J18)+Project_FCF!B18</f>
        <v>821.62917752414137</v>
      </c>
      <c r="D1579" s="4"/>
      <c r="E1579" s="4"/>
    </row>
    <row r="1580" spans="1:5" x14ac:dyDescent="0.3">
      <c r="A1580" s="9">
        <v>1572</v>
      </c>
      <c r="B1580" s="10">
        <f t="shared" ca="1" si="24"/>
        <v>8.5624183449752311E-2</v>
      </c>
      <c r="C1580" s="10">
        <f ca="1">NPV(B1580,Project_FCF!C18:J18)+Project_FCF!B18</f>
        <v>892.05438953947896</v>
      </c>
      <c r="D1580" s="4"/>
      <c r="E1580" s="4"/>
    </row>
    <row r="1581" spans="1:5" x14ac:dyDescent="0.3">
      <c r="A1581" s="9">
        <v>1573</v>
      </c>
      <c r="B1581" s="10">
        <f t="shared" ca="1" si="24"/>
        <v>9.533466888691175E-2</v>
      </c>
      <c r="C1581" s="10">
        <f ca="1">NPV(B1581,Project_FCF!C18:J18)+Project_FCF!B18</f>
        <v>816.80477826299375</v>
      </c>
      <c r="D1581" s="4"/>
      <c r="E1581" s="4"/>
    </row>
    <row r="1582" spans="1:5" x14ac:dyDescent="0.3">
      <c r="A1582" s="9">
        <v>1574</v>
      </c>
      <c r="B1582" s="10">
        <f t="shared" ca="1" si="24"/>
        <v>8.741656444460788E-2</v>
      </c>
      <c r="C1582" s="10">
        <f ca="1">NPV(B1582,Project_FCF!C18:J18)+Project_FCF!B18</f>
        <v>877.72894024977268</v>
      </c>
      <c r="D1582" s="4"/>
      <c r="E1582" s="4"/>
    </row>
    <row r="1583" spans="1:5" x14ac:dyDescent="0.3">
      <c r="A1583" s="9">
        <v>1575</v>
      </c>
      <c r="B1583" s="10">
        <f t="shared" ca="1" si="24"/>
        <v>9.0425218616468211E-2</v>
      </c>
      <c r="C1583" s="10">
        <f ca="1">NPV(B1583,Project_FCF!C18:J18)+Project_FCF!B18</f>
        <v>854.13248249977278</v>
      </c>
      <c r="D1583" s="4"/>
      <c r="E1583" s="4"/>
    </row>
    <row r="1584" spans="1:5" x14ac:dyDescent="0.3">
      <c r="A1584" s="9">
        <v>1576</v>
      </c>
      <c r="B1584" s="10">
        <f t="shared" ca="1" si="24"/>
        <v>8.345648931622579E-2</v>
      </c>
      <c r="C1584" s="10">
        <f ca="1">NPV(B1584,Project_FCF!C18:J18)+Project_FCF!B18</f>
        <v>909.65252056843724</v>
      </c>
      <c r="D1584" s="4"/>
      <c r="E1584" s="4"/>
    </row>
    <row r="1585" spans="1:5" x14ac:dyDescent="0.3">
      <c r="A1585" s="9">
        <v>1577</v>
      </c>
      <c r="B1585" s="10">
        <f t="shared" ca="1" si="24"/>
        <v>7.0337716680831427E-2</v>
      </c>
      <c r="C1585" s="10">
        <f ca="1">NPV(B1585,Project_FCF!C18:J18)+Project_FCF!B18</f>
        <v>1022.8725729905848</v>
      </c>
      <c r="D1585" s="4"/>
      <c r="E1585" s="4"/>
    </row>
    <row r="1586" spans="1:5" x14ac:dyDescent="0.3">
      <c r="A1586" s="9">
        <v>1578</v>
      </c>
      <c r="B1586" s="10">
        <f t="shared" ca="1" si="24"/>
        <v>9.5033706684743216E-2</v>
      </c>
      <c r="C1586" s="10">
        <f ca="1">NPV(B1586,Project_FCF!C18:J18)+Project_FCF!B18</f>
        <v>819.0520327779891</v>
      </c>
      <c r="D1586" s="4"/>
      <c r="E1586" s="4"/>
    </row>
    <row r="1587" spans="1:5" x14ac:dyDescent="0.3">
      <c r="A1587" s="9">
        <v>1579</v>
      </c>
      <c r="B1587" s="10">
        <f t="shared" ca="1" si="24"/>
        <v>8.5125953422746342E-2</v>
      </c>
      <c r="C1587" s="10">
        <f ca="1">NPV(B1587,Project_FCF!C18:J18)+Project_FCF!B18</f>
        <v>896.07256598987624</v>
      </c>
      <c r="D1587" s="4"/>
      <c r="E1587" s="4"/>
    </row>
    <row r="1588" spans="1:5" x14ac:dyDescent="0.3">
      <c r="A1588" s="9">
        <v>1580</v>
      </c>
      <c r="B1588" s="10">
        <f t="shared" ca="1" si="24"/>
        <v>0.10005959828547144</v>
      </c>
      <c r="C1588" s="10">
        <f ca="1">NPV(B1588,Project_FCF!C18:J18)+Project_FCF!B18</f>
        <v>782.20694418623407</v>
      </c>
      <c r="D1588" s="4"/>
      <c r="E1588" s="4"/>
    </row>
    <row r="1589" spans="1:5" x14ac:dyDescent="0.3">
      <c r="A1589" s="9">
        <v>1581</v>
      </c>
      <c r="B1589" s="10">
        <f t="shared" ca="1" si="24"/>
        <v>8.7178991836709074E-2</v>
      </c>
      <c r="C1589" s="10">
        <f ca="1">NPV(B1589,Project_FCF!C18:J18)+Project_FCF!B18</f>
        <v>879.61610079593038</v>
      </c>
      <c r="D1589" s="4"/>
      <c r="E1589" s="4"/>
    </row>
    <row r="1590" spans="1:5" x14ac:dyDescent="0.3">
      <c r="A1590" s="9">
        <v>1582</v>
      </c>
      <c r="B1590" s="10">
        <f t="shared" ca="1" si="24"/>
        <v>7.7679322137534132E-2</v>
      </c>
      <c r="C1590" s="10">
        <f ca="1">NPV(B1590,Project_FCF!C18:J18)+Project_FCF!B18</f>
        <v>958.05689104005569</v>
      </c>
      <c r="D1590" s="4"/>
      <c r="E1590" s="4"/>
    </row>
    <row r="1591" spans="1:5" x14ac:dyDescent="0.3">
      <c r="A1591" s="9">
        <v>1583</v>
      </c>
      <c r="B1591" s="10">
        <f t="shared" ca="1" si="24"/>
        <v>8.1887050538333284E-2</v>
      </c>
      <c r="C1591" s="10">
        <f ca="1">NPV(B1591,Project_FCF!C18:J18)+Project_FCF!B18</f>
        <v>922.5834569747301</v>
      </c>
      <c r="D1591" s="4"/>
      <c r="E1591" s="4"/>
    </row>
    <row r="1592" spans="1:5" x14ac:dyDescent="0.3">
      <c r="A1592" s="9">
        <v>1584</v>
      </c>
      <c r="B1592" s="10">
        <f t="shared" ca="1" si="24"/>
        <v>7.3172265995604766E-2</v>
      </c>
      <c r="C1592" s="10">
        <f ca="1">NPV(B1592,Project_FCF!C18:J18)+Project_FCF!B18</f>
        <v>997.39568839340814</v>
      </c>
      <c r="D1592" s="4"/>
      <c r="E1592" s="4"/>
    </row>
    <row r="1593" spans="1:5" x14ac:dyDescent="0.3">
      <c r="A1593" s="9">
        <v>1585</v>
      </c>
      <c r="B1593" s="10">
        <f t="shared" ca="1" si="24"/>
        <v>8.7698285490209638E-2</v>
      </c>
      <c r="C1593" s="10">
        <f ca="1">NPV(B1593,Project_FCF!C18:J18)+Project_FCF!B18</f>
        <v>875.4956590047193</v>
      </c>
      <c r="D1593" s="4"/>
      <c r="E1593" s="4"/>
    </row>
    <row r="1594" spans="1:5" x14ac:dyDescent="0.3">
      <c r="A1594" s="9">
        <v>1586</v>
      </c>
      <c r="B1594" s="10">
        <f t="shared" ca="1" si="24"/>
        <v>6.5074024847267389E-2</v>
      </c>
      <c r="C1594" s="10">
        <f ca="1">NPV(B1594,Project_FCF!C18:J18)+Project_FCF!B18</f>
        <v>1071.7493626484943</v>
      </c>
      <c r="D1594" s="4"/>
      <c r="E1594" s="4"/>
    </row>
    <row r="1595" spans="1:5" x14ac:dyDescent="0.3">
      <c r="A1595" s="9">
        <v>1587</v>
      </c>
      <c r="B1595" s="10">
        <f t="shared" ca="1" si="24"/>
        <v>7.8345166928310173E-2</v>
      </c>
      <c r="C1595" s="10">
        <f ca="1">NPV(B1595,Project_FCF!C18:J18)+Project_FCF!B18</f>
        <v>952.36414427278351</v>
      </c>
      <c r="D1595" s="4"/>
      <c r="E1595" s="4"/>
    </row>
    <row r="1596" spans="1:5" x14ac:dyDescent="0.3">
      <c r="A1596" s="9">
        <v>1588</v>
      </c>
      <c r="B1596" s="10">
        <f t="shared" ca="1" si="24"/>
        <v>9.6914081957343343E-2</v>
      </c>
      <c r="C1596" s="10">
        <f ca="1">NPV(B1596,Project_FCF!C18:J18)+Project_FCF!B18</f>
        <v>805.09764038115009</v>
      </c>
      <c r="D1596" s="4"/>
      <c r="E1596" s="4"/>
    </row>
    <row r="1597" spans="1:5" x14ac:dyDescent="0.3">
      <c r="A1597" s="9">
        <v>1589</v>
      </c>
      <c r="B1597" s="10">
        <f t="shared" ca="1" si="24"/>
        <v>9.6163385789909489E-2</v>
      </c>
      <c r="C1597" s="10">
        <f ca="1">NPV(B1597,Project_FCF!C18:J18)+Project_FCF!B18</f>
        <v>810.64405916814758</v>
      </c>
      <c r="D1597" s="4"/>
      <c r="E1597" s="4"/>
    </row>
    <row r="1598" spans="1:5" x14ac:dyDescent="0.3">
      <c r="A1598" s="9">
        <v>1590</v>
      </c>
      <c r="B1598" s="10">
        <f t="shared" ca="1" si="24"/>
        <v>8.9908357925414961E-2</v>
      </c>
      <c r="C1598" s="10">
        <f ca="1">NPV(B1598,Project_FCF!C18:J18)+Project_FCF!B18</f>
        <v>858.14654170412587</v>
      </c>
      <c r="D1598" s="4"/>
      <c r="E1598" s="4"/>
    </row>
    <row r="1599" spans="1:5" x14ac:dyDescent="0.3">
      <c r="A1599" s="9">
        <v>1591</v>
      </c>
      <c r="B1599" s="10">
        <f t="shared" ca="1" si="24"/>
        <v>7.9165861172328322E-2</v>
      </c>
      <c r="C1599" s="10">
        <f ca="1">NPV(B1599,Project_FCF!C18:J18)+Project_FCF!B18</f>
        <v>945.38885348651752</v>
      </c>
      <c r="D1599" s="4"/>
      <c r="E1599" s="4"/>
    </row>
    <row r="1600" spans="1:5" x14ac:dyDescent="0.3">
      <c r="A1600" s="9">
        <v>1592</v>
      </c>
      <c r="B1600" s="10">
        <f t="shared" ca="1" si="24"/>
        <v>6.6577723767180658E-2</v>
      </c>
      <c r="C1600" s="10">
        <f ca="1">NPV(B1600,Project_FCF!C18:J18)+Project_FCF!B18</f>
        <v>1057.5745257379474</v>
      </c>
      <c r="D1600" s="4"/>
      <c r="E1600" s="4"/>
    </row>
    <row r="1601" spans="1:5" x14ac:dyDescent="0.3">
      <c r="A1601" s="9">
        <v>1593</v>
      </c>
      <c r="B1601" s="10">
        <f t="shared" ca="1" si="24"/>
        <v>6.7525073266622646E-2</v>
      </c>
      <c r="C1601" s="10">
        <f ca="1">NPV(B1601,Project_FCF!C18:J18)+Project_FCF!B18</f>
        <v>1048.7320176238979</v>
      </c>
      <c r="D1601" s="4"/>
      <c r="E1601" s="4"/>
    </row>
    <row r="1602" spans="1:5" x14ac:dyDescent="0.3">
      <c r="A1602" s="9">
        <v>1594</v>
      </c>
      <c r="B1602" s="10">
        <f t="shared" ca="1" si="24"/>
        <v>8.3082393971302224E-2</v>
      </c>
      <c r="C1602" s="10">
        <f ca="1">NPV(B1602,Project_FCF!C18:J18)+Project_FCF!B18</f>
        <v>912.72020044878673</v>
      </c>
      <c r="D1602" s="4"/>
      <c r="E1602" s="4"/>
    </row>
    <row r="1603" spans="1:5" x14ac:dyDescent="0.3">
      <c r="A1603" s="9">
        <v>1595</v>
      </c>
      <c r="B1603" s="10">
        <f t="shared" ca="1" si="24"/>
        <v>7.4056499789447089E-2</v>
      </c>
      <c r="C1603" s="10">
        <f ca="1">NPV(B1603,Project_FCF!C18:J18)+Project_FCF!B18</f>
        <v>989.56580986584027</v>
      </c>
      <c r="D1603" s="4"/>
      <c r="E1603" s="4"/>
    </row>
    <row r="1604" spans="1:5" x14ac:dyDescent="0.3">
      <c r="A1604" s="9">
        <v>1596</v>
      </c>
      <c r="B1604" s="10">
        <f t="shared" ca="1" si="24"/>
        <v>6.9098837821182521E-2</v>
      </c>
      <c r="C1604" s="10">
        <f ca="1">NPV(B1604,Project_FCF!C18:J18)+Project_FCF!B18</f>
        <v>1034.1908148791422</v>
      </c>
      <c r="D1604" s="4"/>
      <c r="E1604" s="4"/>
    </row>
    <row r="1605" spans="1:5" x14ac:dyDescent="0.3">
      <c r="A1605" s="9">
        <v>1597</v>
      </c>
      <c r="B1605" s="10">
        <f t="shared" ca="1" si="24"/>
        <v>7.9705574895765866E-2</v>
      </c>
      <c r="C1605" s="10">
        <f ca="1">NPV(B1605,Project_FCF!C18:J18)+Project_FCF!B18</f>
        <v>940.82643207933302</v>
      </c>
      <c r="D1605" s="4"/>
      <c r="E1605" s="4"/>
    </row>
    <row r="1606" spans="1:5" x14ac:dyDescent="0.3">
      <c r="A1606" s="9">
        <v>1598</v>
      </c>
      <c r="B1606" s="10">
        <f t="shared" ca="1" si="24"/>
        <v>7.3121964696619898E-2</v>
      </c>
      <c r="C1606" s="10">
        <f ca="1">NPV(B1606,Project_FCF!C18:J18)+Project_FCF!B18</f>
        <v>997.84277274774968</v>
      </c>
      <c r="D1606" s="4"/>
      <c r="E1606" s="4"/>
    </row>
    <row r="1607" spans="1:5" x14ac:dyDescent="0.3">
      <c r="A1607" s="9">
        <v>1599</v>
      </c>
      <c r="B1607" s="10">
        <f t="shared" ca="1" si="24"/>
        <v>7.0823718002172673E-2</v>
      </c>
      <c r="C1607" s="10">
        <f ca="1">NPV(B1607,Project_FCF!C18:J18)+Project_FCF!B18</f>
        <v>1018.4631782254598</v>
      </c>
      <c r="D1607" s="4"/>
      <c r="E1607" s="4"/>
    </row>
    <row r="1608" spans="1:5" x14ac:dyDescent="0.3">
      <c r="A1608" s="9">
        <v>1600</v>
      </c>
      <c r="B1608" s="10">
        <f t="shared" ca="1" si="24"/>
        <v>7.7346834136144044E-2</v>
      </c>
      <c r="C1608" s="10">
        <f ca="1">NPV(B1608,Project_FCF!C18:J18)+Project_FCF!B18</f>
        <v>960.91086722738578</v>
      </c>
      <c r="D1608" s="4"/>
      <c r="E1608" s="4"/>
    </row>
    <row r="1609" spans="1:5" x14ac:dyDescent="0.3">
      <c r="A1609" s="9">
        <v>1601</v>
      </c>
      <c r="B1609" s="10">
        <f t="shared" ref="B1609:B1672" ca="1" si="25">$B$4+RAND()*($B$5-$B$4)</f>
        <v>7.5447754872057043E-2</v>
      </c>
      <c r="C1609" s="10">
        <f ca="1">NPV(B1609,Project_FCF!C18:J18)+Project_FCF!B18</f>
        <v>977.35774308205714</v>
      </c>
      <c r="D1609" s="4"/>
      <c r="E1609" s="4"/>
    </row>
    <row r="1610" spans="1:5" x14ac:dyDescent="0.3">
      <c r="A1610" s="9">
        <v>1602</v>
      </c>
      <c r="B1610" s="10">
        <f t="shared" ca="1" si="25"/>
        <v>8.5376402217318154E-2</v>
      </c>
      <c r="C1610" s="10">
        <f ca="1">NPV(B1610,Project_FCF!C18:J18)+Project_FCF!B18</f>
        <v>894.0507450900277</v>
      </c>
      <c r="D1610" s="4"/>
      <c r="E1610" s="4"/>
    </row>
    <row r="1611" spans="1:5" x14ac:dyDescent="0.3">
      <c r="A1611" s="9">
        <v>1603</v>
      </c>
      <c r="B1611" s="10">
        <f t="shared" ca="1" si="25"/>
        <v>9.1751563722443225E-2</v>
      </c>
      <c r="C1611" s="10">
        <f ca="1">NPV(B1611,Project_FCF!C18:J18)+Project_FCF!B18</f>
        <v>843.90599841020139</v>
      </c>
      <c r="D1611" s="4"/>
      <c r="E1611" s="4"/>
    </row>
    <row r="1612" spans="1:5" x14ac:dyDescent="0.3">
      <c r="A1612" s="9">
        <v>1604</v>
      </c>
      <c r="B1612" s="10">
        <f t="shared" ca="1" si="25"/>
        <v>0.10380060347179977</v>
      </c>
      <c r="C1612" s="10">
        <f ca="1">NPV(B1612,Project_FCF!C18:J18)+Project_FCF!B18</f>
        <v>755.70113268931004</v>
      </c>
      <c r="D1612" s="4"/>
      <c r="E1612" s="4"/>
    </row>
    <row r="1613" spans="1:5" x14ac:dyDescent="0.3">
      <c r="A1613" s="9">
        <v>1605</v>
      </c>
      <c r="B1613" s="10">
        <f t="shared" ca="1" si="25"/>
        <v>7.2024309531667621E-2</v>
      </c>
      <c r="C1613" s="10">
        <f ca="1">NPV(B1613,Project_FCF!C18:J18)+Project_FCF!B18</f>
        <v>1007.6438323385623</v>
      </c>
      <c r="D1613" s="4"/>
      <c r="E1613" s="4"/>
    </row>
    <row r="1614" spans="1:5" x14ac:dyDescent="0.3">
      <c r="A1614" s="9">
        <v>1606</v>
      </c>
      <c r="B1614" s="10">
        <f t="shared" ca="1" si="25"/>
        <v>7.4844810507718268E-2</v>
      </c>
      <c r="C1614" s="10">
        <f ca="1">NPV(B1614,Project_FCF!C18:J18)+Project_FCF!B18</f>
        <v>982.63184204728213</v>
      </c>
      <c r="D1614" s="4"/>
      <c r="E1614" s="4"/>
    </row>
    <row r="1615" spans="1:5" x14ac:dyDescent="0.3">
      <c r="A1615" s="9">
        <v>1607</v>
      </c>
      <c r="B1615" s="10">
        <f t="shared" ca="1" si="25"/>
        <v>8.7378746568809118E-2</v>
      </c>
      <c r="C1615" s="10">
        <f ca="1">NPV(B1615,Project_FCF!C18:J18)+Project_FCF!B18</f>
        <v>878.02911059363237</v>
      </c>
      <c r="D1615" s="4"/>
      <c r="E1615" s="4"/>
    </row>
    <row r="1616" spans="1:5" x14ac:dyDescent="0.3">
      <c r="A1616" s="9">
        <v>1608</v>
      </c>
      <c r="B1616" s="10">
        <f t="shared" ca="1" si="25"/>
        <v>7.060944126130704E-2</v>
      </c>
      <c r="C1616" s="10">
        <f ca="1">NPV(B1616,Project_FCF!C18:J18)+Project_FCF!B18</f>
        <v>1020.4051498967019</v>
      </c>
      <c r="D1616" s="4"/>
      <c r="E1616" s="4"/>
    </row>
    <row r="1617" spans="1:5" x14ac:dyDescent="0.3">
      <c r="A1617" s="9">
        <v>1609</v>
      </c>
      <c r="B1617" s="10">
        <f t="shared" ca="1" si="25"/>
        <v>9.3201838017866176E-2</v>
      </c>
      <c r="C1617" s="10">
        <f ca="1">NPV(B1617,Project_FCF!C18:J18)+Project_FCF!B18</f>
        <v>832.84504300507524</v>
      </c>
      <c r="D1617" s="4"/>
      <c r="E1617" s="4"/>
    </row>
    <row r="1618" spans="1:5" x14ac:dyDescent="0.3">
      <c r="A1618" s="9">
        <v>1610</v>
      </c>
      <c r="B1618" s="10">
        <f t="shared" ca="1" si="25"/>
        <v>0.10118733355488155</v>
      </c>
      <c r="C1618" s="10">
        <f ca="1">NPV(B1618,Project_FCF!C18:J18)+Project_FCF!B18</f>
        <v>774.13555428163454</v>
      </c>
      <c r="D1618" s="4"/>
      <c r="E1618" s="4"/>
    </row>
    <row r="1619" spans="1:5" x14ac:dyDescent="0.3">
      <c r="A1619" s="9">
        <v>1611</v>
      </c>
      <c r="B1619" s="10">
        <f t="shared" ca="1" si="25"/>
        <v>8.5649057692515185E-2</v>
      </c>
      <c r="C1619" s="10">
        <f ca="1">NPV(B1619,Project_FCF!C18:J18)+Project_FCF!B18</f>
        <v>891.85419515840158</v>
      </c>
      <c r="D1619" s="4"/>
      <c r="E1619" s="4"/>
    </row>
    <row r="1620" spans="1:5" x14ac:dyDescent="0.3">
      <c r="A1620" s="9">
        <v>1612</v>
      </c>
      <c r="B1620" s="10">
        <f t="shared" ca="1" si="25"/>
        <v>8.7768993376185336E-2</v>
      </c>
      <c r="C1620" s="10">
        <f ca="1">NPV(B1620,Project_FCF!C18:J18)+Project_FCF!B18</f>
        <v>874.93591544260244</v>
      </c>
      <c r="D1620" s="4"/>
      <c r="E1620" s="4"/>
    </row>
    <row r="1621" spans="1:5" x14ac:dyDescent="0.3">
      <c r="A1621" s="9">
        <v>1613</v>
      </c>
      <c r="B1621" s="10">
        <f t="shared" ca="1" si="25"/>
        <v>8.7851754822260181E-2</v>
      </c>
      <c r="C1621" s="10">
        <f ca="1">NPV(B1621,Project_FCF!C18:J18)+Project_FCF!B18</f>
        <v>874.28114830177901</v>
      </c>
      <c r="D1621" s="4"/>
      <c r="E1621" s="4"/>
    </row>
    <row r="1622" spans="1:5" x14ac:dyDescent="0.3">
      <c r="A1622" s="9">
        <v>1614</v>
      </c>
      <c r="B1622" s="10">
        <f t="shared" ca="1" si="25"/>
        <v>7.9719493622868065E-2</v>
      </c>
      <c r="C1622" s="10">
        <f ca="1">NPV(B1622,Project_FCF!C18:J18)+Project_FCF!B18</f>
        <v>940.70902998918359</v>
      </c>
      <c r="D1622" s="4"/>
      <c r="E1622" s="4"/>
    </row>
    <row r="1623" spans="1:5" x14ac:dyDescent="0.3">
      <c r="A1623" s="9">
        <v>1615</v>
      </c>
      <c r="B1623" s="10">
        <f t="shared" ca="1" si="25"/>
        <v>7.6682834431378882E-2</v>
      </c>
      <c r="C1623" s="10">
        <f ca="1">NPV(B1623,Project_FCF!C18:J18)+Project_FCF!B18</f>
        <v>966.63311124839697</v>
      </c>
      <c r="D1623" s="4"/>
      <c r="E1623" s="4"/>
    </row>
    <row r="1624" spans="1:5" x14ac:dyDescent="0.3">
      <c r="A1624" s="9">
        <v>1616</v>
      </c>
      <c r="B1624" s="10">
        <f t="shared" ca="1" si="25"/>
        <v>0.10227667334557811</v>
      </c>
      <c r="C1624" s="10">
        <f ca="1">NPV(B1624,Project_FCF!C18:J18)+Project_FCF!B18</f>
        <v>766.40576619686249</v>
      </c>
      <c r="D1624" s="4"/>
      <c r="E1624" s="4"/>
    </row>
    <row r="1625" spans="1:5" x14ac:dyDescent="0.3">
      <c r="A1625" s="9">
        <v>1617</v>
      </c>
      <c r="B1625" s="10">
        <f t="shared" ca="1" si="25"/>
        <v>8.2215435285555749E-2</v>
      </c>
      <c r="C1625" s="10">
        <f ca="1">NPV(B1625,Project_FCF!C18:J18)+Project_FCF!B18</f>
        <v>919.8645121740426</v>
      </c>
      <c r="D1625" s="4"/>
      <c r="E1625" s="4"/>
    </row>
    <row r="1626" spans="1:5" x14ac:dyDescent="0.3">
      <c r="A1626" s="9">
        <v>1618</v>
      </c>
      <c r="B1626" s="10">
        <f t="shared" ca="1" si="25"/>
        <v>7.4617932769392978E-2</v>
      </c>
      <c r="C1626" s="10">
        <f ca="1">NPV(B1626,Project_FCF!C18:J18)+Project_FCF!B18</f>
        <v>984.62298090094669</v>
      </c>
      <c r="D1626" s="4"/>
      <c r="E1626" s="4"/>
    </row>
    <row r="1627" spans="1:5" x14ac:dyDescent="0.3">
      <c r="A1627" s="9">
        <v>1619</v>
      </c>
      <c r="B1627" s="10">
        <f t="shared" ca="1" si="25"/>
        <v>9.4782803227573528E-2</v>
      </c>
      <c r="C1627" s="10">
        <f ca="1">NPV(B1627,Project_FCF!C18:J18)+Project_FCF!B18</f>
        <v>820.92954711391576</v>
      </c>
      <c r="D1627" s="4"/>
      <c r="E1627" s="4"/>
    </row>
    <row r="1628" spans="1:5" x14ac:dyDescent="0.3">
      <c r="A1628" s="9">
        <v>1620</v>
      </c>
      <c r="B1628" s="10">
        <f t="shared" ca="1" si="25"/>
        <v>7.2553782369593242E-2</v>
      </c>
      <c r="C1628" s="10">
        <f ca="1">NPV(B1628,Project_FCF!C18:J18)+Project_FCF!B18</f>
        <v>1002.9053683521713</v>
      </c>
      <c r="D1628" s="4"/>
      <c r="E1628" s="4"/>
    </row>
    <row r="1629" spans="1:5" x14ac:dyDescent="0.3">
      <c r="A1629" s="9">
        <v>1621</v>
      </c>
      <c r="B1629" s="10">
        <f t="shared" ca="1" si="25"/>
        <v>9.4649605653825061E-2</v>
      </c>
      <c r="C1629" s="10">
        <f ca="1">NPV(B1629,Project_FCF!C18:J18)+Project_FCF!B18</f>
        <v>821.92776360241487</v>
      </c>
      <c r="D1629" s="4"/>
      <c r="E1629" s="4"/>
    </row>
    <row r="1630" spans="1:5" x14ac:dyDescent="0.3">
      <c r="A1630" s="9">
        <v>1622</v>
      </c>
      <c r="B1630" s="10">
        <f t="shared" ca="1" si="25"/>
        <v>9.1181434056445548E-2</v>
      </c>
      <c r="C1630" s="10">
        <f ca="1">NPV(B1630,Project_FCF!C18:J18)+Project_FCF!B18</f>
        <v>848.28881520174536</v>
      </c>
      <c r="D1630" s="4"/>
      <c r="E1630" s="4"/>
    </row>
    <row r="1631" spans="1:5" x14ac:dyDescent="0.3">
      <c r="A1631" s="9">
        <v>1623</v>
      </c>
      <c r="B1631" s="10">
        <f t="shared" ca="1" si="25"/>
        <v>7.7524693861958288E-2</v>
      </c>
      <c r="C1631" s="10">
        <f ca="1">NPV(B1631,Project_FCF!C18:J18)+Project_FCF!B18</f>
        <v>959.38323330939738</v>
      </c>
      <c r="D1631" s="4"/>
      <c r="E1631" s="4"/>
    </row>
    <row r="1632" spans="1:5" x14ac:dyDescent="0.3">
      <c r="A1632" s="9">
        <v>1624</v>
      </c>
      <c r="B1632" s="10">
        <f t="shared" ca="1" si="25"/>
        <v>0.10342869618686262</v>
      </c>
      <c r="C1632" s="10">
        <f ca="1">NPV(B1632,Project_FCF!C18:J18)+Project_FCF!B18</f>
        <v>758.30190013880792</v>
      </c>
      <c r="D1632" s="4"/>
      <c r="E1632" s="4"/>
    </row>
    <row r="1633" spans="1:5" x14ac:dyDescent="0.3">
      <c r="A1633" s="9">
        <v>1625</v>
      </c>
      <c r="B1633" s="10">
        <f t="shared" ca="1" si="25"/>
        <v>6.5064843858215399E-2</v>
      </c>
      <c r="C1633" s="10">
        <f ca="1">NPV(B1633,Project_FCF!C18:J18)+Project_FCF!B18</f>
        <v>1071.8364378575409</v>
      </c>
      <c r="D1633" s="4"/>
      <c r="E1633" s="4"/>
    </row>
    <row r="1634" spans="1:5" x14ac:dyDescent="0.3">
      <c r="A1634" s="9">
        <v>1626</v>
      </c>
      <c r="B1634" s="10">
        <f t="shared" ca="1" si="25"/>
        <v>8.8197425027818771E-2</v>
      </c>
      <c r="C1634" s="10">
        <f ca="1">NPV(B1634,Project_FCF!C18:J18)+Project_FCF!B18</f>
        <v>871.55098676082252</v>
      </c>
      <c r="D1634" s="4"/>
      <c r="E1634" s="4"/>
    </row>
    <row r="1635" spans="1:5" x14ac:dyDescent="0.3">
      <c r="A1635" s="9">
        <v>1627</v>
      </c>
      <c r="B1635" s="10">
        <f t="shared" ca="1" si="25"/>
        <v>9.6863097770953144E-2</v>
      </c>
      <c r="C1635" s="10">
        <f ca="1">NPV(B1635,Project_FCF!C18:J18)+Project_FCF!B18</f>
        <v>805.47330318407694</v>
      </c>
      <c r="D1635" s="4"/>
      <c r="E1635" s="4"/>
    </row>
    <row r="1636" spans="1:5" x14ac:dyDescent="0.3">
      <c r="A1636" s="9">
        <v>1628</v>
      </c>
      <c r="B1636" s="10">
        <f t="shared" ca="1" si="25"/>
        <v>7.9545673127747601E-2</v>
      </c>
      <c r="C1636" s="10">
        <f ca="1">NPV(B1636,Project_FCF!C18:J18)+Project_FCF!B18</f>
        <v>942.17610796914505</v>
      </c>
      <c r="D1636" s="4"/>
      <c r="E1636" s="4"/>
    </row>
    <row r="1637" spans="1:5" x14ac:dyDescent="0.3">
      <c r="A1637" s="9">
        <v>1629</v>
      </c>
      <c r="B1637" s="10">
        <f t="shared" ca="1" si="25"/>
        <v>6.5645170259524779E-2</v>
      </c>
      <c r="C1637" s="10">
        <f ca="1">NPV(B1637,Project_FCF!C18:J18)+Project_FCF!B18</f>
        <v>1066.3451171765075</v>
      </c>
      <c r="D1637" s="4"/>
      <c r="E1637" s="4"/>
    </row>
    <row r="1638" spans="1:5" x14ac:dyDescent="0.3">
      <c r="A1638" s="9">
        <v>1630</v>
      </c>
      <c r="B1638" s="10">
        <f t="shared" ca="1" si="25"/>
        <v>6.8870790274334667E-2</v>
      </c>
      <c r="C1638" s="10">
        <f ca="1">NPV(B1638,Project_FCF!C18:J18)+Project_FCF!B18</f>
        <v>1036.2865336203872</v>
      </c>
      <c r="D1638" s="4"/>
      <c r="E1638" s="4"/>
    </row>
    <row r="1639" spans="1:5" x14ac:dyDescent="0.3">
      <c r="A1639" s="9">
        <v>1631</v>
      </c>
      <c r="B1639" s="10">
        <f t="shared" ca="1" si="25"/>
        <v>9.2145076357925626E-2</v>
      </c>
      <c r="C1639" s="10">
        <f ca="1">NPV(B1639,Project_FCF!C18:J18)+Project_FCF!B18</f>
        <v>840.89231784141384</v>
      </c>
      <c r="D1639" s="4"/>
      <c r="E1639" s="4"/>
    </row>
    <row r="1640" spans="1:5" x14ac:dyDescent="0.3">
      <c r="A1640" s="9">
        <v>1632</v>
      </c>
      <c r="B1640" s="10">
        <f t="shared" ca="1" si="25"/>
        <v>8.4641248116400364E-2</v>
      </c>
      <c r="C1640" s="10">
        <f ca="1">NPV(B1640,Project_FCF!C18:J18)+Project_FCF!B18</f>
        <v>899.99686985517701</v>
      </c>
      <c r="D1640" s="4"/>
      <c r="E1640" s="4"/>
    </row>
    <row r="1641" spans="1:5" x14ac:dyDescent="0.3">
      <c r="A1641" s="9">
        <v>1633</v>
      </c>
      <c r="B1641" s="10">
        <f t="shared" ca="1" si="25"/>
        <v>8.3222176881233095E-2</v>
      </c>
      <c r="C1641" s="10">
        <f ca="1">NPV(B1641,Project_FCF!C18:J18)+Project_FCF!B18</f>
        <v>911.57288102181587</v>
      </c>
      <c r="D1641" s="4"/>
      <c r="E1641" s="4"/>
    </row>
    <row r="1642" spans="1:5" x14ac:dyDescent="0.3">
      <c r="A1642" s="9">
        <v>1634</v>
      </c>
      <c r="B1642" s="10">
        <f t="shared" ca="1" si="25"/>
        <v>8.0189379873251518E-2</v>
      </c>
      <c r="C1642" s="10">
        <f ca="1">NPV(B1642,Project_FCF!C18:J18)+Project_FCF!B18</f>
        <v>936.75322565892588</v>
      </c>
      <c r="D1642" s="4"/>
      <c r="E1642" s="4"/>
    </row>
    <row r="1643" spans="1:5" x14ac:dyDescent="0.3">
      <c r="A1643" s="9">
        <v>1635</v>
      </c>
      <c r="B1643" s="10">
        <f t="shared" ca="1" si="25"/>
        <v>8.3431541842034676E-2</v>
      </c>
      <c r="C1643" s="10">
        <f ca="1">NPV(B1643,Project_FCF!C18:J18)+Project_FCF!B18</f>
        <v>909.85681389621004</v>
      </c>
      <c r="D1643" s="4"/>
      <c r="E1643" s="4"/>
    </row>
    <row r="1644" spans="1:5" x14ac:dyDescent="0.3">
      <c r="A1644" s="9">
        <v>1636</v>
      </c>
      <c r="B1644" s="10">
        <f t="shared" ca="1" si="25"/>
        <v>8.7186871546267017E-2</v>
      </c>
      <c r="C1644" s="10">
        <f ca="1">NPV(B1644,Project_FCF!C18:J18)+Project_FCF!B18</f>
        <v>879.55345157859028</v>
      </c>
      <c r="D1644" s="4"/>
      <c r="E1644" s="4"/>
    </row>
    <row r="1645" spans="1:5" x14ac:dyDescent="0.3">
      <c r="A1645" s="9">
        <v>1637</v>
      </c>
      <c r="B1645" s="10">
        <f t="shared" ca="1" si="25"/>
        <v>8.0662674653791788E-2</v>
      </c>
      <c r="C1645" s="10">
        <f ca="1">NPV(B1645,Project_FCF!C18:J18)+Project_FCF!B18</f>
        <v>932.78361885387881</v>
      </c>
      <c r="D1645" s="4"/>
      <c r="E1645" s="4"/>
    </row>
    <row r="1646" spans="1:5" x14ac:dyDescent="0.3">
      <c r="A1646" s="9">
        <v>1638</v>
      </c>
      <c r="B1646" s="10">
        <f t="shared" ca="1" si="25"/>
        <v>9.8243224285142358E-2</v>
      </c>
      <c r="C1646" s="10">
        <f ca="1">NPV(B1646,Project_FCF!C18:J18)+Project_FCF!B18</f>
        <v>795.35671347359175</v>
      </c>
      <c r="D1646" s="4"/>
      <c r="E1646" s="4"/>
    </row>
    <row r="1647" spans="1:5" x14ac:dyDescent="0.3">
      <c r="A1647" s="9">
        <v>1639</v>
      </c>
      <c r="B1647" s="10">
        <f t="shared" ca="1" si="25"/>
        <v>8.2554346525713987E-2</v>
      </c>
      <c r="C1647" s="10">
        <f ca="1">NPV(B1647,Project_FCF!C18:J18)+Project_FCF!B18</f>
        <v>917.06581869136062</v>
      </c>
      <c r="D1647" s="4"/>
      <c r="E1647" s="4"/>
    </row>
    <row r="1648" spans="1:5" x14ac:dyDescent="0.3">
      <c r="A1648" s="9">
        <v>1640</v>
      </c>
      <c r="B1648" s="10">
        <f t="shared" ca="1" si="25"/>
        <v>9.7846609268880252E-2</v>
      </c>
      <c r="C1648" s="10">
        <f ca="1">NPV(B1648,Project_FCF!C18:J18)+Project_FCF!B18</f>
        <v>798.25284613383792</v>
      </c>
      <c r="D1648" s="4"/>
      <c r="E1648" s="4"/>
    </row>
    <row r="1649" spans="1:5" x14ac:dyDescent="0.3">
      <c r="A1649" s="9">
        <v>1641</v>
      </c>
      <c r="B1649" s="10">
        <f t="shared" ca="1" si="25"/>
        <v>6.6982831012030633E-2</v>
      </c>
      <c r="C1649" s="10">
        <f ca="1">NPV(B1649,Project_FCF!C18:J18)+Project_FCF!B18</f>
        <v>1053.7850173586833</v>
      </c>
      <c r="D1649" s="4"/>
      <c r="E1649" s="4"/>
    </row>
    <row r="1650" spans="1:5" x14ac:dyDescent="0.3">
      <c r="A1650" s="9">
        <v>1642</v>
      </c>
      <c r="B1650" s="10">
        <f t="shared" ca="1" si="25"/>
        <v>7.7593650039713344E-2</v>
      </c>
      <c r="C1650" s="10">
        <f ca="1">NPV(B1650,Project_FCF!C18:J18)+Project_FCF!B18</f>
        <v>958.79155180361272</v>
      </c>
      <c r="D1650" s="4"/>
      <c r="E1650" s="4"/>
    </row>
    <row r="1651" spans="1:5" x14ac:dyDescent="0.3">
      <c r="A1651" s="9">
        <v>1643</v>
      </c>
      <c r="B1651" s="10">
        <f t="shared" ca="1" si="25"/>
        <v>9.7050909307861588E-2</v>
      </c>
      <c r="C1651" s="10">
        <f ca="1">NPV(B1651,Project_FCF!C18:J18)+Project_FCF!B18</f>
        <v>804.09020399670771</v>
      </c>
      <c r="D1651" s="4"/>
      <c r="E1651" s="4"/>
    </row>
    <row r="1652" spans="1:5" x14ac:dyDescent="0.3">
      <c r="A1652" s="9">
        <v>1644</v>
      </c>
      <c r="B1652" s="10">
        <f t="shared" ca="1" si="25"/>
        <v>6.4005147185766623E-2</v>
      </c>
      <c r="C1652" s="10">
        <f ca="1">NPV(B1652,Project_FCF!C18:J18)+Project_FCF!B18</f>
        <v>1081.9304160569186</v>
      </c>
      <c r="D1652" s="4"/>
      <c r="E1652" s="4"/>
    </row>
    <row r="1653" spans="1:5" x14ac:dyDescent="0.3">
      <c r="A1653" s="9">
        <v>1645</v>
      </c>
      <c r="B1653" s="10">
        <f t="shared" ca="1" si="25"/>
        <v>8.646618192315092E-2</v>
      </c>
      <c r="C1653" s="10">
        <f ca="1">NPV(B1653,Project_FCF!C18:J18)+Project_FCF!B18</f>
        <v>885.29956742925629</v>
      </c>
      <c r="D1653" s="4"/>
      <c r="E1653" s="4"/>
    </row>
    <row r="1654" spans="1:5" x14ac:dyDescent="0.3">
      <c r="A1654" s="9">
        <v>1646</v>
      </c>
      <c r="B1654" s="10">
        <f t="shared" ca="1" si="25"/>
        <v>6.7204211473613051E-2</v>
      </c>
      <c r="C1654" s="10">
        <f ca="1">NPV(B1654,Project_FCF!C18:J18)+Project_FCF!B18</f>
        <v>1051.7193706761213</v>
      </c>
      <c r="D1654" s="4"/>
      <c r="E1654" s="4"/>
    </row>
    <row r="1655" spans="1:5" x14ac:dyDescent="0.3">
      <c r="A1655" s="9">
        <v>1647</v>
      </c>
      <c r="B1655" s="10">
        <f t="shared" ca="1" si="25"/>
        <v>6.8956476964230046E-2</v>
      </c>
      <c r="C1655" s="10">
        <f ca="1">NPV(B1655,Project_FCF!C18:J18)+Project_FCF!B18</f>
        <v>1035.4986367172746</v>
      </c>
      <c r="D1655" s="4"/>
      <c r="E1655" s="4"/>
    </row>
    <row r="1656" spans="1:5" x14ac:dyDescent="0.3">
      <c r="A1656" s="9">
        <v>1648</v>
      </c>
      <c r="B1656" s="10">
        <f t="shared" ca="1" si="25"/>
        <v>8.1642422120045674E-2</v>
      </c>
      <c r="C1656" s="10">
        <f ca="1">NPV(B1656,Project_FCF!C18:J18)+Project_FCF!B18</f>
        <v>924.61352429666795</v>
      </c>
      <c r="D1656" s="4"/>
      <c r="E1656" s="4"/>
    </row>
    <row r="1657" spans="1:5" x14ac:dyDescent="0.3">
      <c r="A1657" s="9">
        <v>1649</v>
      </c>
      <c r="B1657" s="10">
        <f t="shared" ca="1" si="25"/>
        <v>0.10287741240067122</v>
      </c>
      <c r="C1657" s="10">
        <f ca="1">NPV(B1657,Project_FCF!C18:J18)+Project_FCF!B18</f>
        <v>762.17086314891458</v>
      </c>
      <c r="D1657" s="4"/>
      <c r="E1657" s="4"/>
    </row>
    <row r="1658" spans="1:5" x14ac:dyDescent="0.3">
      <c r="A1658" s="9">
        <v>1650</v>
      </c>
      <c r="B1658" s="10">
        <f t="shared" ca="1" si="25"/>
        <v>7.1865495225894138E-2</v>
      </c>
      <c r="C1658" s="10">
        <f ca="1">NPV(B1658,Project_FCF!C18:J18)+Project_FCF!B18</f>
        <v>1009.0690475725296</v>
      </c>
      <c r="D1658" s="4"/>
      <c r="E1658" s="4"/>
    </row>
    <row r="1659" spans="1:5" x14ac:dyDescent="0.3">
      <c r="A1659" s="9">
        <v>1651</v>
      </c>
      <c r="B1659" s="10">
        <f t="shared" ca="1" si="25"/>
        <v>8.6956411188154836E-2</v>
      </c>
      <c r="C1659" s="10">
        <f ca="1">NPV(B1659,Project_FCF!C18:J18)+Project_FCF!B18</f>
        <v>881.38738111772159</v>
      </c>
      <c r="D1659" s="4"/>
      <c r="E1659" s="4"/>
    </row>
    <row r="1660" spans="1:5" x14ac:dyDescent="0.3">
      <c r="A1660" s="9">
        <v>1652</v>
      </c>
      <c r="B1660" s="10">
        <f t="shared" ca="1" si="25"/>
        <v>8.6723593438939914E-2</v>
      </c>
      <c r="C1660" s="10">
        <f ca="1">NPV(B1660,Project_FCF!C18:J18)+Project_FCF!B18</f>
        <v>883.24345587099833</v>
      </c>
      <c r="D1660" s="4"/>
      <c r="E1660" s="4"/>
    </row>
    <row r="1661" spans="1:5" x14ac:dyDescent="0.3">
      <c r="A1661" s="9">
        <v>1653</v>
      </c>
      <c r="B1661" s="10">
        <f t="shared" ca="1" si="25"/>
        <v>8.9061292099206754E-2</v>
      </c>
      <c r="C1661" s="10">
        <f ca="1">NPV(B1661,Project_FCF!C18:J18)+Project_FCF!B18</f>
        <v>864.76040615470811</v>
      </c>
      <c r="D1661" s="4"/>
      <c r="E1661" s="4"/>
    </row>
    <row r="1662" spans="1:5" x14ac:dyDescent="0.3">
      <c r="A1662" s="9">
        <v>1654</v>
      </c>
      <c r="B1662" s="10">
        <f t="shared" ca="1" si="25"/>
        <v>8.6414370076200508E-2</v>
      </c>
      <c r="C1662" s="10">
        <f ca="1">NPV(B1662,Project_FCF!C18:J18)+Project_FCF!B18</f>
        <v>885.71392685632304</v>
      </c>
      <c r="D1662" s="4"/>
      <c r="E1662" s="4"/>
    </row>
    <row r="1663" spans="1:5" x14ac:dyDescent="0.3">
      <c r="A1663" s="9">
        <v>1655</v>
      </c>
      <c r="B1663" s="10">
        <f t="shared" ca="1" si="25"/>
        <v>6.9132280191805076E-2</v>
      </c>
      <c r="C1663" s="10">
        <f ca="1">NPV(B1663,Project_FCF!C18:J18)+Project_FCF!B18</f>
        <v>1033.883807938477</v>
      </c>
      <c r="D1663" s="4"/>
      <c r="E1663" s="4"/>
    </row>
    <row r="1664" spans="1:5" x14ac:dyDescent="0.3">
      <c r="A1664" s="9">
        <v>1656</v>
      </c>
      <c r="B1664" s="10">
        <f t="shared" ca="1" si="25"/>
        <v>7.5637880854401804E-2</v>
      </c>
      <c r="C1664" s="10">
        <f ca="1">NPV(B1664,Project_FCF!C18:J18)+Project_FCF!B18</f>
        <v>975.69992306092058</v>
      </c>
      <c r="D1664" s="4"/>
      <c r="E1664" s="4"/>
    </row>
    <row r="1665" spans="1:5" x14ac:dyDescent="0.3">
      <c r="A1665" s="9">
        <v>1657</v>
      </c>
      <c r="B1665" s="10">
        <f t="shared" ca="1" si="25"/>
        <v>9.8423173393822408E-2</v>
      </c>
      <c r="C1665" s="10">
        <f ca="1">NPV(B1665,Project_FCF!C18:J18)+Project_FCF!B18</f>
        <v>794.04564941716649</v>
      </c>
      <c r="D1665" s="4"/>
      <c r="E1665" s="4"/>
    </row>
    <row r="1666" spans="1:5" x14ac:dyDescent="0.3">
      <c r="A1666" s="9">
        <v>1658</v>
      </c>
      <c r="B1666" s="10">
        <f t="shared" ca="1" si="25"/>
        <v>7.7444761090555911E-2</v>
      </c>
      <c r="C1666" s="10">
        <f ca="1">NPV(B1666,Project_FCF!C18:J18)+Project_FCF!B18</f>
        <v>960.06950669631601</v>
      </c>
      <c r="D1666" s="4"/>
      <c r="E1666" s="4"/>
    </row>
    <row r="1667" spans="1:5" x14ac:dyDescent="0.3">
      <c r="A1667" s="9">
        <v>1659</v>
      </c>
      <c r="B1667" s="10">
        <f t="shared" ca="1" si="25"/>
        <v>6.9465935338421464E-2</v>
      </c>
      <c r="C1667" s="10">
        <f ca="1">NPV(B1667,Project_FCF!C18:J18)+Project_FCF!B18</f>
        <v>1030.8253077182117</v>
      </c>
      <c r="D1667" s="4"/>
      <c r="E1667" s="4"/>
    </row>
    <row r="1668" spans="1:5" x14ac:dyDescent="0.3">
      <c r="A1668" s="9">
        <v>1660</v>
      </c>
      <c r="B1668" s="10">
        <f t="shared" ca="1" si="25"/>
        <v>7.9960113837584432E-2</v>
      </c>
      <c r="C1668" s="10">
        <f ca="1">NPV(B1668,Project_FCF!C18:J18)+Project_FCF!B18</f>
        <v>938.68149011439823</v>
      </c>
      <c r="D1668" s="4"/>
      <c r="E1668" s="4"/>
    </row>
    <row r="1669" spans="1:5" x14ac:dyDescent="0.3">
      <c r="A1669" s="9">
        <v>1661</v>
      </c>
      <c r="B1669" s="10">
        <f t="shared" ca="1" si="25"/>
        <v>7.6711234695117744E-2</v>
      </c>
      <c r="C1669" s="10">
        <f ca="1">NPV(B1669,Project_FCF!C18:J18)+Project_FCF!B18</f>
        <v>966.38774195523774</v>
      </c>
      <c r="D1669" s="4"/>
      <c r="E1669" s="4"/>
    </row>
    <row r="1670" spans="1:5" x14ac:dyDescent="0.3">
      <c r="A1670" s="9">
        <v>1662</v>
      </c>
      <c r="B1670" s="10">
        <f t="shared" ca="1" si="25"/>
        <v>7.4058745867099804E-2</v>
      </c>
      <c r="C1670" s="10">
        <f ca="1">NPV(B1670,Project_FCF!C18:J18)+Project_FCF!B18</f>
        <v>989.54599128674568</v>
      </c>
      <c r="D1670" s="4"/>
      <c r="E1670" s="4"/>
    </row>
    <row r="1671" spans="1:5" x14ac:dyDescent="0.3">
      <c r="A1671" s="9">
        <v>1663</v>
      </c>
      <c r="B1671" s="10">
        <f t="shared" ca="1" si="25"/>
        <v>9.8820207404807126E-2</v>
      </c>
      <c r="C1671" s="10">
        <f ca="1">NPV(B1671,Project_FCF!C18:J18)+Project_FCF!B18</f>
        <v>791.15944728194245</v>
      </c>
      <c r="D1671" s="4"/>
      <c r="E1671" s="4"/>
    </row>
    <row r="1672" spans="1:5" x14ac:dyDescent="0.3">
      <c r="A1672" s="9">
        <v>1664</v>
      </c>
      <c r="B1672" s="10">
        <f t="shared" ca="1" si="25"/>
        <v>6.7565722044465287E-2</v>
      </c>
      <c r="C1672" s="10">
        <f ca="1">NPV(B1672,Project_FCF!C18:J18)+Project_FCF!B18</f>
        <v>1048.3541115722799</v>
      </c>
      <c r="D1672" s="4"/>
      <c r="E1672" s="4"/>
    </row>
    <row r="1673" spans="1:5" x14ac:dyDescent="0.3">
      <c r="A1673" s="9">
        <v>1665</v>
      </c>
      <c r="B1673" s="10">
        <f t="shared" ref="B1673:B1736" ca="1" si="26">$B$4+RAND()*($B$5-$B$4)</f>
        <v>7.7078255473751245E-2</v>
      </c>
      <c r="C1673" s="10">
        <f ca="1">NPV(B1673,Project_FCF!C18:J18)+Project_FCF!B18</f>
        <v>963.22178991208511</v>
      </c>
      <c r="D1673" s="4"/>
      <c r="E1673" s="4"/>
    </row>
    <row r="1674" spans="1:5" x14ac:dyDescent="0.3">
      <c r="A1674" s="9">
        <v>1666</v>
      </c>
      <c r="B1674" s="10">
        <f t="shared" ca="1" si="26"/>
        <v>7.1814676577520095E-2</v>
      </c>
      <c r="C1674" s="10">
        <f ca="1">NPV(B1674,Project_FCF!C18:J18)+Project_FCF!B18</f>
        <v>1009.5254822795794</v>
      </c>
      <c r="D1674" s="4"/>
      <c r="E1674" s="4"/>
    </row>
    <row r="1675" spans="1:5" x14ac:dyDescent="0.3">
      <c r="A1675" s="9">
        <v>1667</v>
      </c>
      <c r="B1675" s="10">
        <f t="shared" ca="1" si="26"/>
        <v>7.0905937508476291E-2</v>
      </c>
      <c r="C1675" s="10">
        <f ca="1">NPV(B1675,Project_FCF!C18:J18)+Project_FCF!B18</f>
        <v>1017.7189156702493</v>
      </c>
      <c r="D1675" s="4"/>
      <c r="E1675" s="4"/>
    </row>
    <row r="1676" spans="1:5" x14ac:dyDescent="0.3">
      <c r="A1676" s="9">
        <v>1668</v>
      </c>
      <c r="B1676" s="10">
        <f t="shared" ca="1" si="26"/>
        <v>9.7485090238948024E-2</v>
      </c>
      <c r="C1676" s="10">
        <f ca="1">NPV(B1676,Project_FCF!C18:J18)+Project_FCF!B18</f>
        <v>800.90050997228241</v>
      </c>
      <c r="D1676" s="4"/>
      <c r="E1676" s="4"/>
    </row>
    <row r="1677" spans="1:5" x14ac:dyDescent="0.3">
      <c r="A1677" s="9">
        <v>1669</v>
      </c>
      <c r="B1677" s="10">
        <f t="shared" ca="1" si="26"/>
        <v>7.7081022525123832E-2</v>
      </c>
      <c r="C1677" s="10">
        <f ca="1">NPV(B1677,Project_FCF!C18:J18)+Project_FCF!B18</f>
        <v>963.19795624396284</v>
      </c>
      <c r="D1677" s="4"/>
      <c r="E1677" s="4"/>
    </row>
    <row r="1678" spans="1:5" x14ac:dyDescent="0.3">
      <c r="A1678" s="9">
        <v>1670</v>
      </c>
      <c r="B1678" s="10">
        <f t="shared" ca="1" si="26"/>
        <v>6.5317436901915535E-2</v>
      </c>
      <c r="C1678" s="10">
        <f ca="1">NPV(B1678,Project_FCF!C18:J18)+Project_FCF!B18</f>
        <v>1069.4431228260128</v>
      </c>
      <c r="D1678" s="4"/>
      <c r="E1678" s="4"/>
    </row>
    <row r="1679" spans="1:5" x14ac:dyDescent="0.3">
      <c r="A1679" s="9">
        <v>1671</v>
      </c>
      <c r="B1679" s="10">
        <f t="shared" ca="1" si="26"/>
        <v>0.10356280290645771</v>
      </c>
      <c r="C1679" s="10">
        <f ca="1">NPV(B1679,Project_FCF!C18:J18)+Project_FCF!B18</f>
        <v>757.36322134503507</v>
      </c>
      <c r="D1679" s="4"/>
      <c r="E1679" s="4"/>
    </row>
    <row r="1680" spans="1:5" x14ac:dyDescent="0.3">
      <c r="A1680" s="9">
        <v>1672</v>
      </c>
      <c r="B1680" s="10">
        <f t="shared" ca="1" si="26"/>
        <v>9.4220484574605939E-2</v>
      </c>
      <c r="C1680" s="10">
        <f ca="1">NPV(B1680,Project_FCF!C18:J18)+Project_FCF!B18</f>
        <v>825.15078397117622</v>
      </c>
      <c r="D1680" s="4"/>
      <c r="E1680" s="4"/>
    </row>
    <row r="1681" spans="1:5" x14ac:dyDescent="0.3">
      <c r="A1681" s="9">
        <v>1673</v>
      </c>
      <c r="B1681" s="10">
        <f t="shared" ca="1" si="26"/>
        <v>7.8814375587874741E-2</v>
      </c>
      <c r="C1681" s="10">
        <f ca="1">NPV(B1681,Project_FCF!C18:J18)+Project_FCF!B18</f>
        <v>948.37064677024114</v>
      </c>
      <c r="D1681" s="4"/>
      <c r="E1681" s="4"/>
    </row>
    <row r="1682" spans="1:5" x14ac:dyDescent="0.3">
      <c r="A1682" s="9">
        <v>1674</v>
      </c>
      <c r="B1682" s="10">
        <f t="shared" ca="1" si="26"/>
        <v>6.5727122096946713E-2</v>
      </c>
      <c r="C1682" s="10">
        <f ca="1">NPV(B1682,Project_FCF!C18:J18)+Project_FCF!B18</f>
        <v>1065.5717203824099</v>
      </c>
      <c r="D1682" s="4"/>
      <c r="E1682" s="4"/>
    </row>
    <row r="1683" spans="1:5" x14ac:dyDescent="0.3">
      <c r="A1683" s="9">
        <v>1675</v>
      </c>
      <c r="B1683" s="10">
        <f t="shared" ca="1" si="26"/>
        <v>9.7010181514274541E-2</v>
      </c>
      <c r="C1683" s="10">
        <f ca="1">NPV(B1683,Project_FCF!C18:J18)+Project_FCF!B18</f>
        <v>804.38996343761528</v>
      </c>
      <c r="D1683" s="4"/>
      <c r="E1683" s="4"/>
    </row>
    <row r="1684" spans="1:5" x14ac:dyDescent="0.3">
      <c r="A1684" s="9">
        <v>1676</v>
      </c>
      <c r="B1684" s="10">
        <f t="shared" ca="1" si="26"/>
        <v>9.7936633921281685E-2</v>
      </c>
      <c r="C1684" s="10">
        <f ca="1">NPV(B1684,Project_FCF!C18:J18)+Project_FCF!B18</f>
        <v>797.59468972868103</v>
      </c>
      <c r="D1684" s="4"/>
      <c r="E1684" s="4"/>
    </row>
    <row r="1685" spans="1:5" x14ac:dyDescent="0.3">
      <c r="A1685" s="9">
        <v>1677</v>
      </c>
      <c r="B1685" s="10">
        <f t="shared" ca="1" si="26"/>
        <v>0.10311606787658333</v>
      </c>
      <c r="C1685" s="10">
        <f ca="1">NPV(B1685,Project_FCF!C18:J18)+Project_FCF!B18</f>
        <v>760.49392785070381</v>
      </c>
      <c r="D1685" s="4"/>
      <c r="E1685" s="4"/>
    </row>
    <row r="1686" spans="1:5" x14ac:dyDescent="0.3">
      <c r="A1686" s="9">
        <v>1678</v>
      </c>
      <c r="B1686" s="10">
        <f t="shared" ca="1" si="26"/>
        <v>7.222161834720324E-2</v>
      </c>
      <c r="C1686" s="10">
        <f ca="1">NPV(B1686,Project_FCF!C18:J18)+Project_FCF!B18</f>
        <v>1005.8756876051941</v>
      </c>
      <c r="D1686" s="4"/>
      <c r="E1686" s="4"/>
    </row>
    <row r="1687" spans="1:5" x14ac:dyDescent="0.3">
      <c r="A1687" s="9">
        <v>1679</v>
      </c>
      <c r="B1687" s="10">
        <f t="shared" ca="1" si="26"/>
        <v>9.6074710792010798E-2</v>
      </c>
      <c r="C1687" s="10">
        <f ca="1">NPV(B1687,Project_FCF!C18:J18)+Project_FCF!B18</f>
        <v>811.3013705124672</v>
      </c>
      <c r="D1687" s="4"/>
      <c r="E1687" s="4"/>
    </row>
    <row r="1688" spans="1:5" x14ac:dyDescent="0.3">
      <c r="A1688" s="9">
        <v>1680</v>
      </c>
      <c r="B1688" s="10">
        <f t="shared" ca="1" si="26"/>
        <v>7.6999081948955453E-2</v>
      </c>
      <c r="C1688" s="10">
        <f ca="1">NPV(B1688,Project_FCF!C18:J18)+Project_FCF!B18</f>
        <v>963.9039643207941</v>
      </c>
      <c r="D1688" s="4"/>
      <c r="E1688" s="4"/>
    </row>
    <row r="1689" spans="1:5" x14ac:dyDescent="0.3">
      <c r="A1689" s="9">
        <v>1681</v>
      </c>
      <c r="B1689" s="10">
        <f t="shared" ca="1" si="26"/>
        <v>8.1195702158928462E-2</v>
      </c>
      <c r="C1689" s="10">
        <f ca="1">NPV(B1689,Project_FCF!C18:J18)+Project_FCF!B18</f>
        <v>928.33083894601964</v>
      </c>
      <c r="D1689" s="4"/>
      <c r="E1689" s="4"/>
    </row>
    <row r="1690" spans="1:5" x14ac:dyDescent="0.3">
      <c r="A1690" s="9">
        <v>1682</v>
      </c>
      <c r="B1690" s="10">
        <f t="shared" ca="1" si="26"/>
        <v>0.10212581177951771</v>
      </c>
      <c r="C1690" s="10">
        <f ca="1">NPV(B1690,Project_FCF!C18:J18)+Project_FCF!B18</f>
        <v>767.4723646496293</v>
      </c>
      <c r="D1690" s="4"/>
      <c r="E1690" s="4"/>
    </row>
    <row r="1691" spans="1:5" x14ac:dyDescent="0.3">
      <c r="A1691" s="9">
        <v>1683</v>
      </c>
      <c r="B1691" s="10">
        <f t="shared" ca="1" si="26"/>
        <v>6.7440708029557539E-2</v>
      </c>
      <c r="C1691" s="10">
        <f ca="1">NPV(B1691,Project_FCF!C18:J18)+Project_FCF!B18</f>
        <v>1049.5167443607493</v>
      </c>
      <c r="D1691" s="4"/>
      <c r="E1691" s="4"/>
    </row>
    <row r="1692" spans="1:5" x14ac:dyDescent="0.3">
      <c r="A1692" s="9">
        <v>1684</v>
      </c>
      <c r="B1692" s="10">
        <f t="shared" ca="1" si="26"/>
        <v>8.4542048161947381E-2</v>
      </c>
      <c r="C1692" s="10">
        <f ca="1">NPV(B1692,Project_FCF!C18:J18)+Project_FCF!B18</f>
        <v>900.80187356010379</v>
      </c>
      <c r="D1692" s="4"/>
      <c r="E1692" s="4"/>
    </row>
    <row r="1693" spans="1:5" x14ac:dyDescent="0.3">
      <c r="A1693" s="9">
        <v>1685</v>
      </c>
      <c r="B1693" s="10">
        <f t="shared" ca="1" si="26"/>
        <v>8.8700697587522803E-2</v>
      </c>
      <c r="C1693" s="10">
        <f ca="1">NPV(B1693,Project_FCF!C18:J18)+Project_FCF!B18</f>
        <v>867.58931255009884</v>
      </c>
      <c r="D1693" s="4"/>
      <c r="E1693" s="4"/>
    </row>
    <row r="1694" spans="1:5" x14ac:dyDescent="0.3">
      <c r="A1694" s="9">
        <v>1686</v>
      </c>
      <c r="B1694" s="10">
        <f t="shared" ca="1" si="26"/>
        <v>9.4041048767676327E-2</v>
      </c>
      <c r="C1694" s="10">
        <f ca="1">NPV(B1694,Project_FCF!C18:J18)+Project_FCF!B18</f>
        <v>826.50169114773053</v>
      </c>
      <c r="D1694" s="4"/>
      <c r="E1694" s="4"/>
    </row>
    <row r="1695" spans="1:5" x14ac:dyDescent="0.3">
      <c r="A1695" s="9">
        <v>1687</v>
      </c>
      <c r="B1695" s="10">
        <f t="shared" ca="1" si="26"/>
        <v>6.6175590552944724E-2</v>
      </c>
      <c r="C1695" s="10">
        <f ca="1">NPV(B1695,Project_FCF!C18:J18)+Project_FCF!B18</f>
        <v>1061.3484703064337</v>
      </c>
      <c r="D1695" s="4"/>
      <c r="E1695" s="4"/>
    </row>
    <row r="1696" spans="1:5" x14ac:dyDescent="0.3">
      <c r="A1696" s="9">
        <v>1688</v>
      </c>
      <c r="B1696" s="10">
        <f t="shared" ca="1" si="26"/>
        <v>7.7746099783598172E-2</v>
      </c>
      <c r="C1696" s="10">
        <f ca="1">NPV(B1696,Project_FCF!C18:J18)+Project_FCF!B18</f>
        <v>957.48460261450532</v>
      </c>
      <c r="D1696" s="4"/>
      <c r="E1696" s="4"/>
    </row>
    <row r="1697" spans="1:5" x14ac:dyDescent="0.3">
      <c r="A1697" s="9">
        <v>1689</v>
      </c>
      <c r="B1697" s="10">
        <f t="shared" ca="1" si="26"/>
        <v>8.6407860200933162E-2</v>
      </c>
      <c r="C1697" s="10">
        <f ca="1">NPV(B1697,Project_FCF!C18:J18)+Project_FCF!B18</f>
        <v>885.76600082730647</v>
      </c>
      <c r="D1697" s="4"/>
      <c r="E1697" s="4"/>
    </row>
    <row r="1698" spans="1:5" x14ac:dyDescent="0.3">
      <c r="A1698" s="9">
        <v>1690</v>
      </c>
      <c r="B1698" s="10">
        <f t="shared" ca="1" si="26"/>
        <v>8.0315811823220368E-2</v>
      </c>
      <c r="C1698" s="10">
        <f ca="1">NPV(B1698,Project_FCF!C18:J18)+Project_FCF!B18</f>
        <v>935.69135815979553</v>
      </c>
      <c r="D1698" s="4"/>
      <c r="E1698" s="4"/>
    </row>
    <row r="1699" spans="1:5" x14ac:dyDescent="0.3">
      <c r="A1699" s="9">
        <v>1691</v>
      </c>
      <c r="B1699" s="10">
        <f t="shared" ca="1" si="26"/>
        <v>9.870902979634387E-2</v>
      </c>
      <c r="C1699" s="10">
        <f ca="1">NPV(B1699,Project_FCF!C18:J18)+Project_FCF!B18</f>
        <v>791.9667437982323</v>
      </c>
      <c r="D1699" s="4"/>
      <c r="E1699" s="4"/>
    </row>
    <row r="1700" spans="1:5" x14ac:dyDescent="0.3">
      <c r="A1700" s="9">
        <v>1692</v>
      </c>
      <c r="B1700" s="10">
        <f t="shared" ca="1" si="26"/>
        <v>6.9721434846176822E-2</v>
      </c>
      <c r="C1700" s="10">
        <f ca="1">NPV(B1700,Project_FCF!C18:J18)+Project_FCF!B18</f>
        <v>1028.4887696048083</v>
      </c>
      <c r="D1700" s="4"/>
      <c r="E1700" s="4"/>
    </row>
    <row r="1701" spans="1:5" x14ac:dyDescent="0.3">
      <c r="A1701" s="9">
        <v>1693</v>
      </c>
      <c r="B1701" s="10">
        <f t="shared" ca="1" si="26"/>
        <v>7.8541389579277171E-2</v>
      </c>
      <c r="C1701" s="10">
        <f ca="1">NPV(B1701,Project_FCF!C18:J18)+Project_FCF!B18</f>
        <v>950.69225365331363</v>
      </c>
      <c r="D1701" s="4"/>
      <c r="E1701" s="4"/>
    </row>
    <row r="1702" spans="1:5" x14ac:dyDescent="0.3">
      <c r="A1702" s="9">
        <v>1694</v>
      </c>
      <c r="B1702" s="10">
        <f t="shared" ca="1" si="26"/>
        <v>9.4346851233626988E-2</v>
      </c>
      <c r="C1702" s="10">
        <f ca="1">NPV(B1702,Project_FCF!C18:J18)+Project_FCF!B18</f>
        <v>824.2005521802123</v>
      </c>
      <c r="D1702" s="4"/>
      <c r="E1702" s="4"/>
    </row>
    <row r="1703" spans="1:5" x14ac:dyDescent="0.3">
      <c r="A1703" s="9">
        <v>1695</v>
      </c>
      <c r="B1703" s="10">
        <f t="shared" ca="1" si="26"/>
        <v>9.2978765888073259E-2</v>
      </c>
      <c r="C1703" s="10">
        <f ca="1">NPV(B1703,Project_FCF!C18:J18)+Project_FCF!B18</f>
        <v>834.53820268799905</v>
      </c>
      <c r="D1703" s="4"/>
      <c r="E1703" s="4"/>
    </row>
    <row r="1704" spans="1:5" x14ac:dyDescent="0.3">
      <c r="A1704" s="9">
        <v>1696</v>
      </c>
      <c r="B1704" s="10">
        <f t="shared" ca="1" si="26"/>
        <v>8.8950128115316121E-2</v>
      </c>
      <c r="C1704" s="10">
        <f ca="1">NPV(B1704,Project_FCF!C18:J18)+Project_FCF!B18</f>
        <v>865.63164534712496</v>
      </c>
      <c r="D1704" s="4"/>
      <c r="E1704" s="4"/>
    </row>
    <row r="1705" spans="1:5" x14ac:dyDescent="0.3">
      <c r="A1705" s="9">
        <v>1697</v>
      </c>
      <c r="B1705" s="10">
        <f t="shared" ca="1" si="26"/>
        <v>9.9116202127774666E-2</v>
      </c>
      <c r="C1705" s="10">
        <f ca="1">NPV(B1705,Project_FCF!C18:J18)+Project_FCF!B18</f>
        <v>789.01353573712595</v>
      </c>
      <c r="D1705" s="4"/>
      <c r="E1705" s="4"/>
    </row>
    <row r="1706" spans="1:5" x14ac:dyDescent="0.3">
      <c r="A1706" s="9">
        <v>1698</v>
      </c>
      <c r="B1706" s="10">
        <f t="shared" ca="1" si="26"/>
        <v>9.271926453824697E-2</v>
      </c>
      <c r="C1706" s="10">
        <f ca="1">NPV(B1706,Project_FCF!C18:J18)+Project_FCF!B18</f>
        <v>836.51159244311702</v>
      </c>
      <c r="D1706" s="4"/>
      <c r="E1706" s="4"/>
    </row>
    <row r="1707" spans="1:5" x14ac:dyDescent="0.3">
      <c r="A1707" s="9">
        <v>1699</v>
      </c>
      <c r="B1707" s="10">
        <f t="shared" ca="1" si="26"/>
        <v>7.6253838843425098E-2</v>
      </c>
      <c r="C1707" s="10">
        <f ca="1">NPV(B1707,Project_FCF!C18:J18)+Project_FCF!B18</f>
        <v>970.34626282396971</v>
      </c>
      <c r="D1707" s="4"/>
      <c r="E1707" s="4"/>
    </row>
    <row r="1708" spans="1:5" x14ac:dyDescent="0.3">
      <c r="A1708" s="9">
        <v>1700</v>
      </c>
      <c r="B1708" s="10">
        <f t="shared" ca="1" si="26"/>
        <v>0.10009080476656501</v>
      </c>
      <c r="C1708" s="10">
        <f ca="1">NPV(B1708,Project_FCF!C18:J18)+Project_FCF!B18</f>
        <v>781.98264163398812</v>
      </c>
      <c r="D1708" s="4"/>
      <c r="E1708" s="4"/>
    </row>
    <row r="1709" spans="1:5" x14ac:dyDescent="0.3">
      <c r="A1709" s="9">
        <v>1701</v>
      </c>
      <c r="B1709" s="10">
        <f t="shared" ca="1" si="26"/>
        <v>7.3642732037147718E-2</v>
      </c>
      <c r="C1709" s="10">
        <f ca="1">NPV(B1709,Project_FCF!C18:J18)+Project_FCF!B18</f>
        <v>993.22282551611966</v>
      </c>
      <c r="D1709" s="4"/>
      <c r="E1709" s="4"/>
    </row>
    <row r="1710" spans="1:5" x14ac:dyDescent="0.3">
      <c r="A1710" s="9">
        <v>1702</v>
      </c>
      <c r="B1710" s="10">
        <f t="shared" ca="1" si="26"/>
        <v>0.10011415773873557</v>
      </c>
      <c r="C1710" s="10">
        <f ca="1">NPV(B1710,Project_FCF!C18:J18)+Project_FCF!B18</f>
        <v>781.814823259577</v>
      </c>
      <c r="D1710" s="4"/>
      <c r="E1710" s="4"/>
    </row>
    <row r="1711" spans="1:5" x14ac:dyDescent="0.3">
      <c r="A1711" s="9">
        <v>1703</v>
      </c>
      <c r="B1711" s="10">
        <f t="shared" ca="1" si="26"/>
        <v>6.7465536376002874E-2</v>
      </c>
      <c r="C1711" s="10">
        <f ca="1">NPV(B1711,Project_FCF!C18:J18)+Project_FCF!B18</f>
        <v>1049.2857471168581</v>
      </c>
      <c r="D1711" s="4"/>
      <c r="E1711" s="4"/>
    </row>
    <row r="1712" spans="1:5" x14ac:dyDescent="0.3">
      <c r="A1712" s="9">
        <v>1704</v>
      </c>
      <c r="B1712" s="10">
        <f t="shared" ca="1" si="26"/>
        <v>9.9414812095042854E-2</v>
      </c>
      <c r="C1712" s="10">
        <f ca="1">NPV(B1712,Project_FCF!C18:J18)+Project_FCF!B18</f>
        <v>786.85366519489412</v>
      </c>
      <c r="D1712" s="4"/>
      <c r="E1712" s="4"/>
    </row>
    <row r="1713" spans="1:5" x14ac:dyDescent="0.3">
      <c r="A1713" s="9">
        <v>1705</v>
      </c>
      <c r="B1713" s="10">
        <f t="shared" ca="1" si="26"/>
        <v>7.3551188878385881E-2</v>
      </c>
      <c r="C1713" s="10">
        <f ca="1">NPV(B1713,Project_FCF!C18:J18)+Project_FCF!B18</f>
        <v>994.0335500327767</v>
      </c>
      <c r="D1713" s="4"/>
      <c r="E1713" s="4"/>
    </row>
    <row r="1714" spans="1:5" x14ac:dyDescent="0.3">
      <c r="A1714" s="9">
        <v>1706</v>
      </c>
      <c r="B1714" s="10">
        <f t="shared" ca="1" si="26"/>
        <v>9.9387103183753156E-2</v>
      </c>
      <c r="C1714" s="10">
        <f ca="1">NPV(B1714,Project_FCF!C18:J18)+Project_FCF!B18</f>
        <v>787.05387496381172</v>
      </c>
      <c r="D1714" s="4"/>
      <c r="E1714" s="4"/>
    </row>
    <row r="1715" spans="1:5" x14ac:dyDescent="0.3">
      <c r="A1715" s="9">
        <v>1707</v>
      </c>
      <c r="B1715" s="10">
        <f t="shared" ca="1" si="26"/>
        <v>9.7806716957609785E-2</v>
      </c>
      <c r="C1715" s="10">
        <f ca="1">NPV(B1715,Project_FCF!C18:J18)+Project_FCF!B18</f>
        <v>798.54464030289455</v>
      </c>
      <c r="D1715" s="4"/>
      <c r="E1715" s="4"/>
    </row>
    <row r="1716" spans="1:5" x14ac:dyDescent="0.3">
      <c r="A1716" s="9">
        <v>1708</v>
      </c>
      <c r="B1716" s="10">
        <f t="shared" ca="1" si="26"/>
        <v>7.8801705514241774E-2</v>
      </c>
      <c r="C1716" s="10">
        <f ca="1">NPV(B1716,Project_FCF!C18:J18)+Project_FCF!B18</f>
        <v>948.47828778307121</v>
      </c>
      <c r="D1716" s="4"/>
      <c r="E1716" s="4"/>
    </row>
    <row r="1717" spans="1:5" x14ac:dyDescent="0.3">
      <c r="A1717" s="9">
        <v>1709</v>
      </c>
      <c r="B1717" s="10">
        <f t="shared" ca="1" si="26"/>
        <v>0.10258043532041174</v>
      </c>
      <c r="C1717" s="10">
        <f ca="1">NPV(B1717,Project_FCF!C18:J18)+Project_FCF!B18</f>
        <v>764.26193536193273</v>
      </c>
      <c r="D1717" s="4"/>
      <c r="E1717" s="4"/>
    </row>
    <row r="1718" spans="1:5" x14ac:dyDescent="0.3">
      <c r="A1718" s="9">
        <v>1710</v>
      </c>
      <c r="B1718" s="10">
        <f t="shared" ca="1" si="26"/>
        <v>8.9597830560981792E-2</v>
      </c>
      <c r="C1718" s="10">
        <f ca="1">NPV(B1718,Project_FCF!C18:J18)+Project_FCF!B18</f>
        <v>860.56601875968886</v>
      </c>
      <c r="D1718" s="4"/>
      <c r="E1718" s="4"/>
    </row>
    <row r="1719" spans="1:5" x14ac:dyDescent="0.3">
      <c r="A1719" s="9">
        <v>1711</v>
      </c>
      <c r="B1719" s="10">
        <f t="shared" ca="1" si="26"/>
        <v>6.8896036544231626E-2</v>
      </c>
      <c r="C1719" s="10">
        <f ca="1">NPV(B1719,Project_FCF!C18:J18)+Project_FCF!B18</f>
        <v>1036.0543354758088</v>
      </c>
      <c r="D1719" s="4"/>
      <c r="E1719" s="4"/>
    </row>
    <row r="1720" spans="1:5" x14ac:dyDescent="0.3">
      <c r="A1720" s="9">
        <v>1712</v>
      </c>
      <c r="B1720" s="10">
        <f t="shared" ca="1" si="26"/>
        <v>7.8646929582033329E-2</v>
      </c>
      <c r="C1720" s="10">
        <f ca="1">NPV(B1720,Project_FCF!C18:J18)+Project_FCF!B18</f>
        <v>949.79409197241171</v>
      </c>
      <c r="D1720" s="4"/>
      <c r="E1720" s="4"/>
    </row>
    <row r="1721" spans="1:5" x14ac:dyDescent="0.3">
      <c r="A1721" s="9">
        <v>1713</v>
      </c>
      <c r="B1721" s="10">
        <f t="shared" ca="1" si="26"/>
        <v>9.9150768935528544E-2</v>
      </c>
      <c r="C1721" s="10">
        <f ca="1">NPV(B1721,Project_FCF!C18:J18)+Project_FCF!B18</f>
        <v>788.76325433597594</v>
      </c>
      <c r="D1721" s="4"/>
      <c r="E1721" s="4"/>
    </row>
    <row r="1722" spans="1:5" x14ac:dyDescent="0.3">
      <c r="A1722" s="9">
        <v>1714</v>
      </c>
      <c r="B1722" s="10">
        <f t="shared" ca="1" si="26"/>
        <v>7.9704925538989516E-2</v>
      </c>
      <c r="C1722" s="10">
        <f ca="1">NPV(B1722,Project_FCF!C18:J18)+Project_FCF!B18</f>
        <v>940.83190961000378</v>
      </c>
      <c r="D1722" s="4"/>
      <c r="E1722" s="4"/>
    </row>
    <row r="1723" spans="1:5" x14ac:dyDescent="0.3">
      <c r="A1723" s="9">
        <v>1715</v>
      </c>
      <c r="B1723" s="10">
        <f t="shared" ca="1" si="26"/>
        <v>8.728472869168255E-2</v>
      </c>
      <c r="C1723" s="10">
        <f ca="1">NPV(B1723,Project_FCF!C18:J18)+Project_FCF!B18</f>
        <v>878.7757426911478</v>
      </c>
      <c r="D1723" s="4"/>
      <c r="E1723" s="4"/>
    </row>
    <row r="1724" spans="1:5" x14ac:dyDescent="0.3">
      <c r="A1724" s="9">
        <v>1716</v>
      </c>
      <c r="B1724" s="10">
        <f t="shared" ca="1" si="26"/>
        <v>7.0518771257550933E-2</v>
      </c>
      <c r="C1724" s="10">
        <f ca="1">NPV(B1724,Project_FCF!C18:J18)+Project_FCF!B18</f>
        <v>1021.2278901602001</v>
      </c>
      <c r="D1724" s="4"/>
      <c r="E1724" s="4"/>
    </row>
    <row r="1725" spans="1:5" x14ac:dyDescent="0.3">
      <c r="A1725" s="9">
        <v>1717</v>
      </c>
      <c r="B1725" s="10">
        <f t="shared" ca="1" si="26"/>
        <v>7.6857935600479682E-2</v>
      </c>
      <c r="C1725" s="10">
        <f ca="1">NPV(B1725,Project_FCF!C18:J18)+Project_FCF!B18</f>
        <v>965.1211766026754</v>
      </c>
      <c r="D1725" s="4"/>
      <c r="E1725" s="4"/>
    </row>
    <row r="1726" spans="1:5" x14ac:dyDescent="0.3">
      <c r="A1726" s="9">
        <v>1718</v>
      </c>
      <c r="B1726" s="10">
        <f t="shared" ca="1" si="26"/>
        <v>9.5419041865167475E-2</v>
      </c>
      <c r="C1726" s="10">
        <f ca="1">NPV(B1726,Project_FCF!C18:J18)+Project_FCF!B18</f>
        <v>816.17572133281055</v>
      </c>
      <c r="D1726" s="4"/>
      <c r="E1726" s="4"/>
    </row>
    <row r="1727" spans="1:5" x14ac:dyDescent="0.3">
      <c r="A1727" s="9">
        <v>1719</v>
      </c>
      <c r="B1727" s="10">
        <f t="shared" ca="1" si="26"/>
        <v>9.4591159116198725E-2</v>
      </c>
      <c r="C1727" s="10">
        <f ca="1">NPV(B1727,Project_FCF!C18:J18)+Project_FCF!B18</f>
        <v>822.36610500169104</v>
      </c>
      <c r="D1727" s="4"/>
      <c r="E1727" s="4"/>
    </row>
    <row r="1728" spans="1:5" x14ac:dyDescent="0.3">
      <c r="A1728" s="9">
        <v>1720</v>
      </c>
      <c r="B1728" s="10">
        <f t="shared" ca="1" si="26"/>
        <v>9.8422098505937722E-2</v>
      </c>
      <c r="C1728" s="10">
        <f ca="1">NPV(B1728,Project_FCF!C18:J18)+Project_FCF!B18</f>
        <v>794.0534753287377</v>
      </c>
      <c r="D1728" s="4"/>
      <c r="E1728" s="4"/>
    </row>
    <row r="1729" spans="1:5" x14ac:dyDescent="0.3">
      <c r="A1729" s="9">
        <v>1721</v>
      </c>
      <c r="B1729" s="10">
        <f t="shared" ca="1" si="26"/>
        <v>6.5255188721889165E-2</v>
      </c>
      <c r="C1729" s="10">
        <f ca="1">NPV(B1729,Project_FCF!C18:J18)+Project_FCF!B18</f>
        <v>1070.0324703434219</v>
      </c>
      <c r="D1729" s="4"/>
      <c r="E1729" s="4"/>
    </row>
    <row r="1730" spans="1:5" x14ac:dyDescent="0.3">
      <c r="A1730" s="9">
        <v>1722</v>
      </c>
      <c r="B1730" s="10">
        <f t="shared" ca="1" si="26"/>
        <v>8.3342632084227264E-2</v>
      </c>
      <c r="C1730" s="10">
        <f ca="1">NPV(B1730,Project_FCF!C18:J18)+Project_FCF!B18</f>
        <v>910.58521847968586</v>
      </c>
      <c r="D1730" s="4"/>
      <c r="E1730" s="4"/>
    </row>
    <row r="1731" spans="1:5" x14ac:dyDescent="0.3">
      <c r="A1731" s="9">
        <v>1723</v>
      </c>
      <c r="B1731" s="10">
        <f t="shared" ca="1" si="26"/>
        <v>7.5088607628574208E-2</v>
      </c>
      <c r="C1731" s="10">
        <f ca="1">NPV(B1731,Project_FCF!C18:J18)+Project_FCF!B18</f>
        <v>980.49623205473608</v>
      </c>
      <c r="D1731" s="4"/>
      <c r="E1731" s="4"/>
    </row>
    <row r="1732" spans="1:5" x14ac:dyDescent="0.3">
      <c r="A1732" s="9">
        <v>1724</v>
      </c>
      <c r="B1732" s="10">
        <f t="shared" ca="1" si="26"/>
        <v>9.7837669348616874E-2</v>
      </c>
      <c r="C1732" s="10">
        <f ca="1">NPV(B1732,Project_FCF!C18:J18)+Project_FCF!B18</f>
        <v>798.31822971365227</v>
      </c>
      <c r="D1732" s="4"/>
      <c r="E1732" s="4"/>
    </row>
    <row r="1733" spans="1:5" x14ac:dyDescent="0.3">
      <c r="A1733" s="9">
        <v>1725</v>
      </c>
      <c r="B1733" s="10">
        <f t="shared" ca="1" si="26"/>
        <v>9.525666471176919E-2</v>
      </c>
      <c r="C1733" s="10">
        <f ca="1">NPV(B1733,Project_FCF!C18:J18)+Project_FCF!B18</f>
        <v>817.38672044301939</v>
      </c>
      <c r="D1733" s="4"/>
      <c r="E1733" s="4"/>
    </row>
    <row r="1734" spans="1:5" x14ac:dyDescent="0.3">
      <c r="A1734" s="9">
        <v>1726</v>
      </c>
      <c r="B1734" s="10">
        <f t="shared" ca="1" si="26"/>
        <v>9.1959114110995943E-2</v>
      </c>
      <c r="C1734" s="10">
        <f ca="1">NPV(B1734,Project_FCF!C18:J18)+Project_FCF!B18</f>
        <v>842.31533408158498</v>
      </c>
      <c r="D1734" s="4"/>
      <c r="E1734" s="4"/>
    </row>
    <row r="1735" spans="1:5" x14ac:dyDescent="0.3">
      <c r="A1735" s="9">
        <v>1727</v>
      </c>
      <c r="B1735" s="10">
        <f t="shared" ca="1" si="26"/>
        <v>6.6116602092702814E-2</v>
      </c>
      <c r="C1735" s="10">
        <f ca="1">NPV(B1735,Project_FCF!C18:J18)+Project_FCF!B18</f>
        <v>1061.9030956204085</v>
      </c>
      <c r="D1735" s="4"/>
      <c r="E1735" s="4"/>
    </row>
    <row r="1736" spans="1:5" x14ac:dyDescent="0.3">
      <c r="A1736" s="9">
        <v>1728</v>
      </c>
      <c r="B1736" s="10">
        <f t="shared" ca="1" si="26"/>
        <v>9.5068726729313255E-2</v>
      </c>
      <c r="C1736" s="10">
        <f ca="1">NPV(B1736,Project_FCF!C18:J18)+Project_FCF!B18</f>
        <v>818.79026988942655</v>
      </c>
      <c r="D1736" s="4"/>
      <c r="E1736" s="4"/>
    </row>
    <row r="1737" spans="1:5" x14ac:dyDescent="0.3">
      <c r="A1737" s="9">
        <v>1729</v>
      </c>
      <c r="B1737" s="10">
        <f t="shared" ref="B1737:B1800" ca="1" si="27">$B$4+RAND()*($B$5-$B$4)</f>
        <v>8.6811825917044005E-2</v>
      </c>
      <c r="C1737" s="10">
        <f ca="1">NPV(B1737,Project_FCF!C18:J18)+Project_FCF!B18</f>
        <v>882.53964606652266</v>
      </c>
      <c r="D1737" s="4"/>
      <c r="E1737" s="4"/>
    </row>
    <row r="1738" spans="1:5" x14ac:dyDescent="0.3">
      <c r="A1738" s="9">
        <v>1730</v>
      </c>
      <c r="B1738" s="10">
        <f t="shared" ca="1" si="27"/>
        <v>8.3120830275113841E-2</v>
      </c>
      <c r="C1738" s="10">
        <f ca="1">NPV(B1738,Project_FCF!C18:J18)+Project_FCF!B18</f>
        <v>912.4045938641741</v>
      </c>
      <c r="D1738" s="4"/>
      <c r="E1738" s="4"/>
    </row>
    <row r="1739" spans="1:5" x14ac:dyDescent="0.3">
      <c r="A1739" s="9">
        <v>1731</v>
      </c>
      <c r="B1739" s="10">
        <f t="shared" ca="1" si="27"/>
        <v>7.1197300110643319E-2</v>
      </c>
      <c r="C1739" s="10">
        <f ca="1">NPV(B1739,Project_FCF!C18:J18)+Project_FCF!B18</f>
        <v>1015.0854082387307</v>
      </c>
      <c r="D1739" s="4"/>
      <c r="E1739" s="4"/>
    </row>
    <row r="1740" spans="1:5" x14ac:dyDescent="0.3">
      <c r="A1740" s="9">
        <v>1732</v>
      </c>
      <c r="B1740" s="10">
        <f t="shared" ca="1" si="27"/>
        <v>6.537297416181162E-2</v>
      </c>
      <c r="C1740" s="10">
        <f ca="1">NPV(B1740,Project_FCF!C18:J18)+Project_FCF!B18</f>
        <v>1068.9175621868603</v>
      </c>
      <c r="D1740" s="4"/>
      <c r="E1740" s="4"/>
    </row>
    <row r="1741" spans="1:5" x14ac:dyDescent="0.3">
      <c r="A1741" s="9">
        <v>1733</v>
      </c>
      <c r="B1741" s="10">
        <f t="shared" ca="1" si="27"/>
        <v>8.8969273579577624E-2</v>
      </c>
      <c r="C1741" s="10">
        <f ca="1">NPV(B1741,Project_FCF!C18:J18)+Project_FCF!B18</f>
        <v>865.48153993749975</v>
      </c>
      <c r="D1741" s="4"/>
      <c r="E1741" s="4"/>
    </row>
    <row r="1742" spans="1:5" x14ac:dyDescent="0.3">
      <c r="A1742" s="9">
        <v>1734</v>
      </c>
      <c r="B1742" s="10">
        <f t="shared" ca="1" si="27"/>
        <v>9.5666309320507209E-2</v>
      </c>
      <c r="C1742" s="10">
        <f ca="1">NPV(B1742,Project_FCF!C18:J18)+Project_FCF!B18</f>
        <v>814.33456290722074</v>
      </c>
      <c r="D1742" s="4"/>
      <c r="E1742" s="4"/>
    </row>
    <row r="1743" spans="1:5" x14ac:dyDescent="0.3">
      <c r="A1743" s="9">
        <v>1735</v>
      </c>
      <c r="B1743" s="10">
        <f t="shared" ca="1" si="27"/>
        <v>8.4484112959955615E-2</v>
      </c>
      <c r="C1743" s="10">
        <f ca="1">NPV(B1743,Project_FCF!C18:J18)+Project_FCF!B18</f>
        <v>901.27230743212317</v>
      </c>
      <c r="D1743" s="4"/>
      <c r="E1743" s="4"/>
    </row>
    <row r="1744" spans="1:5" x14ac:dyDescent="0.3">
      <c r="A1744" s="9">
        <v>1736</v>
      </c>
      <c r="B1744" s="10">
        <f t="shared" ca="1" si="27"/>
        <v>9.0113003855944895E-2</v>
      </c>
      <c r="C1744" s="10">
        <f ca="1">NPV(B1744,Project_FCF!C18:J18)+Project_FCF!B18</f>
        <v>856.55526508822504</v>
      </c>
      <c r="D1744" s="4"/>
      <c r="E1744" s="4"/>
    </row>
    <row r="1745" spans="1:5" x14ac:dyDescent="0.3">
      <c r="A1745" s="9">
        <v>1737</v>
      </c>
      <c r="B1745" s="10">
        <f t="shared" ca="1" si="27"/>
        <v>9.233816460216307E-2</v>
      </c>
      <c r="C1745" s="10">
        <f ca="1">NPV(B1745,Project_FCF!C18:J18)+Project_FCF!B18</f>
        <v>839.41696548522964</v>
      </c>
      <c r="D1745" s="4"/>
      <c r="E1745" s="4"/>
    </row>
    <row r="1746" spans="1:5" x14ac:dyDescent="0.3">
      <c r="A1746" s="9">
        <v>1738</v>
      </c>
      <c r="B1746" s="10">
        <f t="shared" ca="1" si="27"/>
        <v>7.632615345182453E-2</v>
      </c>
      <c r="C1746" s="10">
        <f ca="1">NPV(B1746,Project_FCF!C18:J18)+Project_FCF!B18</f>
        <v>969.71945670695095</v>
      </c>
      <c r="D1746" s="4"/>
      <c r="E1746" s="4"/>
    </row>
    <row r="1747" spans="1:5" x14ac:dyDescent="0.3">
      <c r="A1747" s="9">
        <v>1739</v>
      </c>
      <c r="B1747" s="10">
        <f t="shared" ca="1" si="27"/>
        <v>0.1012391256814229</v>
      </c>
      <c r="C1747" s="10">
        <f ca="1">NPV(B1747,Project_FCF!C18:J18)+Project_FCF!B18</f>
        <v>773.76656419111123</v>
      </c>
      <c r="D1747" s="4"/>
      <c r="E1747" s="4"/>
    </row>
    <row r="1748" spans="1:5" x14ac:dyDescent="0.3">
      <c r="A1748" s="9">
        <v>1740</v>
      </c>
      <c r="B1748" s="10">
        <f t="shared" ca="1" si="27"/>
        <v>6.8169820468231709E-2</v>
      </c>
      <c r="C1748" s="10">
        <f ca="1">NPV(B1748,Project_FCF!C18:J18)+Project_FCF!B18</f>
        <v>1042.7524406818095</v>
      </c>
      <c r="D1748" s="4"/>
      <c r="E1748" s="4"/>
    </row>
    <row r="1749" spans="1:5" x14ac:dyDescent="0.3">
      <c r="A1749" s="9">
        <v>1741</v>
      </c>
      <c r="B1749" s="10">
        <f t="shared" ca="1" si="27"/>
        <v>6.6888934768848857E-2</v>
      </c>
      <c r="C1749" s="10">
        <f ca="1">NPV(B1749,Project_FCF!C18:J18)+Project_FCF!B18</f>
        <v>1054.6622532692668</v>
      </c>
      <c r="D1749" s="4"/>
      <c r="E1749" s="4"/>
    </row>
    <row r="1750" spans="1:5" x14ac:dyDescent="0.3">
      <c r="A1750" s="9">
        <v>1742</v>
      </c>
      <c r="B1750" s="10">
        <f t="shared" ca="1" si="27"/>
        <v>0.10357254825715334</v>
      </c>
      <c r="C1750" s="10">
        <f ca="1">NPV(B1750,Project_FCF!C18:J18)+Project_FCF!B18</f>
        <v>757.29504682749803</v>
      </c>
      <c r="D1750" s="4"/>
      <c r="E1750" s="4"/>
    </row>
    <row r="1751" spans="1:5" x14ac:dyDescent="0.3">
      <c r="A1751" s="9">
        <v>1743</v>
      </c>
      <c r="B1751" s="10">
        <f t="shared" ca="1" si="27"/>
        <v>7.5643511703434446E-2</v>
      </c>
      <c r="C1751" s="10">
        <f ca="1">NPV(B1751,Project_FCF!C18:J18)+Project_FCF!B18</f>
        <v>975.65086272527151</v>
      </c>
      <c r="D1751" s="4"/>
      <c r="E1751" s="4"/>
    </row>
    <row r="1752" spans="1:5" x14ac:dyDescent="0.3">
      <c r="A1752" s="9">
        <v>1744</v>
      </c>
      <c r="B1752" s="10">
        <f t="shared" ca="1" si="27"/>
        <v>9.3409102952330958E-2</v>
      </c>
      <c r="C1752" s="10">
        <f ca="1">NPV(B1752,Project_FCF!C18:J18)+Project_FCF!B18</f>
        <v>831.2745109020475</v>
      </c>
      <c r="D1752" s="4"/>
      <c r="E1752" s="4"/>
    </row>
    <row r="1753" spans="1:5" x14ac:dyDescent="0.3">
      <c r="A1753" s="9">
        <v>1745</v>
      </c>
      <c r="B1753" s="10">
        <f t="shared" ca="1" si="27"/>
        <v>7.6789806065402741E-2</v>
      </c>
      <c r="C1753" s="10">
        <f ca="1">NPV(B1753,Project_FCF!C18:J18)+Project_FCF!B18</f>
        <v>965.70919949603172</v>
      </c>
      <c r="D1753" s="4"/>
      <c r="E1753" s="4"/>
    </row>
    <row r="1754" spans="1:5" x14ac:dyDescent="0.3">
      <c r="A1754" s="9">
        <v>1746</v>
      </c>
      <c r="B1754" s="10">
        <f t="shared" ca="1" si="27"/>
        <v>6.5651125727772222E-2</v>
      </c>
      <c r="C1754" s="10">
        <f ca="1">NPV(B1754,Project_FCF!C18:J18)+Project_FCF!B18</f>
        <v>1066.2888969349765</v>
      </c>
      <c r="D1754" s="4"/>
      <c r="E1754" s="4"/>
    </row>
    <row r="1755" spans="1:5" x14ac:dyDescent="0.3">
      <c r="A1755" s="9">
        <v>1747</v>
      </c>
      <c r="B1755" s="10">
        <f t="shared" ca="1" si="27"/>
        <v>6.7294416038489693E-2</v>
      </c>
      <c r="C1755" s="10">
        <f ca="1">NPV(B1755,Project_FCF!C18:J18)+Project_FCF!B18</f>
        <v>1050.8787495971756</v>
      </c>
      <c r="D1755" s="4"/>
      <c r="E1755" s="4"/>
    </row>
    <row r="1756" spans="1:5" x14ac:dyDescent="0.3">
      <c r="A1756" s="9">
        <v>1748</v>
      </c>
      <c r="B1756" s="10">
        <f t="shared" ca="1" si="27"/>
        <v>8.2699045518483644E-2</v>
      </c>
      <c r="C1756" s="10">
        <f ca="1">NPV(B1756,Project_FCF!C18:J18)+Project_FCF!B18</f>
        <v>915.87319625170608</v>
      </c>
      <c r="D1756" s="4"/>
      <c r="E1756" s="4"/>
    </row>
    <row r="1757" spans="1:5" x14ac:dyDescent="0.3">
      <c r="A1757" s="9">
        <v>1749</v>
      </c>
      <c r="B1757" s="10">
        <f t="shared" ca="1" si="27"/>
        <v>0.10302951476307751</v>
      </c>
      <c r="C1757" s="10">
        <f ca="1">NPV(B1757,Project_FCF!C18:J18)+Project_FCF!B18</f>
        <v>761.10174323011915</v>
      </c>
      <c r="D1757" s="4"/>
      <c r="E1757" s="4"/>
    </row>
    <row r="1758" spans="1:5" x14ac:dyDescent="0.3">
      <c r="A1758" s="9">
        <v>1750</v>
      </c>
      <c r="B1758" s="10">
        <f t="shared" ca="1" si="27"/>
        <v>9.3501894735542671E-2</v>
      </c>
      <c r="C1758" s="10">
        <f ca="1">NPV(B1758,Project_FCF!C18:J18)+Project_FCF!B18</f>
        <v>830.57221450594852</v>
      </c>
      <c r="D1758" s="4"/>
      <c r="E1758" s="4"/>
    </row>
    <row r="1759" spans="1:5" x14ac:dyDescent="0.3">
      <c r="A1759" s="9">
        <v>1751</v>
      </c>
      <c r="B1759" s="10">
        <f t="shared" ca="1" si="27"/>
        <v>9.3519812644909481E-2</v>
      </c>
      <c r="C1759" s="10">
        <f ca="1">NPV(B1759,Project_FCF!C18:J18)+Project_FCF!B18</f>
        <v>830.43666120875605</v>
      </c>
      <c r="D1759" s="4"/>
      <c r="E1759" s="4"/>
    </row>
    <row r="1760" spans="1:5" x14ac:dyDescent="0.3">
      <c r="A1760" s="9">
        <v>1752</v>
      </c>
      <c r="B1760" s="10">
        <f t="shared" ca="1" si="27"/>
        <v>8.6119346015416542E-2</v>
      </c>
      <c r="C1760" s="10">
        <f ca="1">NPV(B1760,Project_FCF!C18:J18)+Project_FCF!B18</f>
        <v>888.07657874953361</v>
      </c>
      <c r="D1760" s="4"/>
      <c r="E1760" s="4"/>
    </row>
    <row r="1761" spans="1:5" x14ac:dyDescent="0.3">
      <c r="A1761" s="9">
        <v>1753</v>
      </c>
      <c r="B1761" s="10">
        <f t="shared" ca="1" si="27"/>
        <v>8.4288067440642059E-2</v>
      </c>
      <c r="C1761" s="10">
        <f ca="1">NPV(B1761,Project_FCF!C18:J18)+Project_FCF!B18</f>
        <v>902.86579592278122</v>
      </c>
      <c r="D1761" s="4"/>
      <c r="E1761" s="4"/>
    </row>
    <row r="1762" spans="1:5" x14ac:dyDescent="0.3">
      <c r="A1762" s="9">
        <v>1754</v>
      </c>
      <c r="B1762" s="10">
        <f t="shared" ca="1" si="27"/>
        <v>8.3695098520191316E-2</v>
      </c>
      <c r="C1762" s="10">
        <f ca="1">NPV(B1762,Project_FCF!C18:J18)+Project_FCF!B18</f>
        <v>907.7006003550573</v>
      </c>
      <c r="D1762" s="4"/>
      <c r="E1762" s="4"/>
    </row>
    <row r="1763" spans="1:5" x14ac:dyDescent="0.3">
      <c r="A1763" s="9">
        <v>1755</v>
      </c>
      <c r="B1763" s="10">
        <f t="shared" ca="1" si="27"/>
        <v>9.9080635524448096E-2</v>
      </c>
      <c r="C1763" s="10">
        <f ca="1">NPV(B1763,Project_FCF!C18:J18)+Project_FCF!B18</f>
        <v>789.27112642970087</v>
      </c>
      <c r="D1763" s="4"/>
      <c r="E1763" s="4"/>
    </row>
    <row r="1764" spans="1:5" x14ac:dyDescent="0.3">
      <c r="A1764" s="9">
        <v>1756</v>
      </c>
      <c r="B1764" s="10">
        <f t="shared" ca="1" si="27"/>
        <v>6.506379097670327E-2</v>
      </c>
      <c r="C1764" s="10">
        <f ca="1">NPV(B1764,Project_FCF!C18:J18)+Project_FCF!B18</f>
        <v>1071.846424108948</v>
      </c>
      <c r="D1764" s="4"/>
      <c r="E1764" s="4"/>
    </row>
    <row r="1765" spans="1:5" x14ac:dyDescent="0.3">
      <c r="A1765" s="9">
        <v>1757</v>
      </c>
      <c r="B1765" s="10">
        <f t="shared" ca="1" si="27"/>
        <v>0.1025755416223206</v>
      </c>
      <c r="C1765" s="10">
        <f ca="1">NPV(B1765,Project_FCF!C18:J18)+Project_FCF!B18</f>
        <v>764.29643314193027</v>
      </c>
      <c r="D1765" s="4"/>
      <c r="E1765" s="4"/>
    </row>
    <row r="1766" spans="1:5" x14ac:dyDescent="0.3">
      <c r="A1766" s="9">
        <v>1758</v>
      </c>
      <c r="B1766" s="10">
        <f t="shared" ca="1" si="27"/>
        <v>9.2517616537441311E-2</v>
      </c>
      <c r="C1766" s="10">
        <f ca="1">NPV(B1766,Project_FCF!C18:J18)+Project_FCF!B18</f>
        <v>838.04780575574887</v>
      </c>
      <c r="D1766" s="4"/>
      <c r="E1766" s="4"/>
    </row>
    <row r="1767" spans="1:5" x14ac:dyDescent="0.3">
      <c r="A1767" s="9">
        <v>1759</v>
      </c>
      <c r="B1767" s="10">
        <f t="shared" ca="1" si="27"/>
        <v>8.7799942616393012E-2</v>
      </c>
      <c r="C1767" s="10">
        <f ca="1">NPV(B1767,Project_FCF!C18:J18)+Project_FCF!B18</f>
        <v>874.69101058867977</v>
      </c>
      <c r="D1767" s="4"/>
      <c r="E1767" s="4"/>
    </row>
    <row r="1768" spans="1:5" x14ac:dyDescent="0.3">
      <c r="A1768" s="9">
        <v>1760</v>
      </c>
      <c r="B1768" s="10">
        <f t="shared" ca="1" si="27"/>
        <v>0.10123886714538192</v>
      </c>
      <c r="C1768" s="10">
        <f ca="1">NPV(B1768,Project_FCF!C18:J18)+Project_FCF!B18</f>
        <v>773.76840574824155</v>
      </c>
      <c r="D1768" s="4"/>
      <c r="E1768" s="4"/>
    </row>
    <row r="1769" spans="1:5" x14ac:dyDescent="0.3">
      <c r="A1769" s="9">
        <v>1761</v>
      </c>
      <c r="B1769" s="10">
        <f t="shared" ca="1" si="27"/>
        <v>8.8457328639218805E-2</v>
      </c>
      <c r="C1769" s="10">
        <f ca="1">NPV(B1769,Project_FCF!C18:J18)+Project_FCF!B18</f>
        <v>869.50311151925757</v>
      </c>
      <c r="D1769" s="4"/>
      <c r="E1769" s="4"/>
    </row>
    <row r="1770" spans="1:5" x14ac:dyDescent="0.3">
      <c r="A1770" s="9">
        <v>1762</v>
      </c>
      <c r="B1770" s="10">
        <f t="shared" ca="1" si="27"/>
        <v>9.0173510025055373E-2</v>
      </c>
      <c r="C1770" s="10">
        <f ca="1">NPV(B1770,Project_FCF!C18:J18)+Project_FCF!B18</f>
        <v>856.08527373620382</v>
      </c>
      <c r="D1770" s="4"/>
      <c r="E1770" s="4"/>
    </row>
    <row r="1771" spans="1:5" x14ac:dyDescent="0.3">
      <c r="A1771" s="9">
        <v>1763</v>
      </c>
      <c r="B1771" s="10">
        <f t="shared" ca="1" si="27"/>
        <v>0.10188325433484247</v>
      </c>
      <c r="C1771" s="10">
        <f ca="1">NPV(B1771,Project_FCF!C18:J18)+Project_FCF!B18</f>
        <v>769.18987525935108</v>
      </c>
      <c r="D1771" s="4"/>
      <c r="E1771" s="4"/>
    </row>
    <row r="1772" spans="1:5" x14ac:dyDescent="0.3">
      <c r="A1772" s="9">
        <v>1764</v>
      </c>
      <c r="B1772" s="10">
        <f t="shared" ca="1" si="27"/>
        <v>0.10398822123504764</v>
      </c>
      <c r="C1772" s="10">
        <f ca="1">NPV(B1772,Project_FCF!C18:J18)+Project_FCF!B18</f>
        <v>754.39195012000255</v>
      </c>
      <c r="D1772" s="4"/>
      <c r="E1772" s="4"/>
    </row>
    <row r="1773" spans="1:5" x14ac:dyDescent="0.3">
      <c r="A1773" s="9">
        <v>1765</v>
      </c>
      <c r="B1773" s="10">
        <f t="shared" ca="1" si="27"/>
        <v>0.10124424886419653</v>
      </c>
      <c r="C1773" s="10">
        <f ca="1">NPV(B1773,Project_FCF!C18:J18)+Project_FCF!B18</f>
        <v>773.73007242504582</v>
      </c>
      <c r="D1773" s="4"/>
      <c r="E1773" s="4"/>
    </row>
    <row r="1774" spans="1:5" x14ac:dyDescent="0.3">
      <c r="A1774" s="9">
        <v>1766</v>
      </c>
      <c r="B1774" s="10">
        <f t="shared" ca="1" si="27"/>
        <v>0.10334405565712221</v>
      </c>
      <c r="C1774" s="10">
        <f ca="1">NPV(B1774,Project_FCF!C18:J18)+Project_FCF!B18</f>
        <v>758.89484269430864</v>
      </c>
      <c r="D1774" s="4"/>
      <c r="E1774" s="4"/>
    </row>
    <row r="1775" spans="1:5" x14ac:dyDescent="0.3">
      <c r="A1775" s="9">
        <v>1767</v>
      </c>
      <c r="B1775" s="10">
        <f t="shared" ca="1" si="27"/>
        <v>0.10014753285533656</v>
      </c>
      <c r="C1775" s="10">
        <f ca="1">NPV(B1775,Project_FCF!C18:J18)+Project_FCF!B18</f>
        <v>781.57503693174408</v>
      </c>
      <c r="D1775" s="4"/>
      <c r="E1775" s="4"/>
    </row>
    <row r="1776" spans="1:5" x14ac:dyDescent="0.3">
      <c r="A1776" s="9">
        <v>1768</v>
      </c>
      <c r="B1776" s="10">
        <f t="shared" ca="1" si="27"/>
        <v>9.2976847276364238E-2</v>
      </c>
      <c r="C1776" s="10">
        <f ca="1">NPV(B1776,Project_FCF!C18:J18)+Project_FCF!B18</f>
        <v>834.55277814581382</v>
      </c>
      <c r="D1776" s="4"/>
      <c r="E1776" s="4"/>
    </row>
    <row r="1777" spans="1:5" x14ac:dyDescent="0.3">
      <c r="A1777" s="9">
        <v>1769</v>
      </c>
      <c r="B1777" s="10">
        <f t="shared" ca="1" si="27"/>
        <v>6.5956492993140742E-2</v>
      </c>
      <c r="C1777" s="10">
        <f ca="1">NPV(B1777,Project_FCF!C18:J18)+Project_FCF!B18</f>
        <v>1063.4098147729087</v>
      </c>
      <c r="D1777" s="4"/>
      <c r="E1777" s="4"/>
    </row>
    <row r="1778" spans="1:5" x14ac:dyDescent="0.3">
      <c r="A1778" s="9">
        <v>1770</v>
      </c>
      <c r="B1778" s="10">
        <f t="shared" ca="1" si="27"/>
        <v>8.9105926067968994E-2</v>
      </c>
      <c r="C1778" s="10">
        <f ca="1">NPV(B1778,Project_FCF!C18:J18)+Project_FCF!B18</f>
        <v>864.4108051051569</v>
      </c>
      <c r="D1778" s="4"/>
      <c r="E1778" s="4"/>
    </row>
    <row r="1779" spans="1:5" x14ac:dyDescent="0.3">
      <c r="A1779" s="9">
        <v>1771</v>
      </c>
      <c r="B1779" s="10">
        <f t="shared" ca="1" si="27"/>
        <v>0.10371269447955847</v>
      </c>
      <c r="C1779" s="10">
        <f ca="1">NPV(B1779,Project_FCF!C18:J18)+Project_FCF!B18</f>
        <v>756.31520935770095</v>
      </c>
      <c r="D1779" s="4"/>
      <c r="E1779" s="4"/>
    </row>
    <row r="1780" spans="1:5" x14ac:dyDescent="0.3">
      <c r="A1780" s="9">
        <v>1772</v>
      </c>
      <c r="B1780" s="10">
        <f t="shared" ca="1" si="27"/>
        <v>8.6733676031564233E-2</v>
      </c>
      <c r="C1780" s="10">
        <f ca="1">NPV(B1780,Project_FCF!C18:J18)+Project_FCF!B18</f>
        <v>883.1630046128746</v>
      </c>
      <c r="D1780" s="4"/>
      <c r="E1780" s="4"/>
    </row>
    <row r="1781" spans="1:5" x14ac:dyDescent="0.3">
      <c r="A1781" s="9">
        <v>1773</v>
      </c>
      <c r="B1781" s="10">
        <f t="shared" ca="1" si="27"/>
        <v>7.9221556752307951E-2</v>
      </c>
      <c r="C1781" s="10">
        <f ca="1">NPV(B1781,Project_FCF!C18:J18)+Project_FCF!B18</f>
        <v>944.91712982434524</v>
      </c>
      <c r="D1781" s="4"/>
      <c r="E1781" s="4"/>
    </row>
    <row r="1782" spans="1:5" x14ac:dyDescent="0.3">
      <c r="A1782" s="9">
        <v>1774</v>
      </c>
      <c r="B1782" s="10">
        <f t="shared" ca="1" si="27"/>
        <v>8.489603337524898E-2</v>
      </c>
      <c r="C1782" s="10">
        <f ca="1">NPV(B1782,Project_FCF!C18:J18)+Project_FCF!B18</f>
        <v>897.93218685149463</v>
      </c>
      <c r="D1782" s="4"/>
      <c r="E1782" s="4"/>
    </row>
    <row r="1783" spans="1:5" x14ac:dyDescent="0.3">
      <c r="A1783" s="9">
        <v>1775</v>
      </c>
      <c r="B1783" s="10">
        <f t="shared" ca="1" si="27"/>
        <v>8.0275335588067903E-2</v>
      </c>
      <c r="C1783" s="10">
        <f ca="1">NPV(B1783,Project_FCF!C18:J18)+Project_FCF!B18</f>
        <v>936.0311910329433</v>
      </c>
      <c r="D1783" s="4"/>
      <c r="E1783" s="4"/>
    </row>
    <row r="1784" spans="1:5" x14ac:dyDescent="0.3">
      <c r="A1784" s="9">
        <v>1776</v>
      </c>
      <c r="B1784" s="10">
        <f t="shared" ca="1" si="27"/>
        <v>9.5340835122055656E-2</v>
      </c>
      <c r="C1784" s="10">
        <f ca="1">NPV(B1784,Project_FCF!C18:J18)+Project_FCF!B18</f>
        <v>816.75879081676067</v>
      </c>
      <c r="D1784" s="4"/>
      <c r="E1784" s="4"/>
    </row>
    <row r="1785" spans="1:5" x14ac:dyDescent="0.3">
      <c r="A1785" s="9">
        <v>1777</v>
      </c>
      <c r="B1785" s="10">
        <f t="shared" ca="1" si="27"/>
        <v>7.4815778967122298E-2</v>
      </c>
      <c r="C1785" s="10">
        <f ca="1">NPV(B1785,Project_FCF!C18:J18)+Project_FCF!B18</f>
        <v>982.88642922393205</v>
      </c>
      <c r="D1785" s="4"/>
      <c r="E1785" s="4"/>
    </row>
    <row r="1786" spans="1:5" x14ac:dyDescent="0.3">
      <c r="A1786" s="9">
        <v>1778</v>
      </c>
      <c r="B1786" s="10">
        <f t="shared" ca="1" si="27"/>
        <v>7.4865877841131537E-2</v>
      </c>
      <c r="C1786" s="10">
        <f ca="1">NPV(B1786,Project_FCF!C18:J18)+Project_FCF!B18</f>
        <v>982.44713259444461</v>
      </c>
      <c r="D1786" s="4"/>
      <c r="E1786" s="4"/>
    </row>
    <row r="1787" spans="1:5" x14ac:dyDescent="0.3">
      <c r="A1787" s="9">
        <v>1779</v>
      </c>
      <c r="B1787" s="10">
        <f t="shared" ca="1" si="27"/>
        <v>9.951327552748758E-2</v>
      </c>
      <c r="C1787" s="10">
        <f ca="1">NPV(B1787,Project_FCF!C18:J18)+Project_FCF!B18</f>
        <v>786.14257003566854</v>
      </c>
      <c r="D1787" s="4"/>
      <c r="E1787" s="4"/>
    </row>
    <row r="1788" spans="1:5" x14ac:dyDescent="0.3">
      <c r="A1788" s="9">
        <v>1780</v>
      </c>
      <c r="B1788" s="10">
        <f t="shared" ca="1" si="27"/>
        <v>7.930379022656836E-2</v>
      </c>
      <c r="C1788" s="10">
        <f ca="1">NPV(B1788,Project_FCF!C18:J18)+Project_FCF!B18</f>
        <v>944.22102042257234</v>
      </c>
      <c r="D1788" s="4"/>
      <c r="E1788" s="4"/>
    </row>
    <row r="1789" spans="1:5" x14ac:dyDescent="0.3">
      <c r="A1789" s="9">
        <v>1781</v>
      </c>
      <c r="B1789" s="10">
        <f t="shared" ca="1" si="27"/>
        <v>8.0808807845456715E-2</v>
      </c>
      <c r="C1789" s="10">
        <f ca="1">NPV(B1789,Project_FCF!C18:J18)+Project_FCF!B18</f>
        <v>931.56098397678193</v>
      </c>
      <c r="D1789" s="4"/>
      <c r="E1789" s="4"/>
    </row>
    <row r="1790" spans="1:5" x14ac:dyDescent="0.3">
      <c r="A1790" s="9">
        <v>1782</v>
      </c>
      <c r="B1790" s="10">
        <f t="shared" ca="1" si="27"/>
        <v>8.6942545038531618E-2</v>
      </c>
      <c r="C1790" s="10">
        <f ca="1">NPV(B1790,Project_FCF!C18:J18)+Project_FCF!B18</f>
        <v>881.49782976479651</v>
      </c>
      <c r="D1790" s="4"/>
      <c r="E1790" s="4"/>
    </row>
    <row r="1791" spans="1:5" x14ac:dyDescent="0.3">
      <c r="A1791" s="9">
        <v>1783</v>
      </c>
      <c r="B1791" s="10">
        <f t="shared" ca="1" si="27"/>
        <v>8.3637136774023485E-2</v>
      </c>
      <c r="C1791" s="10">
        <f ca="1">NPV(B1791,Project_FCF!C18:J18)+Project_FCF!B18</f>
        <v>908.1744122258267</v>
      </c>
      <c r="D1791" s="4"/>
      <c r="E1791" s="4"/>
    </row>
    <row r="1792" spans="1:5" x14ac:dyDescent="0.3">
      <c r="A1792" s="9">
        <v>1784</v>
      </c>
      <c r="B1792" s="10">
        <f t="shared" ca="1" si="27"/>
        <v>8.0671361105906364E-2</v>
      </c>
      <c r="C1792" s="10">
        <f ca="1">NPV(B1792,Project_FCF!C18:J18)+Project_FCF!B18</f>
        <v>932.71090332360427</v>
      </c>
      <c r="D1792" s="4"/>
      <c r="E1792" s="4"/>
    </row>
    <row r="1793" spans="1:5" x14ac:dyDescent="0.3">
      <c r="A1793" s="9">
        <v>1785</v>
      </c>
      <c r="B1793" s="10">
        <f t="shared" ca="1" si="27"/>
        <v>6.5961514953731551E-2</v>
      </c>
      <c r="C1793" s="10">
        <f ca="1">NPV(B1793,Project_FCF!C18:J18)+Project_FCF!B18</f>
        <v>1063.3625256626519</v>
      </c>
      <c r="D1793" s="4"/>
      <c r="E1793" s="4"/>
    </row>
    <row r="1794" spans="1:5" x14ac:dyDescent="0.3">
      <c r="A1794" s="9">
        <v>1786</v>
      </c>
      <c r="B1794" s="10">
        <f t="shared" ca="1" si="27"/>
        <v>0.10161788588305329</v>
      </c>
      <c r="C1794" s="10">
        <f ca="1">NPV(B1794,Project_FCF!C18:J18)+Project_FCF!B18</f>
        <v>771.07261190926897</v>
      </c>
      <c r="D1794" s="4"/>
      <c r="E1794" s="4"/>
    </row>
    <row r="1795" spans="1:5" x14ac:dyDescent="0.3">
      <c r="A1795" s="9">
        <v>1787</v>
      </c>
      <c r="B1795" s="10">
        <f t="shared" ca="1" si="27"/>
        <v>7.8137375915363627E-2</v>
      </c>
      <c r="C1795" s="10">
        <f ca="1">NPV(B1795,Project_FCF!C18:J18)+Project_FCF!B18</f>
        <v>954.13744959208498</v>
      </c>
      <c r="D1795" s="4"/>
      <c r="E1795" s="4"/>
    </row>
    <row r="1796" spans="1:5" x14ac:dyDescent="0.3">
      <c r="A1796" s="9">
        <v>1788</v>
      </c>
      <c r="B1796" s="10">
        <f t="shared" ca="1" si="27"/>
        <v>9.9980531747844742E-2</v>
      </c>
      <c r="C1796" s="10">
        <f ca="1">NPV(B1796,Project_FCF!C18:J18)+Project_FCF!B18</f>
        <v>782.77549362283298</v>
      </c>
      <c r="D1796" s="4"/>
      <c r="E1796" s="4"/>
    </row>
    <row r="1797" spans="1:5" x14ac:dyDescent="0.3">
      <c r="A1797" s="9">
        <v>1789</v>
      </c>
      <c r="B1797" s="10">
        <f t="shared" ca="1" si="27"/>
        <v>8.5129947506514966E-2</v>
      </c>
      <c r="C1797" s="10">
        <f ca="1">NPV(B1797,Project_FCF!C18:J18)+Project_FCF!B18</f>
        <v>896.04029119622396</v>
      </c>
      <c r="D1797" s="4"/>
      <c r="E1797" s="4"/>
    </row>
    <row r="1798" spans="1:5" x14ac:dyDescent="0.3">
      <c r="A1798" s="9">
        <v>1790</v>
      </c>
      <c r="B1798" s="10">
        <f t="shared" ca="1" si="27"/>
        <v>8.0277614125464788E-2</v>
      </c>
      <c r="C1798" s="10">
        <f ca="1">NPV(B1798,Project_FCF!C18:J18)+Project_FCF!B18</f>
        <v>936.0120578470171</v>
      </c>
      <c r="D1798" s="4"/>
      <c r="E1798" s="4"/>
    </row>
    <row r="1799" spans="1:5" x14ac:dyDescent="0.3">
      <c r="A1799" s="9">
        <v>1791</v>
      </c>
      <c r="B1799" s="10">
        <f t="shared" ca="1" si="27"/>
        <v>7.6208774073531452E-2</v>
      </c>
      <c r="C1799" s="10">
        <f ca="1">NPV(B1799,Project_FCF!C18:J18)+Project_FCF!B18</f>
        <v>970.7370565670094</v>
      </c>
      <c r="D1799" s="4"/>
      <c r="E1799" s="4"/>
    </row>
    <row r="1800" spans="1:5" x14ac:dyDescent="0.3">
      <c r="A1800" s="9">
        <v>1792</v>
      </c>
      <c r="B1800" s="10">
        <f t="shared" ca="1" si="27"/>
        <v>7.3368483298800954E-2</v>
      </c>
      <c r="C1800" s="10">
        <f ca="1">NPV(B1800,Project_FCF!C18:J18)+Project_FCF!B18</f>
        <v>995.65340292813653</v>
      </c>
      <c r="D1800" s="4"/>
      <c r="E1800" s="4"/>
    </row>
    <row r="1801" spans="1:5" x14ac:dyDescent="0.3">
      <c r="A1801" s="9">
        <v>1793</v>
      </c>
      <c r="B1801" s="10">
        <f t="shared" ref="B1801:B1864" ca="1" si="28">$B$4+RAND()*($B$5-$B$4)</f>
        <v>9.5939429676888677E-2</v>
      </c>
      <c r="C1801" s="10">
        <f ca="1">NPV(B1801,Project_FCF!C18:J18)+Project_FCF!B18</f>
        <v>812.30503069445285</v>
      </c>
      <c r="D1801" s="4"/>
      <c r="E1801" s="4"/>
    </row>
    <row r="1802" spans="1:5" x14ac:dyDescent="0.3">
      <c r="A1802" s="9">
        <v>1794</v>
      </c>
      <c r="B1802" s="10">
        <f t="shared" ca="1" si="28"/>
        <v>9.3766790177818374E-2</v>
      </c>
      <c r="C1802" s="10">
        <f ca="1">NPV(B1802,Project_FCF!C18:J18)+Project_FCF!B18</f>
        <v>828.57015209905853</v>
      </c>
      <c r="D1802" s="4"/>
      <c r="E1802" s="4"/>
    </row>
    <row r="1803" spans="1:5" x14ac:dyDescent="0.3">
      <c r="A1803" s="9">
        <v>1795</v>
      </c>
      <c r="B1803" s="10">
        <f t="shared" ca="1" si="28"/>
        <v>9.3969219371952878E-2</v>
      </c>
      <c r="C1803" s="10">
        <f ca="1">NPV(B1803,Project_FCF!C18:J18)+Project_FCF!B18</f>
        <v>827.04300027079398</v>
      </c>
      <c r="D1803" s="4"/>
      <c r="E1803" s="4"/>
    </row>
    <row r="1804" spans="1:5" x14ac:dyDescent="0.3">
      <c r="A1804" s="9">
        <v>1796</v>
      </c>
      <c r="B1804" s="10">
        <f t="shared" ca="1" si="28"/>
        <v>9.0521181232006351E-2</v>
      </c>
      <c r="C1804" s="10">
        <f ca="1">NPV(B1804,Project_FCF!C18:J18)+Project_FCF!B18</f>
        <v>853.38900657406953</v>
      </c>
      <c r="D1804" s="4"/>
      <c r="E1804" s="4"/>
    </row>
    <row r="1805" spans="1:5" x14ac:dyDescent="0.3">
      <c r="A1805" s="9">
        <v>1797</v>
      </c>
      <c r="B1805" s="10">
        <f t="shared" ca="1" si="28"/>
        <v>8.5785881959319479E-2</v>
      </c>
      <c r="C1805" s="10">
        <f ca="1">NPV(B1805,Project_FCF!C18:J18)+Project_FCF!B18</f>
        <v>890.75370030712588</v>
      </c>
      <c r="D1805" s="4"/>
      <c r="E1805" s="4"/>
    </row>
    <row r="1806" spans="1:5" x14ac:dyDescent="0.3">
      <c r="A1806" s="9">
        <v>1798</v>
      </c>
      <c r="B1806" s="10">
        <f t="shared" ca="1" si="28"/>
        <v>7.4017200299062141E-2</v>
      </c>
      <c r="C1806" s="10">
        <f ca="1">NPV(B1806,Project_FCF!C18:J18)+Project_FCF!B18</f>
        <v>989.91263198255615</v>
      </c>
      <c r="D1806" s="4"/>
      <c r="E1806" s="4"/>
    </row>
    <row r="1807" spans="1:5" x14ac:dyDescent="0.3">
      <c r="A1807" s="9">
        <v>1799</v>
      </c>
      <c r="B1807" s="10">
        <f t="shared" ca="1" si="28"/>
        <v>6.7777825880642878E-2</v>
      </c>
      <c r="C1807" s="10">
        <f ca="1">NPV(B1807,Project_FCF!C18:J18)+Project_FCF!B18</f>
        <v>1046.3842164596708</v>
      </c>
      <c r="D1807" s="4"/>
      <c r="E1807" s="4"/>
    </row>
    <row r="1808" spans="1:5" x14ac:dyDescent="0.3">
      <c r="A1808" s="9">
        <v>1800</v>
      </c>
      <c r="B1808" s="10">
        <f t="shared" ca="1" si="28"/>
        <v>8.0187145208568289E-2</v>
      </c>
      <c r="C1808" s="10">
        <f ca="1">NPV(B1808,Project_FCF!C18:J18)+Project_FCF!B18</f>
        <v>936.77200358758614</v>
      </c>
      <c r="D1808" s="4"/>
      <c r="E1808" s="4"/>
    </row>
    <row r="1809" spans="1:5" x14ac:dyDescent="0.3">
      <c r="A1809" s="9">
        <v>1801</v>
      </c>
      <c r="B1809" s="10">
        <f t="shared" ca="1" si="28"/>
        <v>0.10307406257870472</v>
      </c>
      <c r="C1809" s="10">
        <f ca="1">NPV(B1809,Project_FCF!C18:J18)+Project_FCF!B18</f>
        <v>760.788857287464</v>
      </c>
      <c r="D1809" s="4"/>
      <c r="E1809" s="4"/>
    </row>
    <row r="1810" spans="1:5" x14ac:dyDescent="0.3">
      <c r="A1810" s="9">
        <v>1802</v>
      </c>
      <c r="B1810" s="10">
        <f t="shared" ca="1" si="28"/>
        <v>6.6564592882626658E-2</v>
      </c>
      <c r="C1810" s="10">
        <f ca="1">NPV(B1810,Project_FCF!C18:J18)+Project_FCF!B18</f>
        <v>1057.6975635180452</v>
      </c>
      <c r="D1810" s="4"/>
      <c r="E1810" s="4"/>
    </row>
    <row r="1811" spans="1:5" x14ac:dyDescent="0.3">
      <c r="A1811" s="9">
        <v>1803</v>
      </c>
      <c r="B1811" s="10">
        <f t="shared" ca="1" si="28"/>
        <v>7.7880140633707129E-2</v>
      </c>
      <c r="C1811" s="10">
        <f ca="1">NPV(B1811,Project_FCF!C18:J18)+Project_FCF!B18</f>
        <v>956.33678240305926</v>
      </c>
      <c r="D1811" s="4"/>
      <c r="E1811" s="4"/>
    </row>
    <row r="1812" spans="1:5" x14ac:dyDescent="0.3">
      <c r="A1812" s="9">
        <v>1804</v>
      </c>
      <c r="B1812" s="10">
        <f t="shared" ca="1" si="28"/>
        <v>0.10248948347664338</v>
      </c>
      <c r="C1812" s="10">
        <f ca="1">NPV(B1812,Project_FCF!C18:J18)+Project_FCF!B18</f>
        <v>764.90330784978482</v>
      </c>
      <c r="D1812" s="4"/>
      <c r="E1812" s="4"/>
    </row>
    <row r="1813" spans="1:5" x14ac:dyDescent="0.3">
      <c r="A1813" s="9">
        <v>1805</v>
      </c>
      <c r="B1813" s="10">
        <f t="shared" ca="1" si="28"/>
        <v>9.2808132251772646E-2</v>
      </c>
      <c r="C1813" s="10">
        <f ca="1">NPV(B1813,Project_FCF!C18:J18)+Project_FCF!B18</f>
        <v>835.83534226151664</v>
      </c>
      <c r="D1813" s="4"/>
      <c r="E1813" s="4"/>
    </row>
    <row r="1814" spans="1:5" x14ac:dyDescent="0.3">
      <c r="A1814" s="9">
        <v>1806</v>
      </c>
      <c r="B1814" s="10">
        <f t="shared" ca="1" si="28"/>
        <v>9.7653432970418008E-2</v>
      </c>
      <c r="C1814" s="10">
        <f ca="1">NPV(B1814,Project_FCF!C18:J18)+Project_FCF!B18</f>
        <v>799.66668722608688</v>
      </c>
      <c r="D1814" s="4"/>
      <c r="E1814" s="4"/>
    </row>
    <row r="1815" spans="1:5" x14ac:dyDescent="0.3">
      <c r="A1815" s="9">
        <v>1807</v>
      </c>
      <c r="B1815" s="10">
        <f t="shared" ca="1" si="28"/>
        <v>7.4063954708325677E-2</v>
      </c>
      <c r="C1815" s="10">
        <f ca="1">NPV(B1815,Project_FCF!C18:J18)+Project_FCF!B18</f>
        <v>989.50003171992967</v>
      </c>
      <c r="D1815" s="4"/>
      <c r="E1815" s="4"/>
    </row>
    <row r="1816" spans="1:5" x14ac:dyDescent="0.3">
      <c r="A1816" s="9">
        <v>1808</v>
      </c>
      <c r="B1816" s="10">
        <f t="shared" ca="1" si="28"/>
        <v>6.5041868434193462E-2</v>
      </c>
      <c r="C1816" s="10">
        <f ca="1">NPV(B1816,Project_FCF!C18:J18)+Project_FCF!B18</f>
        <v>1072.0543718429433</v>
      </c>
      <c r="D1816" s="4"/>
      <c r="E1816" s="4"/>
    </row>
    <row r="1817" spans="1:5" x14ac:dyDescent="0.3">
      <c r="A1817" s="9">
        <v>1809</v>
      </c>
      <c r="B1817" s="10">
        <f t="shared" ca="1" si="28"/>
        <v>9.9363757563235011E-2</v>
      </c>
      <c r="C1817" s="10">
        <f ca="1">NPV(B1817,Project_FCF!C18:J18)+Project_FCF!B18</f>
        <v>787.22259141878908</v>
      </c>
      <c r="D1817" s="4"/>
      <c r="E1817" s="4"/>
    </row>
    <row r="1818" spans="1:5" x14ac:dyDescent="0.3">
      <c r="A1818" s="9">
        <v>1810</v>
      </c>
      <c r="B1818" s="10">
        <f t="shared" ca="1" si="28"/>
        <v>9.9483520106898538E-2</v>
      </c>
      <c r="C1818" s="10">
        <f ca="1">NPV(B1818,Project_FCF!C18:J18)+Project_FCF!B18</f>
        <v>786.35740393684705</v>
      </c>
      <c r="D1818" s="4"/>
      <c r="E1818" s="4"/>
    </row>
    <row r="1819" spans="1:5" x14ac:dyDescent="0.3">
      <c r="A1819" s="9">
        <v>1811</v>
      </c>
      <c r="B1819" s="10">
        <f t="shared" ca="1" si="28"/>
        <v>7.6681907711926525E-2</v>
      </c>
      <c r="C1819" s="10">
        <f ca="1">NPV(B1819,Project_FCF!C18:J18)+Project_FCF!B18</f>
        <v>966.64111874710534</v>
      </c>
      <c r="D1819" s="4"/>
      <c r="E1819" s="4"/>
    </row>
    <row r="1820" spans="1:5" x14ac:dyDescent="0.3">
      <c r="A1820" s="9">
        <v>1812</v>
      </c>
      <c r="B1820" s="10">
        <f t="shared" ca="1" si="28"/>
        <v>9.5665613212072037E-2</v>
      </c>
      <c r="C1820" s="10">
        <f ca="1">NPV(B1820,Project_FCF!C18:J18)+Project_FCF!B18</f>
        <v>814.33974115606702</v>
      </c>
      <c r="D1820" s="4"/>
      <c r="E1820" s="4"/>
    </row>
    <row r="1821" spans="1:5" x14ac:dyDescent="0.3">
      <c r="A1821" s="9">
        <v>1813</v>
      </c>
      <c r="B1821" s="10">
        <f t="shared" ca="1" si="28"/>
        <v>7.9047593121268994E-2</v>
      </c>
      <c r="C1821" s="10">
        <f ca="1">NPV(B1821,Project_FCF!C18:J18)+Project_FCF!B18</f>
        <v>946.39123877394036</v>
      </c>
      <c r="D1821" s="4"/>
      <c r="E1821" s="4"/>
    </row>
    <row r="1822" spans="1:5" x14ac:dyDescent="0.3">
      <c r="A1822" s="9">
        <v>1814</v>
      </c>
      <c r="B1822" s="10">
        <f t="shared" ca="1" si="28"/>
        <v>0.10142078947004445</v>
      </c>
      <c r="C1822" s="10">
        <f ca="1">NPV(B1822,Project_FCF!C18:J18)+Project_FCF!B18</f>
        <v>772.4734826281765</v>
      </c>
      <c r="D1822" s="4"/>
      <c r="E1822" s="4"/>
    </row>
    <row r="1823" spans="1:5" x14ac:dyDescent="0.3">
      <c r="A1823" s="9">
        <v>1815</v>
      </c>
      <c r="B1823" s="10">
        <f t="shared" ca="1" si="28"/>
        <v>6.9320116234153184E-2</v>
      </c>
      <c r="C1823" s="10">
        <f ca="1">NPV(B1823,Project_FCF!C18:J18)+Project_FCF!B18</f>
        <v>1032.1609718527627</v>
      </c>
      <c r="D1823" s="4"/>
      <c r="E1823" s="4"/>
    </row>
    <row r="1824" spans="1:5" x14ac:dyDescent="0.3">
      <c r="A1824" s="9">
        <v>1816</v>
      </c>
      <c r="B1824" s="10">
        <f t="shared" ca="1" si="28"/>
        <v>7.8216685187877708E-2</v>
      </c>
      <c r="C1824" s="10">
        <f ca="1">NPV(B1824,Project_FCF!C18:J18)+Project_FCF!B18</f>
        <v>953.46027182783178</v>
      </c>
      <c r="D1824" s="4"/>
      <c r="E1824" s="4"/>
    </row>
    <row r="1825" spans="1:5" x14ac:dyDescent="0.3">
      <c r="A1825" s="9">
        <v>1817</v>
      </c>
      <c r="B1825" s="10">
        <f t="shared" ca="1" si="28"/>
        <v>7.4707424780214041E-2</v>
      </c>
      <c r="C1825" s="10">
        <f ca="1">NPV(B1825,Project_FCF!C18:J18)+Project_FCF!B18</f>
        <v>983.83714442639143</v>
      </c>
      <c r="D1825" s="4"/>
      <c r="E1825" s="4"/>
    </row>
    <row r="1826" spans="1:5" x14ac:dyDescent="0.3">
      <c r="A1826" s="9">
        <v>1818</v>
      </c>
      <c r="B1826" s="10">
        <f t="shared" ca="1" si="28"/>
        <v>6.9577354968881983E-2</v>
      </c>
      <c r="C1826" s="10">
        <f ca="1">NPV(B1826,Project_FCF!C18:J18)+Project_FCF!B18</f>
        <v>1029.8057876633777</v>
      </c>
      <c r="D1826" s="4"/>
      <c r="E1826" s="4"/>
    </row>
    <row r="1827" spans="1:5" x14ac:dyDescent="0.3">
      <c r="A1827" s="9">
        <v>1819</v>
      </c>
      <c r="B1827" s="10">
        <f t="shared" ca="1" si="28"/>
        <v>8.0884596052754262E-2</v>
      </c>
      <c r="C1827" s="10">
        <f ca="1">NPV(B1827,Project_FCF!C18:J18)+Project_FCF!B18</f>
        <v>930.92745406597737</v>
      </c>
      <c r="D1827" s="4"/>
      <c r="E1827" s="4"/>
    </row>
    <row r="1828" spans="1:5" x14ac:dyDescent="0.3">
      <c r="A1828" s="9">
        <v>1820</v>
      </c>
      <c r="B1828" s="10">
        <f t="shared" ca="1" si="28"/>
        <v>0.10097378463725243</v>
      </c>
      <c r="C1828" s="10">
        <f ca="1">NPV(B1828,Project_FCF!C18:J18)+Project_FCF!B18</f>
        <v>775.65853929424793</v>
      </c>
      <c r="D1828" s="4"/>
      <c r="E1828" s="4"/>
    </row>
    <row r="1829" spans="1:5" x14ac:dyDescent="0.3">
      <c r="A1829" s="9">
        <v>1821</v>
      </c>
      <c r="B1829" s="10">
        <f t="shared" ca="1" si="28"/>
        <v>9.1940297815941402E-2</v>
      </c>
      <c r="C1829" s="10">
        <f ca="1">NPV(B1829,Project_FCF!C18:J18)+Project_FCF!B18</f>
        <v>842.45943532764795</v>
      </c>
      <c r="D1829" s="4"/>
      <c r="E1829" s="4"/>
    </row>
    <row r="1830" spans="1:5" x14ac:dyDescent="0.3">
      <c r="A1830" s="9">
        <v>1822</v>
      </c>
      <c r="B1830" s="10">
        <f t="shared" ca="1" si="28"/>
        <v>8.0841192878184739E-2</v>
      </c>
      <c r="C1830" s="10">
        <f ca="1">NPV(B1830,Project_FCF!C18:J18)+Project_FCF!B18</f>
        <v>931.29022391169519</v>
      </c>
      <c r="D1830" s="4"/>
      <c r="E1830" s="4"/>
    </row>
    <row r="1831" spans="1:5" x14ac:dyDescent="0.3">
      <c r="A1831" s="9">
        <v>1823</v>
      </c>
      <c r="B1831" s="10">
        <f t="shared" ca="1" si="28"/>
        <v>9.9312704764636162E-2</v>
      </c>
      <c r="C1831" s="10">
        <f ca="1">NPV(B1831,Project_FCF!C18:J18)+Project_FCF!B18</f>
        <v>787.59165162528052</v>
      </c>
      <c r="D1831" s="4"/>
      <c r="E1831" s="4"/>
    </row>
    <row r="1832" spans="1:5" x14ac:dyDescent="0.3">
      <c r="A1832" s="9">
        <v>1824</v>
      </c>
      <c r="B1832" s="10">
        <f t="shared" ca="1" si="28"/>
        <v>6.4863294049903139E-2</v>
      </c>
      <c r="C1832" s="10">
        <f ca="1">NPV(B1832,Project_FCF!C18:J18)+Project_FCF!B18</f>
        <v>1073.749622651784</v>
      </c>
      <c r="D1832" s="4"/>
      <c r="E1832" s="4"/>
    </row>
    <row r="1833" spans="1:5" x14ac:dyDescent="0.3">
      <c r="A1833" s="9">
        <v>1825</v>
      </c>
      <c r="B1833" s="10">
        <f t="shared" ca="1" si="28"/>
        <v>6.5342276772327068E-2</v>
      </c>
      <c r="C1833" s="10">
        <f ca="1">NPV(B1833,Project_FCF!C18:J18)+Project_FCF!B18</f>
        <v>1069.2080288500215</v>
      </c>
      <c r="D1833" s="4"/>
      <c r="E1833" s="4"/>
    </row>
    <row r="1834" spans="1:5" x14ac:dyDescent="0.3">
      <c r="A1834" s="9">
        <v>1826</v>
      </c>
      <c r="B1834" s="10">
        <f t="shared" ca="1" si="28"/>
        <v>0.10386500331249424</v>
      </c>
      <c r="C1834" s="10">
        <f ca="1">NPV(B1834,Project_FCF!C18:J18)+Project_FCF!B18</f>
        <v>755.25154118612204</v>
      </c>
      <c r="D1834" s="4"/>
      <c r="E1834" s="4"/>
    </row>
    <row r="1835" spans="1:5" x14ac:dyDescent="0.3">
      <c r="A1835" s="9">
        <v>1827</v>
      </c>
      <c r="B1835" s="10">
        <f t="shared" ca="1" si="28"/>
        <v>9.6253717625364665E-2</v>
      </c>
      <c r="C1835" s="10">
        <f ca="1">NPV(B1835,Project_FCF!C18:J18)+Project_FCF!B18</f>
        <v>809.97493391019566</v>
      </c>
      <c r="D1835" s="4"/>
      <c r="E1835" s="4"/>
    </row>
    <row r="1836" spans="1:5" x14ac:dyDescent="0.3">
      <c r="A1836" s="9">
        <v>1828</v>
      </c>
      <c r="B1836" s="10">
        <f t="shared" ca="1" si="28"/>
        <v>7.3509385557838799E-2</v>
      </c>
      <c r="C1836" s="10">
        <f ca="1">NPV(B1836,Project_FCF!C18:J18)+Project_FCF!B18</f>
        <v>994.40396606382592</v>
      </c>
      <c r="D1836" s="4"/>
      <c r="E1836" s="4"/>
    </row>
    <row r="1837" spans="1:5" x14ac:dyDescent="0.3">
      <c r="A1837" s="9">
        <v>1829</v>
      </c>
      <c r="B1837" s="10">
        <f t="shared" ca="1" si="28"/>
        <v>0.10308853620500896</v>
      </c>
      <c r="C1837" s="10">
        <f ca="1">NPV(B1837,Project_FCF!C18:J18)+Project_FCF!B18</f>
        <v>760.68722359261415</v>
      </c>
      <c r="D1837" s="4"/>
      <c r="E1837" s="4"/>
    </row>
    <row r="1838" spans="1:5" x14ac:dyDescent="0.3">
      <c r="A1838" s="9">
        <v>1830</v>
      </c>
      <c r="B1838" s="10">
        <f t="shared" ca="1" si="28"/>
        <v>7.6268244743435729E-2</v>
      </c>
      <c r="C1838" s="10">
        <f ca="1">NPV(B1838,Project_FCF!C18:J18)+Project_FCF!B18</f>
        <v>970.22136701849877</v>
      </c>
      <c r="D1838" s="4"/>
      <c r="E1838" s="4"/>
    </row>
    <row r="1839" spans="1:5" x14ac:dyDescent="0.3">
      <c r="A1839" s="9">
        <v>1831</v>
      </c>
      <c r="B1839" s="10">
        <f t="shared" ca="1" si="28"/>
        <v>9.8439748513961867E-2</v>
      </c>
      <c r="C1839" s="10">
        <f ca="1">NPV(B1839,Project_FCF!C18:J18)+Project_FCF!B18</f>
        <v>793.9249796106476</v>
      </c>
      <c r="D1839" s="4"/>
      <c r="E1839" s="4"/>
    </row>
    <row r="1840" spans="1:5" x14ac:dyDescent="0.3">
      <c r="A1840" s="9">
        <v>1832</v>
      </c>
      <c r="B1840" s="10">
        <f t="shared" ca="1" si="28"/>
        <v>9.8579933144401652E-2</v>
      </c>
      <c r="C1840" s="10">
        <f ca="1">NPV(B1840,Project_FCF!C18:J18)+Project_FCF!B18</f>
        <v>792.90503316861327</v>
      </c>
      <c r="D1840" s="4"/>
      <c r="E1840" s="4"/>
    </row>
    <row r="1841" spans="1:5" x14ac:dyDescent="0.3">
      <c r="A1841" s="9">
        <v>1833</v>
      </c>
      <c r="B1841" s="10">
        <f t="shared" ca="1" si="28"/>
        <v>6.8689000105396164E-2</v>
      </c>
      <c r="C1841" s="10">
        <f ca="1">NPV(B1841,Project_FCF!C18:J18)+Project_FCF!B18</f>
        <v>1037.9599090736463</v>
      </c>
      <c r="D1841" s="4"/>
      <c r="E1841" s="4"/>
    </row>
    <row r="1842" spans="1:5" x14ac:dyDescent="0.3">
      <c r="A1842" s="9">
        <v>1834</v>
      </c>
      <c r="B1842" s="10">
        <f t="shared" ca="1" si="28"/>
        <v>6.5530196017674888E-2</v>
      </c>
      <c r="C1842" s="10">
        <f ca="1">NPV(B1842,Project_FCF!C18:J18)+Project_FCF!B18</f>
        <v>1067.4310156472382</v>
      </c>
      <c r="D1842" s="4"/>
      <c r="E1842" s="4"/>
    </row>
    <row r="1843" spans="1:5" x14ac:dyDescent="0.3">
      <c r="A1843" s="9">
        <v>1835</v>
      </c>
      <c r="B1843" s="10">
        <f t="shared" ca="1" si="28"/>
        <v>8.9149893054633861E-2</v>
      </c>
      <c r="C1843" s="10">
        <f ca="1">NPV(B1843,Project_FCF!C18:J18)+Project_FCF!B18</f>
        <v>864.06654822770383</v>
      </c>
      <c r="D1843" s="4"/>
      <c r="E1843" s="4"/>
    </row>
    <row r="1844" spans="1:5" x14ac:dyDescent="0.3">
      <c r="A1844" s="9">
        <v>1836</v>
      </c>
      <c r="B1844" s="10">
        <f t="shared" ca="1" si="28"/>
        <v>9.5610510916361385E-2</v>
      </c>
      <c r="C1844" s="10">
        <f ca="1">NPV(B1844,Project_FCF!C18:J18)+Project_FCF!B18</f>
        <v>814.74972838453709</v>
      </c>
      <c r="D1844" s="4"/>
      <c r="E1844" s="4"/>
    </row>
    <row r="1845" spans="1:5" x14ac:dyDescent="0.3">
      <c r="A1845" s="9">
        <v>1837</v>
      </c>
      <c r="B1845" s="10">
        <f t="shared" ca="1" si="28"/>
        <v>9.462357706679779E-2</v>
      </c>
      <c r="C1845" s="10">
        <f ca="1">NPV(B1845,Project_FCF!C18:J18)+Project_FCF!B18</f>
        <v>822.12294987130781</v>
      </c>
      <c r="D1845" s="4"/>
      <c r="E1845" s="4"/>
    </row>
    <row r="1846" spans="1:5" x14ac:dyDescent="0.3">
      <c r="A1846" s="9">
        <v>1838</v>
      </c>
      <c r="B1846" s="10">
        <f t="shared" ca="1" si="28"/>
        <v>0.10121426191002042</v>
      </c>
      <c r="C1846" s="10">
        <f ca="1">NPV(B1846,Project_FCF!C18:J18)+Project_FCF!B18</f>
        <v>773.943686219244</v>
      </c>
      <c r="D1846" s="4"/>
      <c r="E1846" s="4"/>
    </row>
    <row r="1847" spans="1:5" x14ac:dyDescent="0.3">
      <c r="A1847" s="9">
        <v>1839</v>
      </c>
      <c r="B1847" s="10">
        <f t="shared" ca="1" si="28"/>
        <v>8.8710153943812903E-2</v>
      </c>
      <c r="C1847" s="10">
        <f ca="1">NPV(B1847,Project_FCF!C18:J18)+Project_FCF!B18</f>
        <v>867.51502381747082</v>
      </c>
      <c r="D1847" s="4"/>
      <c r="E1847" s="4"/>
    </row>
    <row r="1848" spans="1:5" x14ac:dyDescent="0.3">
      <c r="A1848" s="9">
        <v>1840</v>
      </c>
      <c r="B1848" s="10">
        <f t="shared" ca="1" si="28"/>
        <v>0.10188370844518568</v>
      </c>
      <c r="C1848" s="10">
        <f ca="1">NPV(B1848,Project_FCF!C18:J18)+Project_FCF!B18</f>
        <v>769.18665675675879</v>
      </c>
      <c r="D1848" s="4"/>
      <c r="E1848" s="4"/>
    </row>
    <row r="1849" spans="1:5" x14ac:dyDescent="0.3">
      <c r="A1849" s="9">
        <v>1841</v>
      </c>
      <c r="B1849" s="10">
        <f t="shared" ca="1" si="28"/>
        <v>7.6609838224327279E-2</v>
      </c>
      <c r="C1849" s="10">
        <f ca="1">NPV(B1849,Project_FCF!C18:J18)+Project_FCF!B18</f>
        <v>967.26403030332744</v>
      </c>
      <c r="D1849" s="4"/>
      <c r="E1849" s="4"/>
    </row>
    <row r="1850" spans="1:5" x14ac:dyDescent="0.3">
      <c r="A1850" s="9">
        <v>1842</v>
      </c>
      <c r="B1850" s="10">
        <f t="shared" ca="1" si="28"/>
        <v>8.5855392399882102E-2</v>
      </c>
      <c r="C1850" s="10">
        <f ca="1">NPV(B1850,Project_FCF!C18:J18)+Project_FCF!B18</f>
        <v>890.19507412834878</v>
      </c>
      <c r="D1850" s="4"/>
      <c r="E1850" s="4"/>
    </row>
    <row r="1851" spans="1:5" x14ac:dyDescent="0.3">
      <c r="A1851" s="9">
        <v>1843</v>
      </c>
      <c r="B1851" s="10">
        <f t="shared" ca="1" si="28"/>
        <v>8.5900359554357916E-2</v>
      </c>
      <c r="C1851" s="10">
        <f ca="1">NPV(B1851,Project_FCF!C18:J18)+Project_FCF!B18</f>
        <v>889.83385522777371</v>
      </c>
      <c r="D1851" s="4"/>
      <c r="E1851" s="4"/>
    </row>
    <row r="1852" spans="1:5" x14ac:dyDescent="0.3">
      <c r="A1852" s="9">
        <v>1844</v>
      </c>
      <c r="B1852" s="10">
        <f t="shared" ca="1" si="28"/>
        <v>9.7101848203470162E-2</v>
      </c>
      <c r="C1852" s="10">
        <f ca="1">NPV(B1852,Project_FCF!C18:J18)+Project_FCF!B18</f>
        <v>803.71542407118523</v>
      </c>
      <c r="D1852" s="4"/>
      <c r="E1852" s="4"/>
    </row>
    <row r="1853" spans="1:5" x14ac:dyDescent="0.3">
      <c r="A1853" s="9">
        <v>1845</v>
      </c>
      <c r="B1853" s="10">
        <f t="shared" ca="1" si="28"/>
        <v>8.0397681608349175E-2</v>
      </c>
      <c r="C1853" s="10">
        <f ca="1">NPV(B1853,Project_FCF!C18:J18)+Project_FCF!B18</f>
        <v>935.004324510066</v>
      </c>
      <c r="D1853" s="4"/>
      <c r="E1853" s="4"/>
    </row>
    <row r="1854" spans="1:5" x14ac:dyDescent="0.3">
      <c r="A1854" s="9">
        <v>1846</v>
      </c>
      <c r="B1854" s="10">
        <f t="shared" ca="1" si="28"/>
        <v>9.2154222622592083E-2</v>
      </c>
      <c r="C1854" s="10">
        <f ca="1">NPV(B1854,Project_FCF!C18:J18)+Project_FCF!B18</f>
        <v>840.82238250054888</v>
      </c>
      <c r="D1854" s="4"/>
      <c r="E1854" s="4"/>
    </row>
    <row r="1855" spans="1:5" x14ac:dyDescent="0.3">
      <c r="A1855" s="9">
        <v>1847</v>
      </c>
      <c r="B1855" s="10">
        <f t="shared" ca="1" si="28"/>
        <v>7.9377704679353359E-2</v>
      </c>
      <c r="C1855" s="10">
        <f ca="1">NPV(B1855,Project_FCF!C18:J18)+Project_FCF!B18</f>
        <v>943.59571999701893</v>
      </c>
      <c r="D1855" s="4"/>
      <c r="E1855" s="4"/>
    </row>
    <row r="1856" spans="1:5" x14ac:dyDescent="0.3">
      <c r="A1856" s="9">
        <v>1848</v>
      </c>
      <c r="B1856" s="10">
        <f t="shared" ca="1" si="28"/>
        <v>6.9004288298930405E-2</v>
      </c>
      <c r="C1856" s="10">
        <f ca="1">NPV(B1856,Project_FCF!C18:J18)+Project_FCF!B18</f>
        <v>1035.0592429789294</v>
      </c>
      <c r="D1856" s="4"/>
      <c r="E1856" s="4"/>
    </row>
    <row r="1857" spans="1:5" x14ac:dyDescent="0.3">
      <c r="A1857" s="9">
        <v>1849</v>
      </c>
      <c r="B1857" s="10">
        <f t="shared" ca="1" si="28"/>
        <v>6.4001068861531507E-2</v>
      </c>
      <c r="C1857" s="10">
        <f ca="1">NPV(B1857,Project_FCF!C18:J18)+Project_FCF!B18</f>
        <v>1081.9694306793376</v>
      </c>
      <c r="D1857" s="4"/>
      <c r="E1857" s="4"/>
    </row>
    <row r="1858" spans="1:5" x14ac:dyDescent="0.3">
      <c r="A1858" s="9">
        <v>1850</v>
      </c>
      <c r="B1858" s="10">
        <f t="shared" ca="1" si="28"/>
        <v>8.5694554552165958E-2</v>
      </c>
      <c r="C1858" s="10">
        <f ca="1">NPV(B1858,Project_FCF!C18:J18)+Project_FCF!B18</f>
        <v>891.48812627167263</v>
      </c>
      <c r="D1858" s="4"/>
      <c r="E1858" s="4"/>
    </row>
    <row r="1859" spans="1:5" x14ac:dyDescent="0.3">
      <c r="A1859" s="9">
        <v>1851</v>
      </c>
      <c r="B1859" s="10">
        <f t="shared" ca="1" si="28"/>
        <v>6.9202310488705052E-2</v>
      </c>
      <c r="C1859" s="10">
        <f ca="1">NPV(B1859,Project_FCF!C18:J18)+Project_FCF!B18</f>
        <v>1033.2411845395222</v>
      </c>
      <c r="D1859" s="4"/>
      <c r="E1859" s="4"/>
    </row>
    <row r="1860" spans="1:5" x14ac:dyDescent="0.3">
      <c r="A1860" s="9">
        <v>1852</v>
      </c>
      <c r="B1860" s="10">
        <f t="shared" ca="1" si="28"/>
        <v>7.0212990961911165E-2</v>
      </c>
      <c r="C1860" s="10">
        <f ca="1">NPV(B1860,Project_FCF!C18:J18)+Project_FCF!B18</f>
        <v>1024.0069608605636</v>
      </c>
      <c r="D1860" s="4"/>
      <c r="E1860" s="4"/>
    </row>
    <row r="1861" spans="1:5" x14ac:dyDescent="0.3">
      <c r="A1861" s="9">
        <v>1853</v>
      </c>
      <c r="B1861" s="10">
        <f t="shared" ca="1" si="28"/>
        <v>8.1916808647736164E-2</v>
      </c>
      <c r="C1861" s="10">
        <f ca="1">NPV(B1861,Project_FCF!C18:J18)+Project_FCF!B18</f>
        <v>922.33677550732727</v>
      </c>
      <c r="D1861" s="4"/>
      <c r="E1861" s="4"/>
    </row>
    <row r="1862" spans="1:5" x14ac:dyDescent="0.3">
      <c r="A1862" s="9">
        <v>1854</v>
      </c>
      <c r="B1862" s="10">
        <f t="shared" ca="1" si="28"/>
        <v>9.1667325928086449E-2</v>
      </c>
      <c r="C1862" s="10">
        <f ca="1">NPV(B1862,Project_FCF!C18:J18)+Project_FCF!B18</f>
        <v>844.55233502577175</v>
      </c>
      <c r="D1862" s="4"/>
      <c r="E1862" s="4"/>
    </row>
    <row r="1863" spans="1:5" x14ac:dyDescent="0.3">
      <c r="A1863" s="9">
        <v>1855</v>
      </c>
      <c r="B1863" s="10">
        <f t="shared" ca="1" si="28"/>
        <v>0.10386612983096058</v>
      </c>
      <c r="C1863" s="10">
        <f ca="1">NPV(B1863,Project_FCF!C18:J18)+Project_FCF!B18</f>
        <v>755.24367867112505</v>
      </c>
      <c r="D1863" s="4"/>
      <c r="E1863" s="4"/>
    </row>
    <row r="1864" spans="1:5" x14ac:dyDescent="0.3">
      <c r="A1864" s="9">
        <v>1856</v>
      </c>
      <c r="B1864" s="10">
        <f t="shared" ca="1" si="28"/>
        <v>8.5588898511169034E-2</v>
      </c>
      <c r="C1864" s="10">
        <f ca="1">NPV(B1864,Project_FCF!C18:J18)+Project_FCF!B18</f>
        <v>892.33843934850734</v>
      </c>
      <c r="D1864" s="4"/>
      <c r="E1864" s="4"/>
    </row>
    <row r="1865" spans="1:5" x14ac:dyDescent="0.3">
      <c r="A1865" s="9">
        <v>1857</v>
      </c>
      <c r="B1865" s="10">
        <f t="shared" ref="B1865:B1928" ca="1" si="29">$B$4+RAND()*($B$5-$B$4)</f>
        <v>7.3112581411489214E-2</v>
      </c>
      <c r="C1865" s="10">
        <f ca="1">NPV(B1865,Project_FCF!C18:J18)+Project_FCF!B18</f>
        <v>997.92619249853351</v>
      </c>
      <c r="D1865" s="4"/>
      <c r="E1865" s="4"/>
    </row>
    <row r="1866" spans="1:5" x14ac:dyDescent="0.3">
      <c r="A1866" s="9">
        <v>1858</v>
      </c>
      <c r="B1866" s="10">
        <f t="shared" ca="1" si="29"/>
        <v>8.4890275490204309E-2</v>
      </c>
      <c r="C1866" s="10">
        <f ca="1">NPV(B1866,Project_FCF!C18:J18)+Project_FCF!B18</f>
        <v>897.97880067891356</v>
      </c>
      <c r="D1866" s="4"/>
      <c r="E1866" s="4"/>
    </row>
    <row r="1867" spans="1:5" x14ac:dyDescent="0.3">
      <c r="A1867" s="9">
        <v>1859</v>
      </c>
      <c r="B1867" s="10">
        <f t="shared" ca="1" si="29"/>
        <v>8.8512193615207707E-2</v>
      </c>
      <c r="C1867" s="10">
        <f ca="1">NPV(B1867,Project_FCF!C18:J18)+Project_FCF!B18</f>
        <v>869.07134558788857</v>
      </c>
      <c r="D1867" s="4"/>
      <c r="E1867" s="4"/>
    </row>
    <row r="1868" spans="1:5" x14ac:dyDescent="0.3">
      <c r="A1868" s="9">
        <v>1860</v>
      </c>
      <c r="B1868" s="10">
        <f t="shared" ca="1" si="29"/>
        <v>0.100036567622621</v>
      </c>
      <c r="C1868" s="10">
        <f ca="1">NPV(B1868,Project_FCF!C18:J18)+Project_FCF!B18</f>
        <v>782.3725163707461</v>
      </c>
      <c r="D1868" s="4"/>
      <c r="E1868" s="4"/>
    </row>
    <row r="1869" spans="1:5" x14ac:dyDescent="0.3">
      <c r="A1869" s="9">
        <v>1861</v>
      </c>
      <c r="B1869" s="10">
        <f t="shared" ca="1" si="29"/>
        <v>0.10264696774763654</v>
      </c>
      <c r="C1869" s="10">
        <f ca="1">NPV(B1869,Project_FCF!C18:J18)+Project_FCF!B18</f>
        <v>763.79304949178686</v>
      </c>
      <c r="D1869" s="4"/>
      <c r="E1869" s="4"/>
    </row>
    <row r="1870" spans="1:5" x14ac:dyDescent="0.3">
      <c r="A1870" s="9">
        <v>1862</v>
      </c>
      <c r="B1870" s="10">
        <f t="shared" ca="1" si="29"/>
        <v>0.10038843311723006</v>
      </c>
      <c r="C1870" s="10">
        <f ca="1">NPV(B1870,Project_FCF!C18:J18)+Project_FCF!B18</f>
        <v>779.84611177426336</v>
      </c>
      <c r="D1870" s="4"/>
      <c r="E1870" s="4"/>
    </row>
    <row r="1871" spans="1:5" x14ac:dyDescent="0.3">
      <c r="A1871" s="9">
        <v>1863</v>
      </c>
      <c r="B1871" s="10">
        <f t="shared" ca="1" si="29"/>
        <v>0.10134320323236559</v>
      </c>
      <c r="C1871" s="10">
        <f ca="1">NPV(B1871,Project_FCF!C18:J18)+Project_FCF!B18</f>
        <v>773.02551789616382</v>
      </c>
      <c r="D1871" s="4"/>
      <c r="E1871" s="4"/>
    </row>
    <row r="1872" spans="1:5" x14ac:dyDescent="0.3">
      <c r="A1872" s="9">
        <v>1864</v>
      </c>
      <c r="B1872" s="10">
        <f t="shared" ca="1" si="29"/>
        <v>9.6232960136822282E-2</v>
      </c>
      <c r="C1872" s="10">
        <f ca="1">NPV(B1872,Project_FCF!C18:J18)+Project_FCF!B18</f>
        <v>810.1286514732044</v>
      </c>
      <c r="D1872" s="4"/>
      <c r="E1872" s="4"/>
    </row>
    <row r="1873" spans="1:5" x14ac:dyDescent="0.3">
      <c r="A1873" s="9">
        <v>1865</v>
      </c>
      <c r="B1873" s="10">
        <f t="shared" ca="1" si="29"/>
        <v>7.8226616076957675E-2</v>
      </c>
      <c r="C1873" s="10">
        <f ca="1">NPV(B1873,Project_FCF!C18:J18)+Project_FCF!B18</f>
        <v>953.37550759438682</v>
      </c>
      <c r="D1873" s="4"/>
      <c r="E1873" s="4"/>
    </row>
    <row r="1874" spans="1:5" x14ac:dyDescent="0.3">
      <c r="A1874" s="9">
        <v>1866</v>
      </c>
      <c r="B1874" s="10">
        <f t="shared" ca="1" si="29"/>
        <v>7.292563965382215E-2</v>
      </c>
      <c r="C1874" s="10">
        <f ca="1">NPV(B1874,Project_FCF!C18:J18)+Project_FCF!B18</f>
        <v>999.58945767451041</v>
      </c>
      <c r="D1874" s="4"/>
      <c r="E1874" s="4"/>
    </row>
    <row r="1875" spans="1:5" x14ac:dyDescent="0.3">
      <c r="A1875" s="9">
        <v>1867</v>
      </c>
      <c r="B1875" s="10">
        <f t="shared" ca="1" si="29"/>
        <v>8.7037968631707138E-2</v>
      </c>
      <c r="C1875" s="10">
        <f ca="1">NPV(B1875,Project_FCF!C18:J18)+Project_FCF!B18</f>
        <v>880.73799230348004</v>
      </c>
      <c r="D1875" s="4"/>
      <c r="E1875" s="4"/>
    </row>
    <row r="1876" spans="1:5" x14ac:dyDescent="0.3">
      <c r="A1876" s="9">
        <v>1868</v>
      </c>
      <c r="B1876" s="10">
        <f t="shared" ca="1" si="29"/>
        <v>0.10325229184008664</v>
      </c>
      <c r="C1876" s="10">
        <f ca="1">NPV(B1876,Project_FCF!C18:J18)+Project_FCF!B18</f>
        <v>759.53812610482305</v>
      </c>
      <c r="D1876" s="4"/>
      <c r="E1876" s="4"/>
    </row>
    <row r="1877" spans="1:5" x14ac:dyDescent="0.3">
      <c r="A1877" s="9">
        <v>1869</v>
      </c>
      <c r="B1877" s="10">
        <f t="shared" ca="1" si="29"/>
        <v>8.5143167050084886E-2</v>
      </c>
      <c r="C1877" s="10">
        <f ca="1">NPV(B1877,Project_FCF!C18:J18)+Project_FCF!B18</f>
        <v>895.93347595045429</v>
      </c>
      <c r="D1877" s="4"/>
      <c r="E1877" s="4"/>
    </row>
    <row r="1878" spans="1:5" x14ac:dyDescent="0.3">
      <c r="A1878" s="9">
        <v>1870</v>
      </c>
      <c r="B1878" s="10">
        <f t="shared" ca="1" si="29"/>
        <v>8.3692581685038195E-2</v>
      </c>
      <c r="C1878" s="10">
        <f ca="1">NPV(B1878,Project_FCF!C18:J18)+Project_FCF!B18</f>
        <v>907.72116986779133</v>
      </c>
      <c r="D1878" s="4"/>
      <c r="E1878" s="4"/>
    </row>
    <row r="1879" spans="1:5" x14ac:dyDescent="0.3">
      <c r="A1879" s="9">
        <v>1871</v>
      </c>
      <c r="B1879" s="10">
        <f t="shared" ca="1" si="29"/>
        <v>7.0314506994291245E-2</v>
      </c>
      <c r="C1879" s="10">
        <f ca="1">NPV(B1879,Project_FCF!C18:J18)+Project_FCF!B18</f>
        <v>1023.0835804828105</v>
      </c>
      <c r="D1879" s="4"/>
      <c r="E1879" s="4"/>
    </row>
    <row r="1880" spans="1:5" x14ac:dyDescent="0.3">
      <c r="A1880" s="9">
        <v>1872</v>
      </c>
      <c r="B1880" s="10">
        <f t="shared" ca="1" si="29"/>
        <v>6.8520874922974442E-2</v>
      </c>
      <c r="C1880" s="10">
        <f ca="1">NPV(B1880,Project_FCF!C18:J18)+Project_FCF!B18</f>
        <v>1039.5096771830511</v>
      </c>
      <c r="D1880" s="4"/>
      <c r="E1880" s="4"/>
    </row>
    <row r="1881" spans="1:5" x14ac:dyDescent="0.3">
      <c r="A1881" s="9">
        <v>1873</v>
      </c>
      <c r="B1881" s="10">
        <f t="shared" ca="1" si="29"/>
        <v>9.3666023996039349E-2</v>
      </c>
      <c r="C1881" s="10">
        <f ca="1">NPV(B1881,Project_FCF!C18:J18)+Project_FCF!B18</f>
        <v>829.33124726162669</v>
      </c>
      <c r="D1881" s="4"/>
      <c r="E1881" s="4"/>
    </row>
    <row r="1882" spans="1:5" x14ac:dyDescent="0.3">
      <c r="A1882" s="9">
        <v>1874</v>
      </c>
      <c r="B1882" s="10">
        <f t="shared" ca="1" si="29"/>
        <v>0.10189542327700128</v>
      </c>
      <c r="C1882" s="10">
        <f ca="1">NPV(B1882,Project_FCF!C18:J18)+Project_FCF!B18</f>
        <v>769.10363191951615</v>
      </c>
      <c r="D1882" s="4"/>
      <c r="E1882" s="4"/>
    </row>
    <row r="1883" spans="1:5" x14ac:dyDescent="0.3">
      <c r="A1883" s="9">
        <v>1875</v>
      </c>
      <c r="B1883" s="10">
        <f t="shared" ca="1" si="29"/>
        <v>0.10021537176439538</v>
      </c>
      <c r="C1883" s="10">
        <f ca="1">NPV(B1883,Project_FCF!C18:J18)+Project_FCF!B18</f>
        <v>781.087834214022</v>
      </c>
      <c r="D1883" s="4"/>
      <c r="E1883" s="4"/>
    </row>
    <row r="1884" spans="1:5" x14ac:dyDescent="0.3">
      <c r="A1884" s="9">
        <v>1876</v>
      </c>
      <c r="B1884" s="10">
        <f t="shared" ca="1" si="29"/>
        <v>9.4758619503093305E-2</v>
      </c>
      <c r="C1884" s="10">
        <f ca="1">NPV(B1884,Project_FCF!C18:J18)+Project_FCF!B18</f>
        <v>821.11070888865584</v>
      </c>
      <c r="D1884" s="4"/>
      <c r="E1884" s="4"/>
    </row>
    <row r="1885" spans="1:5" x14ac:dyDescent="0.3">
      <c r="A1885" s="9">
        <v>1877</v>
      </c>
      <c r="B1885" s="10">
        <f t="shared" ca="1" si="29"/>
        <v>9.6733404239063972E-2</v>
      </c>
      <c r="C1885" s="10">
        <f ca="1">NPV(B1885,Project_FCF!C18:J18)+Project_FCF!B18</f>
        <v>806.42958741701909</v>
      </c>
      <c r="D1885" s="4"/>
      <c r="E1885" s="4"/>
    </row>
    <row r="1886" spans="1:5" x14ac:dyDescent="0.3">
      <c r="A1886" s="9">
        <v>1878</v>
      </c>
      <c r="B1886" s="10">
        <f t="shared" ca="1" si="29"/>
        <v>0.10365661946690721</v>
      </c>
      <c r="C1886" s="10">
        <f ca="1">NPV(B1886,Project_FCF!C18:J18)+Project_FCF!B18</f>
        <v>756.70713229978105</v>
      </c>
      <c r="D1886" s="4"/>
      <c r="E1886" s="4"/>
    </row>
    <row r="1887" spans="1:5" x14ac:dyDescent="0.3">
      <c r="A1887" s="9">
        <v>1879</v>
      </c>
      <c r="B1887" s="10">
        <f t="shared" ca="1" si="29"/>
        <v>8.7232664992148351E-2</v>
      </c>
      <c r="C1887" s="10">
        <f ca="1">NPV(B1887,Project_FCF!C18:J18)+Project_FCF!B18</f>
        <v>879.18943855465682</v>
      </c>
      <c r="D1887" s="4"/>
      <c r="E1887" s="4"/>
    </row>
    <row r="1888" spans="1:5" x14ac:dyDescent="0.3">
      <c r="A1888" s="9">
        <v>1880</v>
      </c>
      <c r="B1888" s="10">
        <f t="shared" ca="1" si="29"/>
        <v>9.9641256219010627E-2</v>
      </c>
      <c r="C1888" s="10">
        <f ca="1">NPV(B1888,Project_FCF!C18:J18)+Project_FCF!B18</f>
        <v>785.2191168988345</v>
      </c>
      <c r="D1888" s="4"/>
      <c r="E1888" s="4"/>
    </row>
    <row r="1889" spans="1:5" x14ac:dyDescent="0.3">
      <c r="A1889" s="9">
        <v>1881</v>
      </c>
      <c r="B1889" s="10">
        <f t="shared" ca="1" si="29"/>
        <v>8.9908661102501231E-2</v>
      </c>
      <c r="C1889" s="10">
        <f ca="1">NPV(B1889,Project_FCF!C18:J18)+Project_FCF!B18</f>
        <v>858.14418238052735</v>
      </c>
      <c r="D1889" s="4"/>
      <c r="E1889" s="4"/>
    </row>
    <row r="1890" spans="1:5" x14ac:dyDescent="0.3">
      <c r="A1890" s="9">
        <v>1882</v>
      </c>
      <c r="B1890" s="10">
        <f t="shared" ca="1" si="29"/>
        <v>6.8692430325213175E-2</v>
      </c>
      <c r="C1890" s="10">
        <f ca="1">NPV(B1890,Project_FCF!C18:J18)+Project_FCF!B18</f>
        <v>1037.9283113124329</v>
      </c>
      <c r="D1890" s="4"/>
      <c r="E1890" s="4"/>
    </row>
    <row r="1891" spans="1:5" x14ac:dyDescent="0.3">
      <c r="A1891" s="9">
        <v>1883</v>
      </c>
      <c r="B1891" s="10">
        <f t="shared" ca="1" si="29"/>
        <v>7.3293907538159217E-2</v>
      </c>
      <c r="C1891" s="10">
        <f ca="1">NPV(B1891,Project_FCF!C18:J18)+Project_FCF!B18</f>
        <v>996.31526628474398</v>
      </c>
      <c r="D1891" s="4"/>
      <c r="E1891" s="4"/>
    </row>
    <row r="1892" spans="1:5" x14ac:dyDescent="0.3">
      <c r="A1892" s="9">
        <v>1884</v>
      </c>
      <c r="B1892" s="10">
        <f t="shared" ca="1" si="29"/>
        <v>7.1245777593135523E-2</v>
      </c>
      <c r="C1892" s="10">
        <f ca="1">NPV(B1892,Project_FCF!C18:J18)+Project_FCF!B18</f>
        <v>1014.6478368607782</v>
      </c>
      <c r="D1892" s="4"/>
      <c r="E1892" s="4"/>
    </row>
    <row r="1893" spans="1:5" x14ac:dyDescent="0.3">
      <c r="A1893" s="9">
        <v>1885</v>
      </c>
      <c r="B1893" s="10">
        <f t="shared" ca="1" si="29"/>
        <v>9.9993578832584973E-2</v>
      </c>
      <c r="C1893" s="10">
        <f ca="1">NPV(B1893,Project_FCF!C18:J18)+Project_FCF!B18</f>
        <v>782.68165094251071</v>
      </c>
      <c r="D1893" s="4"/>
      <c r="E1893" s="4"/>
    </row>
    <row r="1894" spans="1:5" x14ac:dyDescent="0.3">
      <c r="A1894" s="9">
        <v>1886</v>
      </c>
      <c r="B1894" s="10">
        <f t="shared" ca="1" si="29"/>
        <v>8.5019582978589636E-2</v>
      </c>
      <c r="C1894" s="10">
        <f ca="1">NPV(B1894,Project_FCF!C18:J18)+Project_FCF!B18</f>
        <v>896.93248307321232</v>
      </c>
      <c r="D1894" s="4"/>
      <c r="E1894" s="4"/>
    </row>
    <row r="1895" spans="1:5" x14ac:dyDescent="0.3">
      <c r="A1895" s="9">
        <v>1887</v>
      </c>
      <c r="B1895" s="10">
        <f t="shared" ca="1" si="29"/>
        <v>8.6412229490660963E-2</v>
      </c>
      <c r="C1895" s="10">
        <f ca="1">NPV(B1895,Project_FCF!C18:J18)+Project_FCF!B18</f>
        <v>885.7310495912543</v>
      </c>
      <c r="D1895" s="4"/>
      <c r="E1895" s="4"/>
    </row>
    <row r="1896" spans="1:5" x14ac:dyDescent="0.3">
      <c r="A1896" s="9">
        <v>1888</v>
      </c>
      <c r="B1896" s="10">
        <f t="shared" ca="1" si="29"/>
        <v>7.2654718289984405E-2</v>
      </c>
      <c r="C1896" s="10">
        <f ca="1">NPV(B1896,Project_FCF!C18:J18)+Project_FCF!B18</f>
        <v>1002.0043303871096</v>
      </c>
      <c r="D1896" s="4"/>
      <c r="E1896" s="4"/>
    </row>
    <row r="1897" spans="1:5" x14ac:dyDescent="0.3">
      <c r="A1897" s="9">
        <v>1889</v>
      </c>
      <c r="B1897" s="10">
        <f t="shared" ca="1" si="29"/>
        <v>0.10158232691890881</v>
      </c>
      <c r="C1897" s="10">
        <f ca="1">NPV(B1897,Project_FCF!C18:J18)+Project_FCF!B18</f>
        <v>771.32519032565688</v>
      </c>
      <c r="D1897" s="4"/>
      <c r="E1897" s="4"/>
    </row>
    <row r="1898" spans="1:5" x14ac:dyDescent="0.3">
      <c r="A1898" s="9">
        <v>1890</v>
      </c>
      <c r="B1898" s="10">
        <f t="shared" ca="1" si="29"/>
        <v>7.2018679327228774E-2</v>
      </c>
      <c r="C1898" s="10">
        <f ca="1">NPV(B1898,Project_FCF!C18:J18)+Project_FCF!B18</f>
        <v>1007.6943273488239</v>
      </c>
      <c r="D1898" s="4"/>
      <c r="E1898" s="4"/>
    </row>
    <row r="1899" spans="1:5" x14ac:dyDescent="0.3">
      <c r="A1899" s="9">
        <v>1891</v>
      </c>
      <c r="B1899" s="10">
        <f t="shared" ca="1" si="29"/>
        <v>7.6026371283132166E-2</v>
      </c>
      <c r="C1899" s="10">
        <f ca="1">NPV(B1899,Project_FCF!C18:J18)+Project_FCF!B18</f>
        <v>972.3202569817845</v>
      </c>
      <c r="D1899" s="4"/>
      <c r="E1899" s="4"/>
    </row>
    <row r="1900" spans="1:5" x14ac:dyDescent="0.3">
      <c r="A1900" s="9">
        <v>1892</v>
      </c>
      <c r="B1900" s="10">
        <f t="shared" ca="1" si="29"/>
        <v>7.1970384027947268E-2</v>
      </c>
      <c r="C1900" s="10">
        <f ca="1">NPV(B1900,Project_FCF!C18:J18)+Project_FCF!B18</f>
        <v>1008.1275617942852</v>
      </c>
      <c r="D1900" s="4"/>
      <c r="E1900" s="4"/>
    </row>
    <row r="1901" spans="1:5" x14ac:dyDescent="0.3">
      <c r="A1901" s="9">
        <v>1893</v>
      </c>
      <c r="B1901" s="10">
        <f t="shared" ca="1" si="29"/>
        <v>8.5574231312573704E-2</v>
      </c>
      <c r="C1901" s="10">
        <f ca="1">NPV(B1901,Project_FCF!C18:J18)+Project_FCF!B18</f>
        <v>892.45653609498095</v>
      </c>
      <c r="D1901" s="4"/>
      <c r="E1901" s="4"/>
    </row>
    <row r="1902" spans="1:5" x14ac:dyDescent="0.3">
      <c r="A1902" s="9">
        <v>1894</v>
      </c>
      <c r="B1902" s="10">
        <f t="shared" ca="1" si="29"/>
        <v>9.6166095534865326E-2</v>
      </c>
      <c r="C1902" s="10">
        <f ca="1">NPV(B1902,Project_FCF!C18:J18)+Project_FCF!B18</f>
        <v>810.62398010342758</v>
      </c>
      <c r="D1902" s="4"/>
      <c r="E1902" s="4"/>
    </row>
    <row r="1903" spans="1:5" x14ac:dyDescent="0.3">
      <c r="A1903" s="9">
        <v>1895</v>
      </c>
      <c r="B1903" s="10">
        <f t="shared" ca="1" si="29"/>
        <v>8.0082032532031402E-2</v>
      </c>
      <c r="C1903" s="10">
        <f ca="1">NPV(B1903,Project_FCF!C18:J18)+Project_FCF!B18</f>
        <v>937.65564391802354</v>
      </c>
      <c r="D1903" s="4"/>
      <c r="E1903" s="4"/>
    </row>
    <row r="1904" spans="1:5" x14ac:dyDescent="0.3">
      <c r="A1904" s="9">
        <v>1896</v>
      </c>
      <c r="B1904" s="10">
        <f t="shared" ca="1" si="29"/>
        <v>7.333197473619843E-2</v>
      </c>
      <c r="C1904" s="10">
        <f ca="1">NPV(B1904,Project_FCF!C18:J18)+Project_FCF!B18</f>
        <v>995.977368787572</v>
      </c>
      <c r="D1904" s="4"/>
      <c r="E1904" s="4"/>
    </row>
    <row r="1905" spans="1:5" x14ac:dyDescent="0.3">
      <c r="A1905" s="9">
        <v>1897</v>
      </c>
      <c r="B1905" s="10">
        <f t="shared" ca="1" si="29"/>
        <v>7.254013914902363E-2</v>
      </c>
      <c r="C1905" s="10">
        <f ca="1">NPV(B1905,Project_FCF!C18:J18)+Project_FCF!B18</f>
        <v>1003.0272149592258</v>
      </c>
      <c r="D1905" s="4"/>
      <c r="E1905" s="4"/>
    </row>
    <row r="1906" spans="1:5" x14ac:dyDescent="0.3">
      <c r="A1906" s="9">
        <v>1898</v>
      </c>
      <c r="B1906" s="10">
        <f t="shared" ca="1" si="29"/>
        <v>9.0096679332627189E-2</v>
      </c>
      <c r="C1906" s="10">
        <f ca="1">NPV(B1906,Project_FCF!C18:J18)+Project_FCF!B18</f>
        <v>856.68210670499684</v>
      </c>
      <c r="D1906" s="4"/>
      <c r="E1906" s="4"/>
    </row>
    <row r="1907" spans="1:5" x14ac:dyDescent="0.3">
      <c r="A1907" s="9">
        <v>1899</v>
      </c>
      <c r="B1907" s="10">
        <f t="shared" ca="1" si="29"/>
        <v>8.7662723613311622E-2</v>
      </c>
      <c r="C1907" s="10">
        <f ca="1">NPV(B1907,Project_FCF!C18:J18)+Project_FCF!B18</f>
        <v>875.77729468239727</v>
      </c>
      <c r="D1907" s="4"/>
      <c r="E1907" s="4"/>
    </row>
    <row r="1908" spans="1:5" x14ac:dyDescent="0.3">
      <c r="A1908" s="11">
        <v>1900</v>
      </c>
      <c r="B1908" s="10">
        <f t="shared" ca="1" si="29"/>
        <v>7.9326767723847558E-2</v>
      </c>
      <c r="C1908" s="10">
        <f ca="1">NPV(B1908,Project_FCF!C18:J18)+Project_FCF!B18</f>
        <v>944.02659637224406</v>
      </c>
      <c r="D1908" s="4"/>
      <c r="E1908" s="4"/>
    </row>
    <row r="1909" spans="1:5" x14ac:dyDescent="0.3">
      <c r="A1909" s="11">
        <v>1901</v>
      </c>
      <c r="B1909" s="10">
        <f t="shared" ca="1" si="29"/>
        <v>8.6596606390551112E-2</v>
      </c>
      <c r="C1909" s="10">
        <f ca="1">NPV(B1909,Project_FCF!C18:J18)+Project_FCF!B18</f>
        <v>884.25726161768239</v>
      </c>
      <c r="D1909" s="4"/>
      <c r="E1909" s="4"/>
    </row>
    <row r="1910" spans="1:5" x14ac:dyDescent="0.3">
      <c r="A1910" s="11">
        <v>1902</v>
      </c>
      <c r="B1910" s="10">
        <f t="shared" ca="1" si="29"/>
        <v>8.7351206883964416E-2</v>
      </c>
      <c r="C1910" s="10">
        <f ca="1">NPV(B1910,Project_FCF!C18:J18)+Project_FCF!B18</f>
        <v>878.24775654159657</v>
      </c>
      <c r="D1910" s="4"/>
      <c r="E1910" s="4"/>
    </row>
    <row r="1911" spans="1:5" x14ac:dyDescent="0.3">
      <c r="A1911" s="11">
        <v>1903</v>
      </c>
      <c r="B1911" s="10">
        <f t="shared" ca="1" si="29"/>
        <v>9.0036000694138016E-2</v>
      </c>
      <c r="C1911" s="10">
        <f ca="1">NPV(B1911,Project_FCF!C18:J18)+Project_FCF!B18</f>
        <v>857.15372261413245</v>
      </c>
      <c r="D1911" s="4"/>
      <c r="E1911" s="4"/>
    </row>
    <row r="1912" spans="1:5" x14ac:dyDescent="0.3">
      <c r="A1912" s="11">
        <v>1904</v>
      </c>
      <c r="B1912" s="10">
        <f t="shared" ca="1" si="29"/>
        <v>8.5430387681321232E-2</v>
      </c>
      <c r="C1912" s="10">
        <f ca="1">NPV(B1912,Project_FCF!C18:J18)+Project_FCF!B18</f>
        <v>893.61545528498118</v>
      </c>
      <c r="D1912" s="4"/>
      <c r="E1912" s="4"/>
    </row>
    <row r="1913" spans="1:5" x14ac:dyDescent="0.3">
      <c r="A1913" s="11">
        <v>1905</v>
      </c>
      <c r="B1913" s="10">
        <f t="shared" ca="1" si="29"/>
        <v>0.10154857837810205</v>
      </c>
      <c r="C1913" s="10">
        <f ca="1">NPV(B1913,Project_FCF!C18:J18)+Project_FCF!B18</f>
        <v>771.56497360741128</v>
      </c>
      <c r="D1913" s="4"/>
      <c r="E1913" s="4"/>
    </row>
    <row r="1914" spans="1:5" x14ac:dyDescent="0.3">
      <c r="A1914" s="11">
        <v>1906</v>
      </c>
      <c r="B1914" s="10">
        <f t="shared" ca="1" si="29"/>
        <v>8.8409417670174184E-2</v>
      </c>
      <c r="C1914" s="10">
        <f ca="1">NPV(B1914,Project_FCF!C18:J18)+Project_FCF!B18</f>
        <v>869.88030463684436</v>
      </c>
      <c r="D1914" s="4"/>
      <c r="E1914" s="4"/>
    </row>
    <row r="1915" spans="1:5" x14ac:dyDescent="0.3">
      <c r="A1915" s="11">
        <v>1907</v>
      </c>
      <c r="B1915" s="10">
        <f t="shared" ca="1" si="29"/>
        <v>7.7195288824658745E-2</v>
      </c>
      <c r="C1915" s="10">
        <f ca="1">NPV(B1915,Project_FCF!C18:J18)+Project_FCF!B18</f>
        <v>962.21419576531207</v>
      </c>
      <c r="D1915" s="4"/>
      <c r="E1915" s="4"/>
    </row>
    <row r="1916" spans="1:5" x14ac:dyDescent="0.3">
      <c r="A1916" s="11">
        <v>1908</v>
      </c>
      <c r="B1916" s="10">
        <f t="shared" ca="1" si="29"/>
        <v>9.3298605992164135E-2</v>
      </c>
      <c r="C1916" s="10">
        <f ca="1">NPV(B1916,Project_FCF!C18:J18)+Project_FCF!B18</f>
        <v>832.11147491640759</v>
      </c>
      <c r="D1916" s="4"/>
      <c r="E1916" s="4"/>
    </row>
    <row r="1917" spans="1:5" x14ac:dyDescent="0.3">
      <c r="A1917" s="11">
        <v>1909</v>
      </c>
      <c r="B1917" s="10">
        <f t="shared" ca="1" si="29"/>
        <v>0.10151653639486924</v>
      </c>
      <c r="C1917" s="10">
        <f ca="1">NPV(B1917,Project_FCF!C18:J18)+Project_FCF!B18</f>
        <v>771.79268991478739</v>
      </c>
      <c r="D1917" s="4"/>
      <c r="E1917" s="4"/>
    </row>
    <row r="1918" spans="1:5" x14ac:dyDescent="0.3">
      <c r="A1918" s="11">
        <v>1910</v>
      </c>
      <c r="B1918" s="10">
        <f t="shared" ca="1" si="29"/>
        <v>7.3652167445440481E-2</v>
      </c>
      <c r="C1918" s="10">
        <f ca="1">NPV(B1918,Project_FCF!C18:J18)+Project_FCF!B18</f>
        <v>993.13929739052833</v>
      </c>
      <c r="D1918" s="4"/>
      <c r="E1918" s="4"/>
    </row>
    <row r="1919" spans="1:5" x14ac:dyDescent="0.3">
      <c r="A1919" s="11">
        <v>1911</v>
      </c>
      <c r="B1919" s="10">
        <f t="shared" ca="1" si="29"/>
        <v>8.8944829901312389E-2</v>
      </c>
      <c r="C1919" s="10">
        <f ca="1">NPV(B1919,Project_FCF!C18:J18)+Project_FCF!B18</f>
        <v>865.67318871349858</v>
      </c>
      <c r="D1919" s="4"/>
      <c r="E1919" s="4"/>
    </row>
    <row r="1920" spans="1:5" x14ac:dyDescent="0.3">
      <c r="A1920" s="11">
        <v>1912</v>
      </c>
      <c r="B1920" s="10">
        <f t="shared" ca="1" si="29"/>
        <v>9.7759745638114265E-2</v>
      </c>
      <c r="C1920" s="10">
        <f ca="1">NPV(B1920,Project_FCF!C18:J18)+Project_FCF!B18</f>
        <v>798.8883304742792</v>
      </c>
      <c r="D1920" s="4"/>
      <c r="E1920" s="4"/>
    </row>
    <row r="1921" spans="1:5" x14ac:dyDescent="0.3">
      <c r="A1921" s="11">
        <v>1913</v>
      </c>
      <c r="B1921" s="10">
        <f t="shared" ca="1" si="29"/>
        <v>6.6841513702539893E-2</v>
      </c>
      <c r="C1921" s="10">
        <f ca="1">NPV(B1921,Project_FCF!C18:J18)+Project_FCF!B18</f>
        <v>1055.1055420271985</v>
      </c>
      <c r="D1921" s="4"/>
      <c r="E1921" s="4"/>
    </row>
    <row r="1922" spans="1:5" x14ac:dyDescent="0.3">
      <c r="A1922" s="11">
        <v>1914</v>
      </c>
      <c r="B1922" s="10">
        <f t="shared" ca="1" si="29"/>
        <v>9.3157008824145598E-2</v>
      </c>
      <c r="C1922" s="10">
        <f ca="1">NPV(B1922,Project_FCF!C18:J18)+Project_FCF!B18</f>
        <v>833.18506767119743</v>
      </c>
      <c r="D1922" s="4"/>
      <c r="E1922" s="4"/>
    </row>
    <row r="1923" spans="1:5" x14ac:dyDescent="0.3">
      <c r="A1923" s="11">
        <v>1915</v>
      </c>
      <c r="B1923" s="10">
        <f t="shared" ca="1" si="29"/>
        <v>9.1333932728784983E-2</v>
      </c>
      <c r="C1923" s="10">
        <f ca="1">NPV(B1923,Project_FCF!C18:J18)+Project_FCF!B18</f>
        <v>847.11457544314567</v>
      </c>
      <c r="D1923" s="4"/>
      <c r="E1923" s="4"/>
    </row>
    <row r="1924" spans="1:5" x14ac:dyDescent="0.3">
      <c r="A1924" s="11">
        <v>1916</v>
      </c>
      <c r="B1924" s="10">
        <f t="shared" ca="1" si="29"/>
        <v>0.10339140646846061</v>
      </c>
      <c r="C1924" s="10">
        <f ca="1">NPV(B1924,Project_FCF!C18:J18)+Project_FCF!B18</f>
        <v>758.56308242970999</v>
      </c>
      <c r="D1924" s="4"/>
      <c r="E1924" s="4"/>
    </row>
    <row r="1925" spans="1:5" x14ac:dyDescent="0.3">
      <c r="A1925" s="11">
        <v>1917</v>
      </c>
      <c r="B1925" s="10">
        <f t="shared" ca="1" si="29"/>
        <v>7.8661108822414172E-2</v>
      </c>
      <c r="C1925" s="10">
        <f ca="1">NPV(B1925,Project_FCF!C18:J18)+Project_FCF!B18</f>
        <v>949.67348189600102</v>
      </c>
      <c r="D1925" s="4"/>
      <c r="E1925" s="4"/>
    </row>
    <row r="1926" spans="1:5" x14ac:dyDescent="0.3">
      <c r="A1926" s="11">
        <v>1918</v>
      </c>
      <c r="B1926" s="10">
        <f t="shared" ca="1" si="29"/>
        <v>7.6789554385760406E-2</v>
      </c>
      <c r="C1926" s="10">
        <f ca="1">NPV(B1926,Project_FCF!C18:J18)+Project_FCF!B18</f>
        <v>965.71137232345313</v>
      </c>
      <c r="D1926" s="4"/>
      <c r="E1926" s="4"/>
    </row>
    <row r="1927" spans="1:5" x14ac:dyDescent="0.3">
      <c r="A1927" s="11">
        <v>1919</v>
      </c>
      <c r="B1927" s="10">
        <f t="shared" ca="1" si="29"/>
        <v>8.8764958056495896E-2</v>
      </c>
      <c r="C1927" s="10">
        <f ca="1">NPV(B1927,Project_FCF!C18:J18)+Project_FCF!B18</f>
        <v>867.08459385332185</v>
      </c>
      <c r="D1927" s="4"/>
      <c r="E1927" s="4"/>
    </row>
    <row r="1928" spans="1:5" x14ac:dyDescent="0.3">
      <c r="A1928" s="11">
        <v>1920</v>
      </c>
      <c r="B1928" s="10">
        <f t="shared" ca="1" si="29"/>
        <v>6.4723677320572742E-2</v>
      </c>
      <c r="C1928" s="10">
        <f ca="1">NPV(B1928,Project_FCF!C18:J18)+Project_FCF!B18</f>
        <v>1075.0767424656442</v>
      </c>
      <c r="D1928" s="4"/>
      <c r="E1928" s="4"/>
    </row>
    <row r="1929" spans="1:5" x14ac:dyDescent="0.3">
      <c r="A1929" s="11">
        <v>1921</v>
      </c>
      <c r="B1929" s="10">
        <f t="shared" ref="B1929:B1992" ca="1" si="30">$B$4+RAND()*($B$5-$B$4)</f>
        <v>7.359230820145031E-2</v>
      </c>
      <c r="C1929" s="10">
        <f ca="1">NPV(B1929,Project_FCF!C18:J18)+Project_FCF!B18</f>
        <v>993.66931565654454</v>
      </c>
      <c r="D1929" s="4"/>
      <c r="E1929" s="4"/>
    </row>
    <row r="1930" spans="1:5" x14ac:dyDescent="0.3">
      <c r="A1930" s="11">
        <v>1922</v>
      </c>
      <c r="B1930" s="10">
        <f t="shared" ca="1" si="30"/>
        <v>9.033934370884919E-2</v>
      </c>
      <c r="C1930" s="10">
        <f ca="1">NPV(B1930,Project_FCF!C18:J18)+Project_FCF!B18</f>
        <v>854.79827850285369</v>
      </c>
      <c r="D1930" s="4"/>
      <c r="E1930" s="4"/>
    </row>
    <row r="1931" spans="1:5" x14ac:dyDescent="0.3">
      <c r="A1931" s="11">
        <v>1923</v>
      </c>
      <c r="B1931" s="10">
        <f t="shared" ca="1" si="30"/>
        <v>7.0555591451825023E-2</v>
      </c>
      <c r="C1931" s="10">
        <f ca="1">NPV(B1931,Project_FCF!C18:J18)+Project_FCF!B18</f>
        <v>1020.8937112671344</v>
      </c>
      <c r="D1931" s="4"/>
      <c r="E1931" s="4"/>
    </row>
    <row r="1932" spans="1:5" x14ac:dyDescent="0.3">
      <c r="A1932" s="11">
        <v>1924</v>
      </c>
      <c r="B1932" s="10">
        <f t="shared" ca="1" si="30"/>
        <v>9.9086952099533582E-2</v>
      </c>
      <c r="C1932" s="10">
        <f ca="1">NPV(B1932,Project_FCF!C18:J18)+Project_FCF!B18</f>
        <v>789.22537350631319</v>
      </c>
      <c r="D1932" s="4"/>
      <c r="E1932" s="4"/>
    </row>
    <row r="1933" spans="1:5" x14ac:dyDescent="0.3">
      <c r="A1933" s="11">
        <v>1925</v>
      </c>
      <c r="B1933" s="10">
        <f t="shared" ca="1" si="30"/>
        <v>7.577402356909195E-2</v>
      </c>
      <c r="C1933" s="10">
        <f ca="1">NPV(B1933,Project_FCF!C18:J18)+Project_FCF!B18</f>
        <v>974.51435930049547</v>
      </c>
      <c r="D1933" s="4"/>
      <c r="E1933" s="4"/>
    </row>
    <row r="1934" spans="1:5" x14ac:dyDescent="0.3">
      <c r="A1934" s="11">
        <v>1926</v>
      </c>
      <c r="B1934" s="10">
        <f t="shared" ca="1" si="30"/>
        <v>8.9376150272395011E-2</v>
      </c>
      <c r="C1934" s="10">
        <f ca="1">NPV(B1934,Project_FCF!C18:J18)+Project_FCF!B18</f>
        <v>862.29685892261341</v>
      </c>
      <c r="D1934" s="4"/>
      <c r="E1934" s="4"/>
    </row>
    <row r="1935" spans="1:5" x14ac:dyDescent="0.3">
      <c r="A1935" s="11">
        <v>1927</v>
      </c>
      <c r="B1935" s="10">
        <f t="shared" ca="1" si="30"/>
        <v>9.8803356760659364E-2</v>
      </c>
      <c r="C1935" s="10">
        <f ca="1">NPV(B1935,Project_FCF!C18:J18)+Project_FCF!B18</f>
        <v>791.28176034595481</v>
      </c>
      <c r="D1935" s="4"/>
      <c r="E1935" s="4"/>
    </row>
    <row r="1936" spans="1:5" x14ac:dyDescent="0.3">
      <c r="A1936" s="11">
        <v>1928</v>
      </c>
      <c r="B1936" s="10">
        <f t="shared" ca="1" si="30"/>
        <v>7.8782344052081732E-2</v>
      </c>
      <c r="C1936" s="10">
        <f ca="1">NPV(B1936,Project_FCF!C18:J18)+Project_FCF!B18</f>
        <v>948.64279770760072</v>
      </c>
      <c r="D1936" s="4"/>
      <c r="E1936" s="4"/>
    </row>
    <row r="1937" spans="1:5" x14ac:dyDescent="0.3">
      <c r="A1937" s="11">
        <v>1929</v>
      </c>
      <c r="B1937" s="10">
        <f t="shared" ca="1" si="30"/>
        <v>8.1409813784123791E-2</v>
      </c>
      <c r="C1937" s="10">
        <f ca="1">NPV(B1937,Project_FCF!C18:J18)+Project_FCF!B18</f>
        <v>926.54749717964637</v>
      </c>
      <c r="D1937" s="4"/>
      <c r="E1937" s="4"/>
    </row>
    <row r="1938" spans="1:5" x14ac:dyDescent="0.3">
      <c r="A1938" s="11">
        <v>1930</v>
      </c>
      <c r="B1938" s="10">
        <f t="shared" ca="1" si="30"/>
        <v>6.483053100956164E-2</v>
      </c>
      <c r="C1938" s="10">
        <f ca="1">NPV(B1938,Project_FCF!C18:J18)+Project_FCF!B18</f>
        <v>1074.0609157454558</v>
      </c>
      <c r="D1938" s="4"/>
      <c r="E1938" s="4"/>
    </row>
    <row r="1939" spans="1:5" x14ac:dyDescent="0.3">
      <c r="A1939" s="11">
        <v>1931</v>
      </c>
      <c r="B1939" s="10">
        <f t="shared" ca="1" si="30"/>
        <v>7.7212957707108704E-2</v>
      </c>
      <c r="C1939" s="10">
        <f ca="1">NPV(B1939,Project_FCF!C18:J18)+Project_FCF!B18</f>
        <v>962.06215780551088</v>
      </c>
      <c r="D1939" s="4"/>
      <c r="E1939" s="4"/>
    </row>
    <row r="1940" spans="1:5" x14ac:dyDescent="0.3">
      <c r="A1940" s="11">
        <v>1932</v>
      </c>
      <c r="B1940" s="10">
        <f t="shared" ca="1" si="30"/>
        <v>8.6182752134280768E-2</v>
      </c>
      <c r="C1940" s="10">
        <f ca="1">NPV(B1940,Project_FCF!C18:J18)+Project_FCF!B18</f>
        <v>887.56833723932164</v>
      </c>
      <c r="D1940" s="4"/>
      <c r="E1940" s="4"/>
    </row>
    <row r="1941" spans="1:5" x14ac:dyDescent="0.3">
      <c r="A1941" s="11">
        <v>1933</v>
      </c>
      <c r="B1941" s="10">
        <f t="shared" ca="1" si="30"/>
        <v>8.653053097224353E-2</v>
      </c>
      <c r="C1941" s="10">
        <f ca="1">NPV(B1941,Project_FCF!C18:J18)+Project_FCF!B18</f>
        <v>884.78517880510617</v>
      </c>
      <c r="D1941" s="4"/>
      <c r="E1941" s="4"/>
    </row>
    <row r="1942" spans="1:5" x14ac:dyDescent="0.3">
      <c r="A1942" s="11">
        <v>1934</v>
      </c>
      <c r="B1942" s="10">
        <f t="shared" ca="1" si="30"/>
        <v>7.4786659020352211E-2</v>
      </c>
      <c r="C1942" s="10">
        <f ca="1">NPV(B1942,Project_FCF!C18:J18)+Project_FCF!B18</f>
        <v>983.14185097373343</v>
      </c>
      <c r="D1942" s="4"/>
      <c r="E1942" s="4"/>
    </row>
    <row r="1943" spans="1:5" x14ac:dyDescent="0.3">
      <c r="A1943" s="11">
        <v>1935</v>
      </c>
      <c r="B1943" s="10">
        <f t="shared" ca="1" si="30"/>
        <v>7.2485628056288623E-2</v>
      </c>
      <c r="C1943" s="10">
        <f ca="1">NPV(B1943,Project_FCF!C18:J18)+Project_FCF!B18</f>
        <v>1003.5141824085779</v>
      </c>
      <c r="D1943" s="4"/>
      <c r="E1943" s="4"/>
    </row>
    <row r="1944" spans="1:5" x14ac:dyDescent="0.3">
      <c r="A1944" s="11">
        <v>1936</v>
      </c>
      <c r="B1944" s="10">
        <f t="shared" ca="1" si="30"/>
        <v>8.0897006035951194E-2</v>
      </c>
      <c r="C1944" s="10">
        <f ca="1">NPV(B1944,Project_FCF!C18:J18)+Project_FCF!B18</f>
        <v>930.82375264407733</v>
      </c>
      <c r="D1944" s="4"/>
      <c r="E1944" s="4"/>
    </row>
    <row r="1945" spans="1:5" x14ac:dyDescent="0.3">
      <c r="A1945" s="11">
        <v>1937</v>
      </c>
      <c r="B1945" s="10">
        <f t="shared" ca="1" si="30"/>
        <v>8.2372921986733488E-2</v>
      </c>
      <c r="C1945" s="10">
        <f ca="1">NPV(B1945,Project_FCF!C18:J18)+Project_FCF!B18</f>
        <v>918.56306894929139</v>
      </c>
      <c r="D1945" s="4"/>
      <c r="E1945" s="4"/>
    </row>
    <row r="1946" spans="1:5" x14ac:dyDescent="0.3">
      <c r="A1946" s="11">
        <v>1938</v>
      </c>
      <c r="B1946" s="10">
        <f t="shared" ca="1" si="30"/>
        <v>7.8366203096010861E-2</v>
      </c>
      <c r="C1946" s="10">
        <f ca="1">NPV(B1946,Project_FCF!C18:J18)+Project_FCF!B18</f>
        <v>952.18478329866207</v>
      </c>
      <c r="D1946" s="4"/>
      <c r="E1946" s="4"/>
    </row>
    <row r="1947" spans="1:5" x14ac:dyDescent="0.3">
      <c r="A1947" s="11">
        <v>1939</v>
      </c>
      <c r="B1947" s="10">
        <f t="shared" ca="1" si="30"/>
        <v>7.5458196179872025E-2</v>
      </c>
      <c r="C1947" s="10">
        <f ca="1">NPV(B1947,Project_FCF!C18:J18)+Project_FCF!B18</f>
        <v>977.26663389494593</v>
      </c>
      <c r="D1947" s="4"/>
      <c r="E1947" s="4"/>
    </row>
    <row r="1948" spans="1:5" x14ac:dyDescent="0.3">
      <c r="A1948" s="11">
        <v>1940</v>
      </c>
      <c r="B1948" s="10">
        <f t="shared" ca="1" si="30"/>
        <v>9.6862926112101816E-2</v>
      </c>
      <c r="C1948" s="10">
        <f ca="1">NPV(B1948,Project_FCF!C18:J18)+Project_FCF!B18</f>
        <v>805.47456825689301</v>
      </c>
      <c r="D1948" s="4"/>
      <c r="E1948" s="4"/>
    </row>
    <row r="1949" spans="1:5" x14ac:dyDescent="0.3">
      <c r="A1949" s="11">
        <v>1941</v>
      </c>
      <c r="B1949" s="10">
        <f t="shared" ca="1" si="30"/>
        <v>0.10000551866601408</v>
      </c>
      <c r="C1949" s="10">
        <f ca="1">NPV(B1949,Project_FCF!C18:J18)+Project_FCF!B18</f>
        <v>782.59578063471713</v>
      </c>
      <c r="D1949" s="4"/>
      <c r="E1949" s="4"/>
    </row>
    <row r="1950" spans="1:5" x14ac:dyDescent="0.3">
      <c r="A1950" s="11">
        <v>1942</v>
      </c>
      <c r="B1950" s="10">
        <f t="shared" ca="1" si="30"/>
        <v>0.1000120703037479</v>
      </c>
      <c r="C1950" s="10">
        <f ca="1">NPV(B1950,Project_FCF!C18:J18)+Project_FCF!B18</f>
        <v>782.54866517636378</v>
      </c>
      <c r="D1950" s="4"/>
      <c r="E1950" s="4"/>
    </row>
    <row r="1951" spans="1:5" x14ac:dyDescent="0.3">
      <c r="A1951" s="11">
        <v>1943</v>
      </c>
      <c r="B1951" s="10">
        <f t="shared" ca="1" si="30"/>
        <v>7.9202495059099209E-2</v>
      </c>
      <c r="C1951" s="10">
        <f ca="1">NPV(B1951,Project_FCF!C18:J18)+Project_FCF!B18</f>
        <v>945.07855273288942</v>
      </c>
      <c r="D1951" s="4"/>
      <c r="E1951" s="4"/>
    </row>
    <row r="1952" spans="1:5" x14ac:dyDescent="0.3">
      <c r="A1952" s="11">
        <v>1944</v>
      </c>
      <c r="B1952" s="10">
        <f t="shared" ca="1" si="30"/>
        <v>9.8864847331457645E-2</v>
      </c>
      <c r="C1952" s="10">
        <f ca="1">NPV(B1952,Project_FCF!C18:J18)+Project_FCF!B18</f>
        <v>790.83549883055935</v>
      </c>
      <c r="D1952" s="4"/>
      <c r="E1952" s="4"/>
    </row>
    <row r="1953" spans="1:5" x14ac:dyDescent="0.3">
      <c r="A1953" s="11">
        <v>1945</v>
      </c>
      <c r="B1953" s="10">
        <f t="shared" ca="1" si="30"/>
        <v>7.9647238356623934E-2</v>
      </c>
      <c r="C1953" s="10">
        <f ca="1">NPV(B1953,Project_FCF!C18:J18)+Project_FCF!B18</f>
        <v>941.31863210059146</v>
      </c>
      <c r="D1953" s="4"/>
      <c r="E1953" s="4"/>
    </row>
    <row r="1954" spans="1:5" x14ac:dyDescent="0.3">
      <c r="A1954" s="11">
        <v>1946</v>
      </c>
      <c r="B1954" s="10">
        <f t="shared" ca="1" si="30"/>
        <v>8.523104008100417E-2</v>
      </c>
      <c r="C1954" s="10">
        <f ca="1">NPV(B1954,Project_FCF!C18:J18)+Project_FCF!B18</f>
        <v>895.22373636450016</v>
      </c>
      <c r="D1954" s="4"/>
      <c r="E1954" s="4"/>
    </row>
    <row r="1955" spans="1:5" x14ac:dyDescent="0.3">
      <c r="A1955" s="11">
        <v>1947</v>
      </c>
      <c r="B1955" s="10">
        <f t="shared" ca="1" si="30"/>
        <v>8.6513448515783686E-2</v>
      </c>
      <c r="C1955" s="10">
        <f ca="1">NPV(B1955,Project_FCF!C18:J18)+Project_FCF!B18</f>
        <v>884.92170582080075</v>
      </c>
      <c r="D1955" s="4"/>
      <c r="E1955" s="4"/>
    </row>
    <row r="1956" spans="1:5" x14ac:dyDescent="0.3">
      <c r="A1956" s="11">
        <v>1948</v>
      </c>
      <c r="B1956" s="10">
        <f t="shared" ca="1" si="30"/>
        <v>7.3834207035635604E-2</v>
      </c>
      <c r="C1956" s="10">
        <f ca="1">NPV(B1956,Project_FCF!C18:J18)+Project_FCF!B18</f>
        <v>991.5290024316273</v>
      </c>
      <c r="D1956" s="4"/>
      <c r="E1956" s="4"/>
    </row>
    <row r="1957" spans="1:5" x14ac:dyDescent="0.3">
      <c r="A1957" s="11">
        <v>1949</v>
      </c>
      <c r="B1957" s="10">
        <f t="shared" ca="1" si="30"/>
        <v>8.913935545218829E-2</v>
      </c>
      <c r="C1957" s="10">
        <f ca="1">NPV(B1957,Project_FCF!C18:J18)+Project_FCF!B18</f>
        <v>864.14904570100566</v>
      </c>
      <c r="D1957" s="4"/>
      <c r="E1957" s="4"/>
    </row>
    <row r="1958" spans="1:5" x14ac:dyDescent="0.3">
      <c r="A1958" s="11">
        <v>1950</v>
      </c>
      <c r="B1958" s="10">
        <f t="shared" ca="1" si="30"/>
        <v>9.0928714102058647E-2</v>
      </c>
      <c r="C1958" s="10">
        <f ca="1">NPV(B1958,Project_FCF!C18:J18)+Project_FCF!B18</f>
        <v>850.23785513638313</v>
      </c>
      <c r="D1958" s="4"/>
      <c r="E1958" s="4"/>
    </row>
    <row r="1959" spans="1:5" x14ac:dyDescent="0.3">
      <c r="A1959" s="11">
        <v>1951</v>
      </c>
      <c r="B1959" s="10">
        <f t="shared" ca="1" si="30"/>
        <v>7.8357739430600773E-2</v>
      </c>
      <c r="C1959" s="10">
        <f ca="1">NPV(B1959,Project_FCF!C18:J18)+Project_FCF!B18</f>
        <v>952.25694355940846</v>
      </c>
      <c r="D1959" s="4"/>
      <c r="E1959" s="4"/>
    </row>
    <row r="1960" spans="1:5" x14ac:dyDescent="0.3">
      <c r="A1960" s="11">
        <v>1952</v>
      </c>
      <c r="B1960" s="10">
        <f t="shared" ca="1" si="30"/>
        <v>7.5833702545147513E-2</v>
      </c>
      <c r="C1960" s="10">
        <f ca="1">NPV(B1960,Project_FCF!C18:J18)+Project_FCF!B18</f>
        <v>973.99506617864859</v>
      </c>
      <c r="D1960" s="4"/>
      <c r="E1960" s="4"/>
    </row>
    <row r="1961" spans="1:5" x14ac:dyDescent="0.3">
      <c r="A1961" s="11">
        <v>1953</v>
      </c>
      <c r="B1961" s="10">
        <f t="shared" ca="1" si="30"/>
        <v>7.4949952441772064E-2</v>
      </c>
      <c r="C1961" s="10">
        <f ca="1">NPV(B1961,Project_FCF!C18:J18)+Project_FCF!B18</f>
        <v>981.71031153243666</v>
      </c>
      <c r="D1961" s="4"/>
      <c r="E1961" s="4"/>
    </row>
    <row r="1962" spans="1:5" x14ac:dyDescent="0.3">
      <c r="A1962" s="11">
        <v>1954</v>
      </c>
      <c r="B1962" s="10">
        <f t="shared" ca="1" si="30"/>
        <v>8.6439458287924209E-2</v>
      </c>
      <c r="C1962" s="10">
        <f ca="1">NPV(B1962,Project_FCF!C18:J18)+Project_FCF!B18</f>
        <v>885.51326555684386</v>
      </c>
      <c r="D1962" s="4"/>
      <c r="E1962" s="4"/>
    </row>
    <row r="1963" spans="1:5" x14ac:dyDescent="0.3">
      <c r="A1963" s="11">
        <v>1955</v>
      </c>
      <c r="B1963" s="10">
        <f t="shared" ca="1" si="30"/>
        <v>7.6038376004131741E-2</v>
      </c>
      <c r="C1963" s="10">
        <f ca="1">NPV(B1963,Project_FCF!C18:J18)+Project_FCF!B18</f>
        <v>972.21598885405456</v>
      </c>
      <c r="D1963" s="4"/>
      <c r="E1963" s="4"/>
    </row>
    <row r="1964" spans="1:5" x14ac:dyDescent="0.3">
      <c r="A1964" s="11">
        <v>1956</v>
      </c>
      <c r="B1964" s="10">
        <f t="shared" ca="1" si="30"/>
        <v>9.1103810319718814E-2</v>
      </c>
      <c r="C1964" s="10">
        <f ca="1">NPV(B1964,Project_FCF!C18:J18)+Project_FCF!B18</f>
        <v>848.88705777824907</v>
      </c>
      <c r="D1964" s="4"/>
      <c r="E1964" s="4"/>
    </row>
    <row r="1965" spans="1:5" x14ac:dyDescent="0.3">
      <c r="A1965" s="11">
        <v>1957</v>
      </c>
      <c r="B1965" s="10">
        <f t="shared" ca="1" si="30"/>
        <v>7.969158883687924E-2</v>
      </c>
      <c r="C1965" s="10">
        <f ca="1">NPV(B1965,Project_FCF!C18:J18)+Project_FCF!B18</f>
        <v>940.94441517904124</v>
      </c>
      <c r="D1965" s="4"/>
      <c r="E1965" s="4"/>
    </row>
    <row r="1966" spans="1:5" x14ac:dyDescent="0.3">
      <c r="A1966" s="11">
        <v>1958</v>
      </c>
      <c r="B1966" s="10">
        <f t="shared" ca="1" si="30"/>
        <v>7.7961503141169536E-2</v>
      </c>
      <c r="C1966" s="10">
        <f ca="1">NPV(B1966,Project_FCF!C18:J18)+Project_FCF!B18</f>
        <v>955.6406551260327</v>
      </c>
      <c r="D1966" s="4"/>
      <c r="E1966" s="4"/>
    </row>
    <row r="1967" spans="1:5" x14ac:dyDescent="0.3">
      <c r="A1967" s="11">
        <v>1959</v>
      </c>
      <c r="B1967" s="10">
        <f t="shared" ca="1" si="30"/>
        <v>0.10224116648201695</v>
      </c>
      <c r="C1967" s="10">
        <f ca="1">NPV(B1967,Project_FCF!C18:J18)+Project_FCF!B18</f>
        <v>766.65668916445838</v>
      </c>
      <c r="D1967" s="4"/>
      <c r="E1967" s="4"/>
    </row>
    <row r="1968" spans="1:5" x14ac:dyDescent="0.3">
      <c r="A1968" s="11">
        <v>1960</v>
      </c>
      <c r="B1968" s="10">
        <f t="shared" ca="1" si="30"/>
        <v>8.7533753216368471E-2</v>
      </c>
      <c r="C1968" s="10">
        <f ca="1">NPV(B1968,Project_FCF!C18:J18)+Project_FCF!B18</f>
        <v>876.7993501420076</v>
      </c>
      <c r="D1968" s="4"/>
      <c r="E1968" s="4"/>
    </row>
    <row r="1969" spans="1:5" x14ac:dyDescent="0.3">
      <c r="A1969" s="11">
        <v>1961</v>
      </c>
      <c r="B1969" s="10">
        <f t="shared" ca="1" si="30"/>
        <v>6.4600599241309162E-2</v>
      </c>
      <c r="C1969" s="10">
        <f ca="1">NPV(B1969,Project_FCF!C18:J18)+Project_FCF!B18</f>
        <v>1076.2478965542091</v>
      </c>
      <c r="D1969" s="4"/>
      <c r="E1969" s="4"/>
    </row>
    <row r="1970" spans="1:5" x14ac:dyDescent="0.3">
      <c r="A1970" s="11">
        <v>1962</v>
      </c>
      <c r="B1970" s="10">
        <f t="shared" ca="1" si="30"/>
        <v>0.10391869046568794</v>
      </c>
      <c r="C1970" s="10">
        <f ca="1">NPV(B1970,Project_FCF!C18:J18)+Project_FCF!B18</f>
        <v>754.87690888583757</v>
      </c>
      <c r="D1970" s="4"/>
      <c r="E1970" s="4"/>
    </row>
    <row r="1971" spans="1:5" x14ac:dyDescent="0.3">
      <c r="A1971" s="11">
        <v>1963</v>
      </c>
      <c r="B1971" s="10">
        <f t="shared" ca="1" si="30"/>
        <v>8.5374623589187904E-2</v>
      </c>
      <c r="C1971" s="10">
        <f ca="1">NPV(B1971,Project_FCF!C18:J18)+Project_FCF!B18</f>
        <v>894.06508949111981</v>
      </c>
      <c r="D1971" s="4"/>
      <c r="E1971" s="4"/>
    </row>
    <row r="1972" spans="1:5" x14ac:dyDescent="0.3">
      <c r="A1972" s="11">
        <v>1964</v>
      </c>
      <c r="B1972" s="10">
        <f t="shared" ca="1" si="30"/>
        <v>9.807377448728527E-2</v>
      </c>
      <c r="C1972" s="10">
        <f ca="1">NPV(B1972,Project_FCF!C18:J18)+Project_FCF!B18</f>
        <v>796.59296270711343</v>
      </c>
      <c r="D1972" s="4"/>
      <c r="E1972" s="4"/>
    </row>
    <row r="1973" spans="1:5" x14ac:dyDescent="0.3">
      <c r="A1973" s="11">
        <v>1965</v>
      </c>
      <c r="B1973" s="10">
        <f t="shared" ca="1" si="30"/>
        <v>8.5772524918203988E-2</v>
      </c>
      <c r="C1973" s="10">
        <f ca="1">NPV(B1973,Project_FCF!C18:J18)+Project_FCF!B18</f>
        <v>890.86108033606456</v>
      </c>
      <c r="D1973" s="4"/>
      <c r="E1973" s="4"/>
    </row>
    <row r="1974" spans="1:5" x14ac:dyDescent="0.3">
      <c r="A1974" s="11">
        <v>1966</v>
      </c>
      <c r="B1974" s="10">
        <f t="shared" ca="1" si="30"/>
        <v>6.6295455483096566E-2</v>
      </c>
      <c r="C1974" s="10">
        <f ca="1">NPV(B1974,Project_FCF!C18:J18)+Project_FCF!B18</f>
        <v>1060.2222803674713</v>
      </c>
      <c r="D1974" s="4"/>
      <c r="E1974" s="4"/>
    </row>
    <row r="1975" spans="1:5" x14ac:dyDescent="0.3">
      <c r="A1975" s="11">
        <v>1967</v>
      </c>
      <c r="B1975" s="10">
        <f t="shared" ca="1" si="30"/>
        <v>8.8366376645698755E-2</v>
      </c>
      <c r="C1975" s="10">
        <f ca="1">NPV(B1975,Project_FCF!C18:J18)+Project_FCF!B18</f>
        <v>870.21927898574745</v>
      </c>
      <c r="D1975" s="4"/>
      <c r="E1975" s="4"/>
    </row>
    <row r="1976" spans="1:5" x14ac:dyDescent="0.3">
      <c r="A1976" s="11">
        <v>1968</v>
      </c>
      <c r="B1976" s="10">
        <f t="shared" ca="1" si="30"/>
        <v>7.1108575090612067E-2</v>
      </c>
      <c r="C1976" s="10">
        <f ca="1">NPV(B1976,Project_FCF!C18:J18)+Project_FCF!B18</f>
        <v>1015.8867058855144</v>
      </c>
      <c r="D1976" s="4"/>
      <c r="E1976" s="4"/>
    </row>
    <row r="1977" spans="1:5" x14ac:dyDescent="0.3">
      <c r="A1977" s="11">
        <v>1969</v>
      </c>
      <c r="B1977" s="10">
        <f t="shared" ca="1" si="30"/>
        <v>8.5290949227652957E-2</v>
      </c>
      <c r="C1977" s="10">
        <f ca="1">NPV(B1977,Project_FCF!C18:J18)+Project_FCF!B18</f>
        <v>894.74013989042487</v>
      </c>
      <c r="D1977" s="4"/>
      <c r="E1977" s="4"/>
    </row>
    <row r="1978" spans="1:5" x14ac:dyDescent="0.3">
      <c r="A1978" s="11">
        <v>1970</v>
      </c>
      <c r="B1978" s="10">
        <f t="shared" ca="1" si="30"/>
        <v>9.0864369969970174E-2</v>
      </c>
      <c r="C1978" s="10">
        <f ca="1">NPV(B1978,Project_FCF!C18:J18)+Project_FCF!B18</f>
        <v>850.73471099046151</v>
      </c>
      <c r="D1978" s="4"/>
      <c r="E1978" s="4"/>
    </row>
    <row r="1979" spans="1:5" x14ac:dyDescent="0.3">
      <c r="A1979" s="11">
        <v>1971</v>
      </c>
      <c r="B1979" s="10">
        <f t="shared" ca="1" si="30"/>
        <v>6.4261800795119797E-2</v>
      </c>
      <c r="C1979" s="10">
        <f ca="1">NPV(B1979,Project_FCF!C18:J18)+Project_FCF!B18</f>
        <v>1079.477766081643</v>
      </c>
      <c r="D1979" s="4"/>
      <c r="E1979" s="4"/>
    </row>
    <row r="1980" spans="1:5" x14ac:dyDescent="0.3">
      <c r="A1980" s="11">
        <v>1972</v>
      </c>
      <c r="B1980" s="10">
        <f t="shared" ca="1" si="30"/>
        <v>7.8673819365196962E-2</v>
      </c>
      <c r="C1980" s="10">
        <f ca="1">NPV(B1980,Project_FCF!C18:J18)+Project_FCF!B18</f>
        <v>949.56537627350622</v>
      </c>
      <c r="D1980" s="4"/>
      <c r="E1980" s="4"/>
    </row>
    <row r="1981" spans="1:5" x14ac:dyDescent="0.3">
      <c r="A1981" s="11">
        <v>1973</v>
      </c>
      <c r="B1981" s="10">
        <f t="shared" ca="1" si="30"/>
        <v>9.4724245052481518E-2</v>
      </c>
      <c r="C1981" s="10">
        <f ca="1">NPV(B1981,Project_FCF!C18:J18)+Project_FCF!B18</f>
        <v>821.36826895783656</v>
      </c>
      <c r="D1981" s="4"/>
      <c r="E1981" s="4"/>
    </row>
    <row r="1982" spans="1:5" x14ac:dyDescent="0.3">
      <c r="A1982" s="11">
        <v>1974</v>
      </c>
      <c r="B1982" s="10">
        <f t="shared" ca="1" si="30"/>
        <v>0.10318619946806715</v>
      </c>
      <c r="C1982" s="10">
        <f ca="1">NPV(B1982,Project_FCF!C18:J18)+Project_FCF!B18</f>
        <v>760.00173064582941</v>
      </c>
      <c r="D1982" s="4"/>
      <c r="E1982" s="4"/>
    </row>
    <row r="1983" spans="1:5" x14ac:dyDescent="0.3">
      <c r="A1983" s="11">
        <v>1975</v>
      </c>
      <c r="B1983" s="10">
        <f t="shared" ca="1" si="30"/>
        <v>9.0424312175316657E-2</v>
      </c>
      <c r="C1983" s="10">
        <f ca="1">NPV(B1983,Project_FCF!C18:J18)+Project_FCF!B18</f>
        <v>854.13950787642716</v>
      </c>
      <c r="D1983" s="4"/>
      <c r="E1983" s="4"/>
    </row>
    <row r="1984" spans="1:5" x14ac:dyDescent="0.3">
      <c r="A1984" s="11">
        <v>1976</v>
      </c>
      <c r="B1984" s="10">
        <f t="shared" ca="1" si="30"/>
        <v>9.83812814990878E-2</v>
      </c>
      <c r="C1984" s="10">
        <f ca="1">NPV(B1984,Project_FCF!C18:J18)+Project_FCF!B18</f>
        <v>794.35069923942774</v>
      </c>
      <c r="D1984" s="4"/>
      <c r="E1984" s="4"/>
    </row>
    <row r="1985" spans="1:5" x14ac:dyDescent="0.3">
      <c r="A1985" s="11">
        <v>1977</v>
      </c>
      <c r="B1985" s="10">
        <f t="shared" ca="1" si="30"/>
        <v>9.0157036274404107E-2</v>
      </c>
      <c r="C1985" s="10">
        <f ca="1">NPV(B1985,Project_FCF!C18:J18)+Project_FCF!B18</f>
        <v>856.21321410183305</v>
      </c>
      <c r="D1985" s="4"/>
      <c r="E1985" s="4"/>
    </row>
    <row r="1986" spans="1:5" x14ac:dyDescent="0.3">
      <c r="A1986" s="11">
        <v>1978</v>
      </c>
      <c r="B1986" s="10">
        <f t="shared" ca="1" si="30"/>
        <v>9.3135747079424902E-2</v>
      </c>
      <c r="C1986" s="10">
        <f ca="1">NPV(B1986,Project_FCF!C18:J18)+Project_FCF!B18</f>
        <v>833.34637747286638</v>
      </c>
      <c r="D1986" s="4"/>
      <c r="E1986" s="4"/>
    </row>
    <row r="1987" spans="1:5" x14ac:dyDescent="0.3">
      <c r="A1987" s="11">
        <v>1979</v>
      </c>
      <c r="B1987" s="10">
        <f t="shared" ca="1" si="30"/>
        <v>0.10148527708709407</v>
      </c>
      <c r="C1987" s="10">
        <f ca="1">NPV(B1987,Project_FCF!C18:J18)+Project_FCF!B18</f>
        <v>772.01489845909964</v>
      </c>
      <c r="D1987" s="4"/>
      <c r="E1987" s="4"/>
    </row>
    <row r="1988" spans="1:5" x14ac:dyDescent="0.3">
      <c r="A1988" s="11">
        <v>1980</v>
      </c>
      <c r="B1988" s="10">
        <f t="shared" ca="1" si="30"/>
        <v>7.8319227463213348E-2</v>
      </c>
      <c r="C1988" s="10">
        <f ca="1">NPV(B1988,Project_FCF!C18:J18)+Project_FCF!B18</f>
        <v>952.58535363687611</v>
      </c>
      <c r="D1988" s="4"/>
      <c r="E1988" s="4"/>
    </row>
    <row r="1989" spans="1:5" x14ac:dyDescent="0.3">
      <c r="A1989" s="11">
        <v>1981</v>
      </c>
      <c r="B1989" s="10">
        <f t="shared" ca="1" si="30"/>
        <v>8.5873427608204642E-2</v>
      </c>
      <c r="C1989" s="10">
        <f ca="1">NPV(B1989,Project_FCF!C18:J18)+Project_FCF!B18</f>
        <v>890.05018280697095</v>
      </c>
      <c r="D1989" s="4"/>
      <c r="E1989" s="4"/>
    </row>
    <row r="1990" spans="1:5" x14ac:dyDescent="0.3">
      <c r="A1990" s="11">
        <v>1982</v>
      </c>
      <c r="B1990" s="10">
        <f t="shared" ca="1" si="30"/>
        <v>9.1108647003591295E-2</v>
      </c>
      <c r="C1990" s="10">
        <f ca="1">NPV(B1990,Project_FCF!C18:J18)+Project_FCF!B18</f>
        <v>848.84977103170263</v>
      </c>
      <c r="D1990" s="4"/>
      <c r="E1990" s="4"/>
    </row>
    <row r="1991" spans="1:5" x14ac:dyDescent="0.3">
      <c r="A1991" s="11">
        <v>1983</v>
      </c>
      <c r="B1991" s="10">
        <f t="shared" ca="1" si="30"/>
        <v>9.0923447787964518E-2</v>
      </c>
      <c r="C1991" s="10">
        <f ca="1">NPV(B1991,Project_FCF!C18:J18)+Project_FCF!B18</f>
        <v>850.27851140618759</v>
      </c>
      <c r="D1991" s="4"/>
      <c r="E1991" s="4"/>
    </row>
    <row r="1992" spans="1:5" x14ac:dyDescent="0.3">
      <c r="A1992" s="11">
        <v>1984</v>
      </c>
      <c r="B1992" s="10">
        <f t="shared" ca="1" si="30"/>
        <v>0.10079813250023491</v>
      </c>
      <c r="C1992" s="10">
        <f ca="1">NPV(B1992,Project_FCF!C18:J18)+Project_FCF!B18</f>
        <v>776.91314657292037</v>
      </c>
      <c r="D1992" s="4"/>
      <c r="E1992" s="4"/>
    </row>
    <row r="1993" spans="1:5" x14ac:dyDescent="0.3">
      <c r="A1993" s="11">
        <v>1985</v>
      </c>
      <c r="B1993" s="10">
        <f t="shared" ref="B1993:B2056" ca="1" si="31">$B$4+RAND()*($B$5-$B$4)</f>
        <v>7.709625730519043E-2</v>
      </c>
      <c r="C1993" s="10">
        <f ca="1">NPV(B1993,Project_FCF!C18:J18)+Project_FCF!B18</f>
        <v>963.06674268667325</v>
      </c>
      <c r="D1993" s="4"/>
      <c r="E1993" s="4"/>
    </row>
    <row r="1994" spans="1:5" x14ac:dyDescent="0.3">
      <c r="A1994" s="11">
        <v>1986</v>
      </c>
      <c r="B1994" s="10">
        <f t="shared" ca="1" si="31"/>
        <v>7.8082379232597365E-2</v>
      </c>
      <c r="C1994" s="10">
        <f ca="1">NPV(B1994,Project_FCF!C18:J18)+Project_FCF!B18</f>
        <v>954.60728669390664</v>
      </c>
      <c r="D1994" s="4"/>
      <c r="E1994" s="4"/>
    </row>
    <row r="1995" spans="1:5" x14ac:dyDescent="0.3">
      <c r="A1995" s="11">
        <v>1987</v>
      </c>
      <c r="B1995" s="10">
        <f t="shared" ca="1" si="31"/>
        <v>8.9777595331610047E-2</v>
      </c>
      <c r="C1995" s="10">
        <f ca="1">NPV(B1995,Project_FCF!C18:J18)+Project_FCF!B18</f>
        <v>859.1646601648647</v>
      </c>
      <c r="D1995" s="4"/>
      <c r="E1995" s="4"/>
    </row>
    <row r="1996" spans="1:5" x14ac:dyDescent="0.3">
      <c r="A1996" s="11">
        <v>1988</v>
      </c>
      <c r="B1996" s="10">
        <f t="shared" ca="1" si="31"/>
        <v>7.8586997757739432E-2</v>
      </c>
      <c r="C1996" s="10">
        <f ca="1">NPV(B1996,Project_FCF!C18:J18)+Project_FCF!B18</f>
        <v>950.30402851230951</v>
      </c>
      <c r="D1996" s="4"/>
      <c r="E1996" s="4"/>
    </row>
    <row r="1997" spans="1:5" x14ac:dyDescent="0.3">
      <c r="A1997" s="11">
        <v>1989</v>
      </c>
      <c r="B1997" s="10">
        <f t="shared" ca="1" si="31"/>
        <v>8.8248057356535264E-2</v>
      </c>
      <c r="C1997" s="10">
        <f ca="1">NPV(B1997,Project_FCF!C18:J18)+Project_FCF!B18</f>
        <v>871.15170756327393</v>
      </c>
      <c r="D1997" s="4"/>
      <c r="E1997" s="4"/>
    </row>
    <row r="1998" spans="1:5" x14ac:dyDescent="0.3">
      <c r="A1998" s="11">
        <v>1990</v>
      </c>
      <c r="B1998" s="10">
        <f t="shared" ca="1" si="31"/>
        <v>8.3527768843522421E-2</v>
      </c>
      <c r="C1998" s="10">
        <f ca="1">NPV(B1998,Project_FCF!C18:J18)+Project_FCF!B18</f>
        <v>909.06903907336391</v>
      </c>
      <c r="D1998" s="4"/>
      <c r="E1998" s="4"/>
    </row>
    <row r="1999" spans="1:5" x14ac:dyDescent="0.3">
      <c r="A1999" s="11">
        <v>1991</v>
      </c>
      <c r="B1999" s="10">
        <f t="shared" ca="1" si="31"/>
        <v>6.5070256381405997E-2</v>
      </c>
      <c r="C1999" s="10">
        <f ca="1">NPV(B1999,Project_FCF!C18:J18)+Project_FCF!B18</f>
        <v>1071.7851031097978</v>
      </c>
      <c r="D1999" s="4"/>
      <c r="E1999" s="4"/>
    </row>
    <row r="2000" spans="1:5" x14ac:dyDescent="0.3">
      <c r="A2000" s="11">
        <v>1992</v>
      </c>
      <c r="B2000" s="10">
        <f t="shared" ca="1" si="31"/>
        <v>9.4125832248551908E-2</v>
      </c>
      <c r="C2000" s="10">
        <f ca="1">NPV(B2000,Project_FCF!C18:J18)+Project_FCF!B18</f>
        <v>825.86315076630558</v>
      </c>
      <c r="D2000" s="4"/>
      <c r="E2000" s="4"/>
    </row>
    <row r="2001" spans="1:5" x14ac:dyDescent="0.3">
      <c r="A2001" s="11">
        <v>1993</v>
      </c>
      <c r="B2001" s="10">
        <f t="shared" ca="1" si="31"/>
        <v>6.7512717662698396E-2</v>
      </c>
      <c r="C2001" s="10">
        <f ca="1">NPV(B2001,Project_FCF!C18:J18)+Project_FCF!B18</f>
        <v>1048.8469104715787</v>
      </c>
      <c r="D2001" s="4"/>
      <c r="E2001" s="4"/>
    </row>
    <row r="2002" spans="1:5" x14ac:dyDescent="0.3">
      <c r="A2002" s="11">
        <v>1994</v>
      </c>
      <c r="B2002" s="10">
        <f t="shared" ca="1" si="31"/>
        <v>9.3752005907243294E-2</v>
      </c>
      <c r="C2002" s="10">
        <f ca="1">NPV(B2002,Project_FCF!C18:J18)+Project_FCF!B18</f>
        <v>828.6817813362893</v>
      </c>
      <c r="D2002" s="4"/>
      <c r="E2002" s="4"/>
    </row>
    <row r="2003" spans="1:5" x14ac:dyDescent="0.3">
      <c r="A2003" s="11">
        <v>1995</v>
      </c>
      <c r="B2003" s="10">
        <f t="shared" ca="1" si="31"/>
        <v>7.8865879862940066E-2</v>
      </c>
      <c r="C2003" s="10">
        <f ca="1">NPV(B2003,Project_FCF!C18:J18)+Project_FCF!B18</f>
        <v>947.93319407099125</v>
      </c>
      <c r="D2003" s="4"/>
      <c r="E2003" s="4"/>
    </row>
    <row r="2004" spans="1:5" x14ac:dyDescent="0.3">
      <c r="A2004" s="11">
        <v>1996</v>
      </c>
      <c r="B2004" s="10">
        <f t="shared" ca="1" si="31"/>
        <v>7.855589307859924E-2</v>
      </c>
      <c r="C2004" s="10">
        <f ca="1">NPV(B2004,Project_FCF!C18:J18)+Project_FCF!B18</f>
        <v>950.56878194594015</v>
      </c>
      <c r="D2004" s="4"/>
      <c r="E2004" s="4"/>
    </row>
    <row r="2005" spans="1:5" x14ac:dyDescent="0.3">
      <c r="A2005" s="11">
        <v>1997</v>
      </c>
      <c r="B2005" s="10">
        <f t="shared" ca="1" si="31"/>
        <v>6.6287330633820959E-2</v>
      </c>
      <c r="C2005" s="10">
        <f ca="1">NPV(B2005,Project_FCF!C18:J18)+Project_FCF!B18</f>
        <v>1060.2985829403117</v>
      </c>
      <c r="D2005" s="4"/>
      <c r="E2005" s="4"/>
    </row>
    <row r="2006" spans="1:5" x14ac:dyDescent="0.3">
      <c r="A2006" s="11">
        <v>1998</v>
      </c>
      <c r="B2006" s="10">
        <f t="shared" ca="1" si="31"/>
        <v>7.5624353510969064E-2</v>
      </c>
      <c r="C2006" s="10">
        <f ca="1">NPV(B2006,Project_FCF!C18:J18)+Project_FCF!B18</f>
        <v>975.81779280637056</v>
      </c>
      <c r="D2006" s="4"/>
      <c r="E2006" s="4"/>
    </row>
    <row r="2007" spans="1:5" x14ac:dyDescent="0.3">
      <c r="A2007" s="11">
        <v>1999</v>
      </c>
      <c r="B2007" s="10">
        <f t="shared" ca="1" si="31"/>
        <v>0.10150472330791133</v>
      </c>
      <c r="C2007" s="10">
        <f ca="1">NPV(B2007,Project_FCF!C18:J18)+Project_FCF!B18</f>
        <v>771.87665757141485</v>
      </c>
      <c r="D2007" s="4"/>
      <c r="E2007" s="4"/>
    </row>
    <row r="2008" spans="1:5" x14ac:dyDescent="0.3">
      <c r="A2008" s="11">
        <v>2000</v>
      </c>
      <c r="B2008" s="10">
        <f t="shared" ca="1" si="31"/>
        <v>9.6190456257579909E-2</v>
      </c>
      <c r="C2008" s="10">
        <f ca="1">NPV(B2008,Project_FCF!C18:J18)+Project_FCF!B18</f>
        <v>810.44348752132873</v>
      </c>
      <c r="D2008" s="4"/>
      <c r="E2008" s="4"/>
    </row>
    <row r="2009" spans="1:5" x14ac:dyDescent="0.3">
      <c r="A2009" s="11">
        <v>2001</v>
      </c>
      <c r="B2009" s="10">
        <f t="shared" ca="1" si="31"/>
        <v>9.3003377344446289E-2</v>
      </c>
      <c r="C2009" s="10">
        <f ca="1">NPV(B2009,Project_FCF!C18:J18)+Project_FCF!B18</f>
        <v>834.35125189365067</v>
      </c>
      <c r="D2009" s="4"/>
      <c r="E2009" s="4"/>
    </row>
    <row r="2010" spans="1:5" x14ac:dyDescent="0.3">
      <c r="A2010" s="11">
        <v>2002</v>
      </c>
      <c r="B2010" s="10">
        <f t="shared" ca="1" si="31"/>
        <v>7.9226166508940266E-2</v>
      </c>
      <c r="C2010" s="10">
        <f ca="1">NPV(B2010,Project_FCF!C18:J18)+Project_FCF!B18</f>
        <v>944.8780960244726</v>
      </c>
      <c r="D2010" s="4"/>
      <c r="E2010" s="4"/>
    </row>
    <row r="2011" spans="1:5" x14ac:dyDescent="0.3">
      <c r="A2011" s="11">
        <v>2003</v>
      </c>
      <c r="B2011" s="10">
        <f t="shared" ca="1" si="31"/>
        <v>9.0659444877572784E-2</v>
      </c>
      <c r="C2011" s="10">
        <f ca="1">NPV(B2011,Project_FCF!C18:J18)+Project_FCF!B18</f>
        <v>852.31878551497311</v>
      </c>
      <c r="D2011" s="4"/>
      <c r="E2011" s="4"/>
    </row>
    <row r="2012" spans="1:5" x14ac:dyDescent="0.3">
      <c r="A2012" s="11">
        <v>2004</v>
      </c>
      <c r="B2012" s="10">
        <f t="shared" ca="1" si="31"/>
        <v>0.10051299973743619</v>
      </c>
      <c r="C2012" s="10">
        <f ca="1">NPV(B2012,Project_FCF!C18:J18)+Project_FCF!B18</f>
        <v>778.95337378074646</v>
      </c>
      <c r="D2012" s="4"/>
      <c r="E2012" s="4"/>
    </row>
    <row r="2013" spans="1:5" x14ac:dyDescent="0.3">
      <c r="A2013" s="11">
        <v>2005</v>
      </c>
      <c r="B2013" s="10">
        <f t="shared" ca="1" si="31"/>
        <v>8.0840914312312037E-2</v>
      </c>
      <c r="C2013" s="10">
        <f ca="1">NPV(B2013,Project_FCF!C18:J18)+Project_FCF!B18</f>
        <v>931.29255260801256</v>
      </c>
      <c r="D2013" s="4"/>
      <c r="E2013" s="4"/>
    </row>
    <row r="2014" spans="1:5" x14ac:dyDescent="0.3">
      <c r="A2014" s="11">
        <v>2006</v>
      </c>
      <c r="B2014" s="10">
        <f t="shared" ca="1" si="31"/>
        <v>9.822944820844659E-2</v>
      </c>
      <c r="C2014" s="10">
        <f ca="1">NPV(B2014,Project_FCF!C18:J18)+Project_FCF!B18</f>
        <v>795.45715822893067</v>
      </c>
      <c r="D2014" s="4"/>
      <c r="E2014" s="4"/>
    </row>
    <row r="2015" spans="1:5" x14ac:dyDescent="0.3">
      <c r="A2015" s="11">
        <v>2007</v>
      </c>
      <c r="B2015" s="10">
        <f t="shared" ca="1" si="31"/>
        <v>7.8434302279270993E-2</v>
      </c>
      <c r="C2015" s="10">
        <f ca="1">NPV(B2015,Project_FCF!C18:J18)+Project_FCF!B18</f>
        <v>951.60435411268918</v>
      </c>
      <c r="D2015" s="4"/>
      <c r="E2015" s="4"/>
    </row>
    <row r="2016" spans="1:5" x14ac:dyDescent="0.3">
      <c r="A2016" s="11">
        <v>2008</v>
      </c>
      <c r="B2016" s="10">
        <f t="shared" ca="1" si="31"/>
        <v>7.8127621657320109E-2</v>
      </c>
      <c r="C2016" s="10">
        <f ca="1">NPV(B2016,Project_FCF!C18:J18)+Project_FCF!B18</f>
        <v>954.22076529541459</v>
      </c>
      <c r="D2016" s="4"/>
      <c r="E2016" s="4"/>
    </row>
    <row r="2017" spans="1:5" x14ac:dyDescent="0.3">
      <c r="A2017" s="11">
        <v>2009</v>
      </c>
      <c r="B2017" s="10">
        <f t="shared" ca="1" si="31"/>
        <v>9.70604570524084E-2</v>
      </c>
      <c r="C2017" s="10">
        <f ca="1">NPV(B2017,Project_FCF!C18:J18)+Project_FCF!B18</f>
        <v>804.01994569334784</v>
      </c>
      <c r="D2017" s="4"/>
      <c r="E2017" s="4"/>
    </row>
    <row r="2018" spans="1:5" x14ac:dyDescent="0.3">
      <c r="A2018" s="11">
        <v>2010</v>
      </c>
      <c r="B2018" s="10">
        <f t="shared" ca="1" si="31"/>
        <v>8.2244066864265386E-2</v>
      </c>
      <c r="C2018" s="10">
        <f ca="1">NPV(B2018,Project_FCF!C18:J18)+Project_FCF!B18</f>
        <v>919.62778490661526</v>
      </c>
      <c r="D2018" s="4"/>
      <c r="E2018" s="4"/>
    </row>
    <row r="2019" spans="1:5" x14ac:dyDescent="0.3">
      <c r="A2019" s="11">
        <v>2011</v>
      </c>
      <c r="B2019" s="10">
        <f t="shared" ca="1" si="31"/>
        <v>0.10105693675044763</v>
      </c>
      <c r="C2019" s="10">
        <f ca="1">NPV(B2019,Project_FCF!C18:J18)+Project_FCF!B18</f>
        <v>775.06521612263327</v>
      </c>
      <c r="D2019" s="4"/>
      <c r="E2019" s="4"/>
    </row>
    <row r="2020" spans="1:5" x14ac:dyDescent="0.3">
      <c r="A2020" s="11">
        <v>2012</v>
      </c>
      <c r="B2020" s="10">
        <f t="shared" ca="1" si="31"/>
        <v>7.1559797764186694E-2</v>
      </c>
      <c r="C2020" s="10">
        <f ca="1">NPV(B2020,Project_FCF!C18:J18)+Project_FCF!B18</f>
        <v>1011.8175177497178</v>
      </c>
      <c r="D2020" s="4"/>
      <c r="E2020" s="4"/>
    </row>
    <row r="2021" spans="1:5" x14ac:dyDescent="0.3">
      <c r="A2021" s="11">
        <v>2013</v>
      </c>
      <c r="B2021" s="10">
        <f t="shared" ca="1" si="31"/>
        <v>8.820353276447436E-2</v>
      </c>
      <c r="C2021" s="10">
        <f ca="1">NPV(B2021,Project_FCF!C18:J18)+Project_FCF!B18</f>
        <v>871.50281359498922</v>
      </c>
      <c r="D2021" s="4"/>
      <c r="E2021" s="4"/>
    </row>
    <row r="2022" spans="1:5" x14ac:dyDescent="0.3">
      <c r="A2022" s="11">
        <v>2014</v>
      </c>
      <c r="B2022" s="10">
        <f t="shared" ca="1" si="31"/>
        <v>9.4694016201065268E-2</v>
      </c>
      <c r="C2022" s="10">
        <f ca="1">NPV(B2022,Project_FCF!C18:J18)+Project_FCF!B18</f>
        <v>821.59482417244362</v>
      </c>
      <c r="D2022" s="4"/>
      <c r="E2022" s="4"/>
    </row>
    <row r="2023" spans="1:5" x14ac:dyDescent="0.3">
      <c r="A2023" s="11">
        <v>2015</v>
      </c>
      <c r="B2023" s="10">
        <f t="shared" ca="1" si="31"/>
        <v>0.10136669740838564</v>
      </c>
      <c r="C2023" s="10">
        <f ca="1">NPV(B2023,Project_FCF!C18:J18)+Project_FCF!B18</f>
        <v>772.85831896546188</v>
      </c>
      <c r="D2023" s="4"/>
      <c r="E2023" s="4"/>
    </row>
    <row r="2024" spans="1:5" x14ac:dyDescent="0.3">
      <c r="A2024" s="11">
        <v>2016</v>
      </c>
      <c r="B2024" s="10">
        <f t="shared" ca="1" si="31"/>
        <v>0.10090581988097568</v>
      </c>
      <c r="C2024" s="10">
        <f ca="1">NPV(B2024,Project_FCF!C18:J18)+Project_FCF!B18</f>
        <v>776.14377923313373</v>
      </c>
      <c r="D2024" s="4"/>
      <c r="E2024" s="4"/>
    </row>
    <row r="2025" spans="1:5" x14ac:dyDescent="0.3">
      <c r="A2025" s="11">
        <v>2017</v>
      </c>
      <c r="B2025" s="10">
        <f t="shared" ca="1" si="31"/>
        <v>8.9535021993085523E-2</v>
      </c>
      <c r="C2025" s="10">
        <f ca="1">NPV(B2025,Project_FCF!C18:J18)+Project_FCF!B18</f>
        <v>861.05611068457074</v>
      </c>
      <c r="D2025" s="4"/>
      <c r="E2025" s="4"/>
    </row>
    <row r="2026" spans="1:5" x14ac:dyDescent="0.3">
      <c r="A2026" s="11">
        <v>2018</v>
      </c>
      <c r="B2026" s="10">
        <f t="shared" ca="1" si="31"/>
        <v>8.2133856999357574E-2</v>
      </c>
      <c r="C2026" s="10">
        <f ca="1">NPV(B2026,Project_FCF!C18:J18)+Project_FCF!B18</f>
        <v>920.53929992461462</v>
      </c>
      <c r="D2026" s="4"/>
      <c r="E2026" s="4"/>
    </row>
    <row r="2027" spans="1:5" x14ac:dyDescent="0.3">
      <c r="A2027" s="11">
        <v>2019</v>
      </c>
      <c r="B2027" s="10">
        <f t="shared" ca="1" si="31"/>
        <v>9.9749246543724732E-2</v>
      </c>
      <c r="C2027" s="10">
        <f ca="1">NPV(B2027,Project_FCF!C18:J18)+Project_FCF!B18</f>
        <v>784.44062004407783</v>
      </c>
      <c r="D2027" s="4"/>
      <c r="E2027" s="4"/>
    </row>
    <row r="2028" spans="1:5" x14ac:dyDescent="0.3">
      <c r="A2028" s="11">
        <v>2020</v>
      </c>
      <c r="B2028" s="10">
        <f t="shared" ca="1" si="31"/>
        <v>8.8995849719849002E-2</v>
      </c>
      <c r="C2028" s="10">
        <f ca="1">NPV(B2028,Project_FCF!C18:J18)+Project_FCF!B18</f>
        <v>865.27321356007837</v>
      </c>
      <c r="D2028" s="4"/>
      <c r="E2028" s="4"/>
    </row>
    <row r="2029" spans="1:5" x14ac:dyDescent="0.3">
      <c r="A2029" s="11">
        <v>2021</v>
      </c>
      <c r="B2029" s="10">
        <f t="shared" ca="1" si="31"/>
        <v>9.8209553433106556E-2</v>
      </c>
      <c r="C2029" s="10">
        <f ca="1">NPV(B2029,Project_FCF!C18:J18)+Project_FCF!B18</f>
        <v>795.60223493469584</v>
      </c>
      <c r="D2029" s="4"/>
      <c r="E2029" s="4"/>
    </row>
    <row r="2030" spans="1:5" x14ac:dyDescent="0.3">
      <c r="A2030" s="11">
        <v>2022</v>
      </c>
      <c r="B2030" s="10">
        <f t="shared" ca="1" si="31"/>
        <v>0.10354775970271085</v>
      </c>
      <c r="C2030" s="10">
        <f ca="1">NPV(B2030,Project_FCF!C18:J18)+Project_FCF!B18</f>
        <v>757.46846759053551</v>
      </c>
      <c r="D2030" s="4"/>
      <c r="E2030" s="4"/>
    </row>
    <row r="2031" spans="1:5" x14ac:dyDescent="0.3">
      <c r="A2031" s="11">
        <v>2023</v>
      </c>
      <c r="B2031" s="10">
        <f t="shared" ca="1" si="31"/>
        <v>9.894218518892188E-2</v>
      </c>
      <c r="C2031" s="10">
        <f ca="1">NPV(B2031,Project_FCF!C18:J18)+Project_FCF!B18</f>
        <v>790.27453033255529</v>
      </c>
      <c r="D2031" s="4"/>
      <c r="E2031" s="4"/>
    </row>
    <row r="2032" spans="1:5" x14ac:dyDescent="0.3">
      <c r="A2032" s="11">
        <v>2024</v>
      </c>
      <c r="B2032" s="10">
        <f t="shared" ca="1" si="31"/>
        <v>6.8326142381523056E-2</v>
      </c>
      <c r="C2032" s="10">
        <f ca="1">NPV(B2032,Project_FCF!C18:J18)+Project_FCF!B18</f>
        <v>1041.3073314660194</v>
      </c>
      <c r="D2032" s="4"/>
      <c r="E2032" s="4"/>
    </row>
    <row r="2033" spans="1:5" x14ac:dyDescent="0.3">
      <c r="A2033" s="11">
        <v>2025</v>
      </c>
      <c r="B2033" s="10">
        <f t="shared" ca="1" si="31"/>
        <v>6.833677628613602E-2</v>
      </c>
      <c r="C2033" s="10">
        <f ca="1">NPV(B2033,Project_FCF!C18:J18)+Project_FCF!B18</f>
        <v>1041.2090929255985</v>
      </c>
      <c r="D2033" s="4"/>
      <c r="E2033" s="4"/>
    </row>
    <row r="2034" spans="1:5" x14ac:dyDescent="0.3">
      <c r="A2034" s="11">
        <v>2026</v>
      </c>
      <c r="B2034" s="10">
        <f t="shared" ca="1" si="31"/>
        <v>9.3504672542600753E-2</v>
      </c>
      <c r="C2034" s="10">
        <f ca="1">NPV(B2034,Project_FCF!C18:J18)+Project_FCF!B18</f>
        <v>830.55119848184404</v>
      </c>
      <c r="D2034" s="4"/>
      <c r="E2034" s="4"/>
    </row>
    <row r="2035" spans="1:5" x14ac:dyDescent="0.3">
      <c r="A2035" s="11">
        <v>2027</v>
      </c>
      <c r="B2035" s="10">
        <f t="shared" ca="1" si="31"/>
        <v>9.7144232392608346E-2</v>
      </c>
      <c r="C2035" s="10">
        <f ca="1">NPV(B2035,Project_FCF!C18:J18)+Project_FCF!B18</f>
        <v>803.40369831679845</v>
      </c>
      <c r="D2035" s="4"/>
      <c r="E2035" s="4"/>
    </row>
    <row r="2036" spans="1:5" x14ac:dyDescent="0.3">
      <c r="A2036" s="11">
        <v>2028</v>
      </c>
      <c r="B2036" s="10">
        <f t="shared" ca="1" si="31"/>
        <v>0.10186489120967898</v>
      </c>
      <c r="C2036" s="10">
        <f ca="1">NPV(B2036,Project_FCF!C18:J18)+Project_FCF!B18</f>
        <v>769.32003322631044</v>
      </c>
      <c r="D2036" s="4"/>
      <c r="E2036" s="4"/>
    </row>
    <row r="2037" spans="1:5" x14ac:dyDescent="0.3">
      <c r="A2037" s="11">
        <v>2029</v>
      </c>
      <c r="B2037" s="10">
        <f t="shared" ca="1" si="31"/>
        <v>9.2719327044628416E-2</v>
      </c>
      <c r="C2037" s="10">
        <f ca="1">NPV(B2037,Project_FCF!C18:J18)+Project_FCF!B18</f>
        <v>836.51111662739595</v>
      </c>
      <c r="D2037" s="4"/>
      <c r="E2037" s="4"/>
    </row>
    <row r="2038" spans="1:5" x14ac:dyDescent="0.3">
      <c r="A2038" s="11">
        <v>2030</v>
      </c>
      <c r="B2038" s="10">
        <f t="shared" ca="1" si="31"/>
        <v>0.10399135563068207</v>
      </c>
      <c r="C2038" s="10">
        <f ca="1">NPV(B2038,Project_FCF!C18:J18)+Project_FCF!B18</f>
        <v>754.37009468374163</v>
      </c>
      <c r="D2038" s="4"/>
      <c r="E2038" s="4"/>
    </row>
    <row r="2039" spans="1:5" x14ac:dyDescent="0.3">
      <c r="A2039" s="11">
        <v>2031</v>
      </c>
      <c r="B2039" s="10">
        <f t="shared" ca="1" si="31"/>
        <v>6.6923003883966825E-2</v>
      </c>
      <c r="C2039" s="10">
        <f ca="1">NPV(B2039,Project_FCF!C18:J18)+Project_FCF!B18</f>
        <v>1054.3438821309373</v>
      </c>
      <c r="D2039" s="4"/>
      <c r="E2039" s="4"/>
    </row>
    <row r="2040" spans="1:5" x14ac:dyDescent="0.3">
      <c r="A2040" s="11">
        <v>2032</v>
      </c>
      <c r="B2040" s="10">
        <f t="shared" ca="1" si="31"/>
        <v>9.9426065174358896E-2</v>
      </c>
      <c r="C2040" s="10">
        <f ca="1">NPV(B2040,Project_FCF!C18:J18)+Project_FCF!B18</f>
        <v>786.77236878147096</v>
      </c>
      <c r="D2040" s="4"/>
      <c r="E2040" s="4"/>
    </row>
    <row r="2041" spans="1:5" x14ac:dyDescent="0.3">
      <c r="A2041" s="11">
        <v>2033</v>
      </c>
      <c r="B2041" s="10">
        <f t="shared" ca="1" si="31"/>
        <v>8.1672067748794236E-2</v>
      </c>
      <c r="C2041" s="10">
        <f ca="1">NPV(B2041,Project_FCF!C18:J18)+Project_FCF!B18</f>
        <v>924.3672981340419</v>
      </c>
      <c r="D2041" s="4"/>
      <c r="E2041" s="4"/>
    </row>
    <row r="2042" spans="1:5" x14ac:dyDescent="0.3">
      <c r="A2042" s="11">
        <v>2034</v>
      </c>
      <c r="B2042" s="10">
        <f t="shared" ca="1" si="31"/>
        <v>9.2649067089306814E-2</v>
      </c>
      <c r="C2042" s="10">
        <f ca="1">NPV(B2042,Project_FCF!C18:J18)+Project_FCF!B18</f>
        <v>837.04610175807329</v>
      </c>
      <c r="D2042" s="4"/>
      <c r="E2042" s="4"/>
    </row>
    <row r="2043" spans="1:5" x14ac:dyDescent="0.3">
      <c r="A2043" s="11">
        <v>2035</v>
      </c>
      <c r="B2043" s="10">
        <f t="shared" ca="1" si="31"/>
        <v>8.6801807153830457E-2</v>
      </c>
      <c r="C2043" s="10">
        <f ca="1">NPV(B2043,Project_FCF!C18:J18)+Project_FCF!B18</f>
        <v>882.6195387558364</v>
      </c>
      <c r="D2043" s="4"/>
      <c r="E2043" s="4"/>
    </row>
    <row r="2044" spans="1:5" x14ac:dyDescent="0.3">
      <c r="A2044" s="11">
        <v>2036</v>
      </c>
      <c r="B2044" s="10">
        <f t="shared" ca="1" si="31"/>
        <v>8.8764132751597086E-2</v>
      </c>
      <c r="C2044" s="10">
        <f ca="1">NPV(B2044,Project_FCF!C18:J18)+Project_FCF!B18</f>
        <v>867.09107439865988</v>
      </c>
      <c r="D2044" s="4"/>
      <c r="E2044" s="4"/>
    </row>
    <row r="2045" spans="1:5" x14ac:dyDescent="0.3">
      <c r="A2045" s="11">
        <v>2037</v>
      </c>
      <c r="B2045" s="10">
        <f t="shared" ca="1" si="31"/>
        <v>9.6404162149022338E-2</v>
      </c>
      <c r="C2045" s="10">
        <f ca="1">NPV(B2045,Project_FCF!C18:J18)+Project_FCF!B18</f>
        <v>808.86157546474465</v>
      </c>
      <c r="D2045" s="4"/>
      <c r="E2045" s="4"/>
    </row>
    <row r="2046" spans="1:5" x14ac:dyDescent="0.3">
      <c r="A2046" s="11">
        <v>2038</v>
      </c>
      <c r="B2046" s="10">
        <f t="shared" ca="1" si="31"/>
        <v>9.106720710906982E-2</v>
      </c>
      <c r="C2046" s="10">
        <f ca="1">NPV(B2046,Project_FCF!C18:J18)+Project_FCF!B18</f>
        <v>849.16928349392174</v>
      </c>
      <c r="D2046" s="4"/>
      <c r="E2046" s="4"/>
    </row>
    <row r="2047" spans="1:5" x14ac:dyDescent="0.3">
      <c r="A2047" s="11">
        <v>2039</v>
      </c>
      <c r="B2047" s="10">
        <f t="shared" ca="1" si="31"/>
        <v>7.8876545368057341E-2</v>
      </c>
      <c r="C2047" s="10">
        <f ca="1">NPV(B2047,Project_FCF!C18:J18)+Project_FCF!B18</f>
        <v>947.84262875762511</v>
      </c>
      <c r="D2047" s="4"/>
      <c r="E2047" s="4"/>
    </row>
    <row r="2048" spans="1:5" x14ac:dyDescent="0.3">
      <c r="A2048" s="11">
        <v>2040</v>
      </c>
      <c r="B2048" s="10">
        <f t="shared" ca="1" si="31"/>
        <v>6.7512542184047716E-2</v>
      </c>
      <c r="C2048" s="10">
        <f ca="1">NPV(B2048,Project_FCF!C18:J18)+Project_FCF!B18</f>
        <v>1048.848542302693</v>
      </c>
      <c r="D2048" s="4"/>
      <c r="E2048" s="4"/>
    </row>
    <row r="2049" spans="1:5" x14ac:dyDescent="0.3">
      <c r="A2049" s="11">
        <v>2041</v>
      </c>
      <c r="B2049" s="10">
        <f t="shared" ca="1" si="31"/>
        <v>8.1396144080082611E-2</v>
      </c>
      <c r="C2049" s="10">
        <f ca="1">NPV(B2049,Project_FCF!C18:J18)+Project_FCF!B18</f>
        <v>926.66126205833211</v>
      </c>
      <c r="D2049" s="4"/>
      <c r="E2049" s="4"/>
    </row>
    <row r="2050" spans="1:5" x14ac:dyDescent="0.3">
      <c r="A2050" s="11">
        <v>2042</v>
      </c>
      <c r="B2050" s="10">
        <f t="shared" ca="1" si="31"/>
        <v>9.907628226090831E-2</v>
      </c>
      <c r="C2050" s="10">
        <f ca="1">NPV(B2050,Project_FCF!C18:J18)+Project_FCF!B18</f>
        <v>789.30265978393777</v>
      </c>
      <c r="D2050" s="4"/>
      <c r="E2050" s="4"/>
    </row>
    <row r="2051" spans="1:5" x14ac:dyDescent="0.3">
      <c r="A2051" s="11">
        <v>2043</v>
      </c>
      <c r="B2051" s="10">
        <f t="shared" ca="1" si="31"/>
        <v>8.2613180454965296E-2</v>
      </c>
      <c r="C2051" s="10">
        <f ca="1">NPV(B2051,Project_FCF!C18:J18)+Project_FCF!B18</f>
        <v>916.5807391420044</v>
      </c>
      <c r="D2051" s="4"/>
      <c r="E2051" s="4"/>
    </row>
    <row r="2052" spans="1:5" x14ac:dyDescent="0.3">
      <c r="A2052" s="11">
        <v>2044</v>
      </c>
      <c r="B2052" s="10">
        <f t="shared" ca="1" si="31"/>
        <v>7.5700626512922156E-2</v>
      </c>
      <c r="C2052" s="10">
        <f ca="1">NPV(B2052,Project_FCF!C18:J18)+Project_FCF!B18</f>
        <v>975.15335864985173</v>
      </c>
      <c r="D2052" s="4"/>
      <c r="E2052" s="4"/>
    </row>
    <row r="2053" spans="1:5" x14ac:dyDescent="0.3">
      <c r="A2053" s="11">
        <v>2045</v>
      </c>
      <c r="B2053" s="10">
        <f t="shared" ca="1" si="31"/>
        <v>9.3344533189804943E-2</v>
      </c>
      <c r="C2053" s="10">
        <f ca="1">NPV(B2053,Project_FCF!C18:J18)+Project_FCF!B18</f>
        <v>831.76350944833621</v>
      </c>
      <c r="D2053" s="4"/>
      <c r="E2053" s="4"/>
    </row>
    <row r="2054" spans="1:5" x14ac:dyDescent="0.3">
      <c r="A2054" s="11">
        <v>2046</v>
      </c>
      <c r="B2054" s="10">
        <f t="shared" ca="1" si="31"/>
        <v>7.9745229087450201E-2</v>
      </c>
      <c r="C2054" s="10">
        <f ca="1">NPV(B2054,Project_FCF!C18:J18)+Project_FCF!B18</f>
        <v>940.4919899230224</v>
      </c>
      <c r="D2054" s="4"/>
      <c r="E2054" s="4"/>
    </row>
    <row r="2055" spans="1:5" x14ac:dyDescent="0.3">
      <c r="A2055" s="11">
        <v>2047</v>
      </c>
      <c r="B2055" s="10">
        <f t="shared" ca="1" si="31"/>
        <v>7.8732610901820835E-2</v>
      </c>
      <c r="C2055" s="10">
        <f ca="1">NPV(B2055,Project_FCF!C18:J18)+Project_FCF!B18</f>
        <v>949.06548505189835</v>
      </c>
      <c r="D2055" s="4"/>
      <c r="E2055" s="4"/>
    </row>
    <row r="2056" spans="1:5" x14ac:dyDescent="0.3">
      <c r="A2056" s="11">
        <v>2048</v>
      </c>
      <c r="B2056" s="10">
        <f t="shared" ca="1" si="31"/>
        <v>6.7255423974158957E-2</v>
      </c>
      <c r="C2056" s="10">
        <f ca="1">NPV(B2056,Project_FCF!C18:J18)+Project_FCF!B18</f>
        <v>1051.2420437616643</v>
      </c>
      <c r="D2056" s="4"/>
      <c r="E2056" s="4"/>
    </row>
    <row r="2057" spans="1:5" x14ac:dyDescent="0.3">
      <c r="A2057" s="11">
        <v>2049</v>
      </c>
      <c r="B2057" s="10">
        <f t="shared" ref="B2057:B2120" ca="1" si="32">$B$4+RAND()*($B$5-$B$4)</f>
        <v>9.3006517658001997E-2</v>
      </c>
      <c r="C2057" s="10">
        <f ca="1">NPV(B2057,Project_FCF!C18:J18)+Project_FCF!B18</f>
        <v>834.3274003866793</v>
      </c>
      <c r="D2057" s="4"/>
      <c r="E2057" s="4"/>
    </row>
    <row r="2058" spans="1:5" x14ac:dyDescent="0.3">
      <c r="A2058" s="11">
        <v>2050</v>
      </c>
      <c r="B2058" s="10">
        <f t="shared" ca="1" si="32"/>
        <v>9.5532431832245759E-2</v>
      </c>
      <c r="C2058" s="10">
        <f ca="1">NPV(B2058,Project_FCF!C18:J18)+Project_FCF!B18</f>
        <v>815.3309759947731</v>
      </c>
      <c r="D2058" s="4"/>
      <c r="E2058" s="4"/>
    </row>
    <row r="2059" spans="1:5" x14ac:dyDescent="0.3">
      <c r="A2059" s="11">
        <v>2051</v>
      </c>
      <c r="B2059" s="10">
        <f t="shared" ca="1" si="32"/>
        <v>6.8490573178006206E-2</v>
      </c>
      <c r="C2059" s="10">
        <f ca="1">NPV(B2059,Project_FCF!C18:J18)+Project_FCF!B18</f>
        <v>1039.7892198225802</v>
      </c>
      <c r="D2059" s="4"/>
      <c r="E2059" s="4"/>
    </row>
    <row r="2060" spans="1:5" x14ac:dyDescent="0.3">
      <c r="A2060" s="11">
        <v>2052</v>
      </c>
      <c r="B2060" s="10">
        <f t="shared" ca="1" si="32"/>
        <v>7.2374504864407371E-2</v>
      </c>
      <c r="C2060" s="10">
        <f ca="1">NPV(B2060,Project_FCF!C18:J18)+Project_FCF!B18</f>
        <v>1004.5075449359713</v>
      </c>
      <c r="D2060" s="4"/>
      <c r="E2060" s="4"/>
    </row>
    <row r="2061" spans="1:5" x14ac:dyDescent="0.3">
      <c r="A2061" s="11">
        <v>2053</v>
      </c>
      <c r="B2061" s="10">
        <f t="shared" ca="1" si="32"/>
        <v>9.1757433389274168E-2</v>
      </c>
      <c r="C2061" s="10">
        <f ca="1">NPV(B2061,Project_FCF!C18:J18)+Project_FCF!B18</f>
        <v>843.86097775816893</v>
      </c>
      <c r="D2061" s="4"/>
      <c r="E2061" s="4"/>
    </row>
    <row r="2062" spans="1:5" x14ac:dyDescent="0.3">
      <c r="A2062" s="11">
        <v>2054</v>
      </c>
      <c r="B2062" s="10">
        <f t="shared" ca="1" si="32"/>
        <v>9.5944196159418654E-2</v>
      </c>
      <c r="C2062" s="10">
        <f ca="1">NPV(B2062,Project_FCF!C18:J18)+Project_FCF!B18</f>
        <v>812.26964980687217</v>
      </c>
      <c r="D2062" s="4"/>
      <c r="E2062" s="4"/>
    </row>
    <row r="2063" spans="1:5" x14ac:dyDescent="0.3">
      <c r="A2063" s="11">
        <v>2055</v>
      </c>
      <c r="B2063" s="10">
        <f t="shared" ca="1" si="32"/>
        <v>0.10393758451887146</v>
      </c>
      <c r="C2063" s="10">
        <f ca="1">NPV(B2063,Project_FCF!C18:J18)+Project_FCF!B18</f>
        <v>754.74510203017667</v>
      </c>
      <c r="D2063" s="4"/>
      <c r="E2063" s="4"/>
    </row>
    <row r="2064" spans="1:5" x14ac:dyDescent="0.3">
      <c r="A2064" s="11">
        <v>2056</v>
      </c>
      <c r="B2064" s="10">
        <f t="shared" ca="1" si="32"/>
        <v>9.1000959575954596E-2</v>
      </c>
      <c r="C2064" s="10">
        <f ca="1">NPV(B2064,Project_FCF!C18:J18)+Project_FCF!B18</f>
        <v>849.68028523230214</v>
      </c>
      <c r="D2064" s="4"/>
      <c r="E2064" s="4"/>
    </row>
    <row r="2065" spans="1:5" x14ac:dyDescent="0.3">
      <c r="A2065" s="11">
        <v>2057</v>
      </c>
      <c r="B2065" s="10">
        <f t="shared" ca="1" si="32"/>
        <v>7.4968545311888651E-2</v>
      </c>
      <c r="C2065" s="10">
        <f ca="1">NPV(B2065,Project_FCF!C18:J18)+Project_FCF!B18</f>
        <v>981.54743234154739</v>
      </c>
      <c r="D2065" s="4"/>
      <c r="E2065" s="4"/>
    </row>
    <row r="2066" spans="1:5" x14ac:dyDescent="0.3">
      <c r="A2066" s="11">
        <v>2058</v>
      </c>
      <c r="B2066" s="10">
        <f t="shared" ca="1" si="32"/>
        <v>9.482016808371789E-2</v>
      </c>
      <c r="C2066" s="10">
        <f ca="1">NPV(B2066,Project_FCF!C18:J18)+Project_FCF!B18</f>
        <v>820.64971198177204</v>
      </c>
      <c r="D2066" s="4"/>
      <c r="E2066" s="4"/>
    </row>
    <row r="2067" spans="1:5" x14ac:dyDescent="0.3">
      <c r="A2067" s="11">
        <v>2059</v>
      </c>
      <c r="B2067" s="10">
        <f t="shared" ca="1" si="32"/>
        <v>7.3842906050047882E-2</v>
      </c>
      <c r="C2067" s="10">
        <f ca="1">NPV(B2067,Project_FCF!C18:J18)+Project_FCF!B18</f>
        <v>991.45211091852593</v>
      </c>
      <c r="D2067" s="4"/>
      <c r="E2067" s="4"/>
    </row>
    <row r="2068" spans="1:5" x14ac:dyDescent="0.3">
      <c r="A2068" s="11">
        <v>2060</v>
      </c>
      <c r="B2068" s="10">
        <f t="shared" ca="1" si="32"/>
        <v>0.10012419227524413</v>
      </c>
      <c r="C2068" s="10">
        <f ca="1">NPV(B2068,Project_FCF!C18:J18)+Project_FCF!B18</f>
        <v>781.74272275133217</v>
      </c>
      <c r="D2068" s="4"/>
      <c r="E2068" s="4"/>
    </row>
    <row r="2069" spans="1:5" x14ac:dyDescent="0.3">
      <c r="A2069" s="11">
        <v>2061</v>
      </c>
      <c r="B2069" s="10">
        <f t="shared" ca="1" si="32"/>
        <v>9.5387391848696601E-2</v>
      </c>
      <c r="C2069" s="10">
        <f ca="1">NPV(B2069,Project_FCF!C18:J18)+Project_FCF!B18</f>
        <v>816.41164476802351</v>
      </c>
      <c r="D2069" s="4"/>
      <c r="E2069" s="4"/>
    </row>
    <row r="2070" spans="1:5" x14ac:dyDescent="0.3">
      <c r="A2070" s="11">
        <v>2062</v>
      </c>
      <c r="B2070" s="10">
        <f t="shared" ca="1" si="32"/>
        <v>7.4720268736941584E-2</v>
      </c>
      <c r="C2070" s="10">
        <f ca="1">NPV(B2070,Project_FCF!C18:J18)+Project_FCF!B18</f>
        <v>983.72440671218942</v>
      </c>
      <c r="D2070" s="4"/>
      <c r="E2070" s="4"/>
    </row>
    <row r="2071" spans="1:5" x14ac:dyDescent="0.3">
      <c r="A2071" s="11">
        <v>2063</v>
      </c>
      <c r="B2071" s="10">
        <f t="shared" ca="1" si="32"/>
        <v>7.4501823947706394E-2</v>
      </c>
      <c r="C2071" s="10">
        <f ca="1">NPV(B2071,Project_FCF!C18:J18)+Project_FCF!B18</f>
        <v>985.64337940075529</v>
      </c>
      <c r="D2071" s="4"/>
      <c r="E2071" s="4"/>
    </row>
    <row r="2072" spans="1:5" x14ac:dyDescent="0.3">
      <c r="A2072" s="11">
        <v>2064</v>
      </c>
      <c r="B2072" s="10">
        <f t="shared" ca="1" si="32"/>
        <v>7.5247721840917881E-2</v>
      </c>
      <c r="C2072" s="10">
        <f ca="1">NPV(B2072,Project_FCF!C18:J18)+Project_FCF!B18</f>
        <v>979.1046664398209</v>
      </c>
      <c r="D2072" s="4"/>
      <c r="E2072" s="4"/>
    </row>
    <row r="2073" spans="1:5" x14ac:dyDescent="0.3">
      <c r="A2073" s="11">
        <v>2065</v>
      </c>
      <c r="B2073" s="10">
        <f t="shared" ca="1" si="32"/>
        <v>7.0139241710398245E-2</v>
      </c>
      <c r="C2073" s="10">
        <f ca="1">NPV(B2073,Project_FCF!C18:J18)+Project_FCF!B18</f>
        <v>1024.6782492282659</v>
      </c>
      <c r="D2073" s="4"/>
      <c r="E2073" s="4"/>
    </row>
    <row r="2074" spans="1:5" x14ac:dyDescent="0.3">
      <c r="A2074" s="11">
        <v>2066</v>
      </c>
      <c r="B2074" s="10">
        <f t="shared" ca="1" si="32"/>
        <v>8.2880254838795284E-2</v>
      </c>
      <c r="C2074" s="10">
        <f ca="1">NPV(B2074,Project_FCF!C18:J18)+Project_FCF!B18</f>
        <v>914.38157830459818</v>
      </c>
      <c r="D2074" s="4"/>
      <c r="E2074" s="4"/>
    </row>
    <row r="2075" spans="1:5" x14ac:dyDescent="0.3">
      <c r="A2075" s="11">
        <v>2067</v>
      </c>
      <c r="B2075" s="10">
        <f t="shared" ca="1" si="32"/>
        <v>8.9417954917721698E-2</v>
      </c>
      <c r="C2075" s="10">
        <f ca="1">NPV(B2075,Project_FCF!C18:J18)+Project_FCF!B18</f>
        <v>861.97022489897813</v>
      </c>
      <c r="D2075" s="4"/>
      <c r="E2075" s="4"/>
    </row>
    <row r="2076" spans="1:5" x14ac:dyDescent="0.3">
      <c r="A2076" s="11">
        <v>2068</v>
      </c>
      <c r="B2076" s="10">
        <f t="shared" ca="1" si="32"/>
        <v>0.10363925484196704</v>
      </c>
      <c r="C2076" s="10">
        <f ca="1">NPV(B2076,Project_FCF!C18:J18)+Project_FCF!B18</f>
        <v>756.82853271135741</v>
      </c>
      <c r="D2076" s="4"/>
      <c r="E2076" s="4"/>
    </row>
    <row r="2077" spans="1:5" x14ac:dyDescent="0.3">
      <c r="A2077" s="11">
        <v>2069</v>
      </c>
      <c r="B2077" s="10">
        <f t="shared" ca="1" si="32"/>
        <v>8.1374410153565932E-2</v>
      </c>
      <c r="C2077" s="10">
        <f ca="1">NPV(B2077,Project_FCF!C18:J18)+Project_FCF!B18</f>
        <v>926.84216609433997</v>
      </c>
      <c r="D2077" s="4"/>
      <c r="E2077" s="4"/>
    </row>
    <row r="2078" spans="1:5" x14ac:dyDescent="0.3">
      <c r="A2078" s="11">
        <v>2070</v>
      </c>
      <c r="B2078" s="10">
        <f t="shared" ca="1" si="32"/>
        <v>8.1773353486600753E-2</v>
      </c>
      <c r="C2078" s="10">
        <f ca="1">NPV(B2078,Project_FCF!C18:J18)+Project_FCF!B18</f>
        <v>923.5264908853685</v>
      </c>
      <c r="D2078" s="4"/>
      <c r="E2078" s="4"/>
    </row>
    <row r="2079" spans="1:5" x14ac:dyDescent="0.3">
      <c r="A2079" s="11">
        <v>2071</v>
      </c>
      <c r="B2079" s="10">
        <f t="shared" ca="1" si="32"/>
        <v>6.8695178343865848E-2</v>
      </c>
      <c r="C2079" s="10">
        <f ca="1">NPV(B2079,Project_FCF!C18:J18)+Project_FCF!B18</f>
        <v>1037.9029983339417</v>
      </c>
      <c r="D2079" s="4"/>
      <c r="E2079" s="4"/>
    </row>
    <row r="2080" spans="1:5" x14ac:dyDescent="0.3">
      <c r="A2080" s="11">
        <v>2072</v>
      </c>
      <c r="B2080" s="10">
        <f t="shared" ca="1" si="32"/>
        <v>6.4744996977502037E-2</v>
      </c>
      <c r="C2080" s="10">
        <f ca="1">NPV(B2080,Project_FCF!C18:J18)+Project_FCF!B18</f>
        <v>1074.8739927298166</v>
      </c>
      <c r="D2080" s="4"/>
      <c r="E2080" s="4"/>
    </row>
    <row r="2081" spans="1:5" x14ac:dyDescent="0.3">
      <c r="A2081" s="11">
        <v>2073</v>
      </c>
      <c r="B2081" s="10">
        <f t="shared" ca="1" si="32"/>
        <v>9.1656162940880845E-2</v>
      </c>
      <c r="C2081" s="10">
        <f ca="1">NPV(B2081,Project_FCF!C18:J18)+Project_FCF!B18</f>
        <v>844.63801802238368</v>
      </c>
      <c r="D2081" s="4"/>
      <c r="E2081" s="4"/>
    </row>
    <row r="2082" spans="1:5" x14ac:dyDescent="0.3">
      <c r="A2082" s="11">
        <v>2074</v>
      </c>
      <c r="B2082" s="10">
        <f t="shared" ca="1" si="32"/>
        <v>0.1018730100745821</v>
      </c>
      <c r="C2082" s="10">
        <f ca="1">NPV(B2082,Project_FCF!C18:J18)+Project_FCF!B18</f>
        <v>769.26248436563651</v>
      </c>
      <c r="D2082" s="4"/>
      <c r="E2082" s="4"/>
    </row>
    <row r="2083" spans="1:5" x14ac:dyDescent="0.3">
      <c r="A2083" s="11">
        <v>2075</v>
      </c>
      <c r="B2083" s="10">
        <f t="shared" ca="1" si="32"/>
        <v>7.1548944832695707E-2</v>
      </c>
      <c r="C2083" s="10">
        <f ca="1">NPV(B2083,Project_FCF!C18:J18)+Project_FCF!B18</f>
        <v>1011.915218312073</v>
      </c>
      <c r="D2083" s="4"/>
      <c r="E2083" s="4"/>
    </row>
    <row r="2084" spans="1:5" x14ac:dyDescent="0.3">
      <c r="A2084" s="11">
        <v>2076</v>
      </c>
      <c r="B2084" s="10">
        <f t="shared" ca="1" si="32"/>
        <v>9.3204417649335361E-2</v>
      </c>
      <c r="C2084" s="10">
        <f ca="1">NPV(B2084,Project_FCF!C18:J18)+Project_FCF!B18</f>
        <v>832.82548040579582</v>
      </c>
      <c r="D2084" s="4"/>
      <c r="E2084" s="4"/>
    </row>
    <row r="2085" spans="1:5" x14ac:dyDescent="0.3">
      <c r="A2085" s="11">
        <v>2077</v>
      </c>
      <c r="B2085" s="10">
        <f t="shared" ca="1" si="32"/>
        <v>8.535296971118099E-2</v>
      </c>
      <c r="C2085" s="10">
        <f ca="1">NPV(B2085,Project_FCF!C18:J18)+Project_FCF!B18</f>
        <v>894.23974131562568</v>
      </c>
      <c r="D2085" s="4"/>
      <c r="E2085" s="4"/>
    </row>
    <row r="2086" spans="1:5" x14ac:dyDescent="0.3">
      <c r="A2086" s="11">
        <v>2078</v>
      </c>
      <c r="B2086" s="10">
        <f t="shared" ca="1" si="32"/>
        <v>6.6323052747332828E-2</v>
      </c>
      <c r="C2086" s="10">
        <f ca="1">NPV(B2086,Project_FCF!C18:J18)+Project_FCF!B18</f>
        <v>1059.9631445963207</v>
      </c>
      <c r="D2086" s="4"/>
      <c r="E2086" s="4"/>
    </row>
    <row r="2087" spans="1:5" x14ac:dyDescent="0.3">
      <c r="A2087" s="11">
        <v>2079</v>
      </c>
      <c r="B2087" s="10">
        <f t="shared" ca="1" si="32"/>
        <v>9.0028566038378346E-2</v>
      </c>
      <c r="C2087" s="10">
        <f ca="1">NPV(B2087,Project_FCF!C18:J18)+Project_FCF!B18</f>
        <v>857.21152285839321</v>
      </c>
      <c r="D2087" s="4"/>
      <c r="E2087" s="4"/>
    </row>
    <row r="2088" spans="1:5" x14ac:dyDescent="0.3">
      <c r="A2088" s="11">
        <v>2080</v>
      </c>
      <c r="B2088" s="10">
        <f t="shared" ca="1" si="32"/>
        <v>7.4669470665899074E-2</v>
      </c>
      <c r="C2088" s="10">
        <f ca="1">NPV(B2088,Project_FCF!C18:J18)+Project_FCF!B18</f>
        <v>984.17035392167168</v>
      </c>
      <c r="D2088" s="4"/>
      <c r="E2088" s="4"/>
    </row>
    <row r="2089" spans="1:5" x14ac:dyDescent="0.3">
      <c r="A2089" s="11">
        <v>2081</v>
      </c>
      <c r="B2089" s="10">
        <f t="shared" ca="1" si="32"/>
        <v>7.7696105334386936E-2</v>
      </c>
      <c r="C2089" s="10">
        <f ca="1">NPV(B2089,Project_FCF!C18:J18)+Project_FCF!B18</f>
        <v>957.91302940992546</v>
      </c>
      <c r="D2089" s="4"/>
      <c r="E2089" s="4"/>
    </row>
    <row r="2090" spans="1:5" x14ac:dyDescent="0.3">
      <c r="A2090" s="11">
        <v>2082</v>
      </c>
      <c r="B2090" s="10">
        <f t="shared" ca="1" si="32"/>
        <v>9.2435327369891698E-2</v>
      </c>
      <c r="C2090" s="10">
        <f ca="1">NPV(B2090,Project_FCF!C18:J18)+Project_FCF!B18</f>
        <v>838.6754062668092</v>
      </c>
      <c r="D2090" s="4"/>
      <c r="E2090" s="4"/>
    </row>
    <row r="2091" spans="1:5" x14ac:dyDescent="0.3">
      <c r="A2091" s="11">
        <v>2083</v>
      </c>
      <c r="B2091" s="10">
        <f t="shared" ca="1" si="32"/>
        <v>8.8482244682963715E-2</v>
      </c>
      <c r="C2091" s="10">
        <f ca="1">NPV(B2091,Project_FCF!C18:J18)+Project_FCF!B18</f>
        <v>869.30700888102433</v>
      </c>
      <c r="D2091" s="4"/>
      <c r="E2091" s="4"/>
    </row>
    <row r="2092" spans="1:5" x14ac:dyDescent="0.3">
      <c r="A2092" s="11">
        <v>2084</v>
      </c>
      <c r="B2092" s="10">
        <f t="shared" ca="1" si="32"/>
        <v>7.4564592226215143E-2</v>
      </c>
      <c r="C2092" s="10">
        <f ca="1">NPV(B2092,Project_FCF!C18:J18)+Project_FCF!B18</f>
        <v>985.09163575638604</v>
      </c>
      <c r="D2092" s="4"/>
      <c r="E2092" s="4"/>
    </row>
    <row r="2093" spans="1:5" x14ac:dyDescent="0.3">
      <c r="A2093" s="11">
        <v>2085</v>
      </c>
      <c r="B2093" s="10">
        <f t="shared" ca="1" si="32"/>
        <v>8.0076175598919441E-2</v>
      </c>
      <c r="C2093" s="10">
        <f ca="1">NPV(B2093,Project_FCF!C18:J18)+Project_FCF!B18</f>
        <v>937.70490251555339</v>
      </c>
      <c r="D2093" s="4"/>
      <c r="E2093" s="4"/>
    </row>
    <row r="2094" spans="1:5" x14ac:dyDescent="0.3">
      <c r="A2094" s="11">
        <v>2086</v>
      </c>
      <c r="B2094" s="10">
        <f t="shared" ca="1" si="32"/>
        <v>9.0722275467561911E-2</v>
      </c>
      <c r="C2094" s="10">
        <f ca="1">NPV(B2094,Project_FCF!C18:J18)+Project_FCF!B18</f>
        <v>851.83283305978898</v>
      </c>
      <c r="D2094" s="4"/>
      <c r="E2094" s="4"/>
    </row>
    <row r="2095" spans="1:5" x14ac:dyDescent="0.3">
      <c r="A2095" s="11">
        <v>2087</v>
      </c>
      <c r="B2095" s="10">
        <f t="shared" ca="1" si="32"/>
        <v>9.5108395165048182E-2</v>
      </c>
      <c r="C2095" s="10">
        <f ca="1">NPV(B2095,Project_FCF!C18:J18)+Project_FCF!B18</f>
        <v>818.49384836563627</v>
      </c>
      <c r="D2095" s="4"/>
      <c r="E2095" s="4"/>
    </row>
    <row r="2096" spans="1:5" x14ac:dyDescent="0.3">
      <c r="A2096" s="11">
        <v>2088</v>
      </c>
      <c r="B2096" s="10">
        <f t="shared" ca="1" si="32"/>
        <v>7.9811550785494428E-2</v>
      </c>
      <c r="C2096" s="10">
        <f ca="1">NPV(B2096,Project_FCF!C18:J18)+Project_FCF!B18</f>
        <v>939.93287029764224</v>
      </c>
      <c r="D2096" s="4"/>
      <c r="E2096" s="4"/>
    </row>
    <row r="2097" spans="1:5" x14ac:dyDescent="0.3">
      <c r="A2097" s="11">
        <v>2089</v>
      </c>
      <c r="B2097" s="10">
        <f t="shared" ca="1" si="32"/>
        <v>8.0857257077340899E-2</v>
      </c>
      <c r="C2097" s="10">
        <f ca="1">NPV(B2097,Project_FCF!C18:J18)+Project_FCF!B18</f>
        <v>931.15594250945537</v>
      </c>
      <c r="D2097" s="4"/>
      <c r="E2097" s="4"/>
    </row>
    <row r="2098" spans="1:5" x14ac:dyDescent="0.3">
      <c r="A2098" s="11">
        <v>2090</v>
      </c>
      <c r="B2098" s="10">
        <f t="shared" ca="1" si="32"/>
        <v>6.7073553633414537E-2</v>
      </c>
      <c r="C2098" s="10">
        <f ca="1">NPV(B2098,Project_FCF!C18:J18)+Project_FCF!B18</f>
        <v>1052.9380614058175</v>
      </c>
      <c r="D2098" s="4"/>
      <c r="E2098" s="4"/>
    </row>
    <row r="2099" spans="1:5" x14ac:dyDescent="0.3">
      <c r="A2099" s="11">
        <v>2091</v>
      </c>
      <c r="B2099" s="10">
        <f t="shared" ca="1" si="32"/>
        <v>7.5079922522464634E-2</v>
      </c>
      <c r="C2099" s="10">
        <f ca="1">NPV(B2099,Project_FCF!C18:J18)+Project_FCF!B18</f>
        <v>980.57224030610701</v>
      </c>
      <c r="D2099" s="4"/>
      <c r="E2099" s="4"/>
    </row>
    <row r="2100" spans="1:5" x14ac:dyDescent="0.3">
      <c r="A2100" s="11">
        <v>2092</v>
      </c>
      <c r="B2100" s="10">
        <f t="shared" ca="1" si="32"/>
        <v>6.4652367228959728E-2</v>
      </c>
      <c r="C2100" s="10">
        <f ca="1">NPV(B2100,Project_FCF!C18:J18)+Project_FCF!B18</f>
        <v>1075.7551544701546</v>
      </c>
      <c r="D2100" s="4"/>
      <c r="E2100" s="4"/>
    </row>
    <row r="2101" spans="1:5" x14ac:dyDescent="0.3">
      <c r="A2101" s="11">
        <v>2093</v>
      </c>
      <c r="B2101" s="10">
        <f t="shared" ca="1" si="32"/>
        <v>0.10030925645546443</v>
      </c>
      <c r="C2101" s="10">
        <f ca="1">NPV(B2101,Project_FCF!C18:J18)+Project_FCF!B18</f>
        <v>780.41400044725106</v>
      </c>
      <c r="D2101" s="4"/>
      <c r="E2101" s="4"/>
    </row>
    <row r="2102" spans="1:5" x14ac:dyDescent="0.3">
      <c r="A2102" s="11">
        <v>2094</v>
      </c>
      <c r="B2102" s="10">
        <f t="shared" ca="1" si="32"/>
        <v>0.10155521056644344</v>
      </c>
      <c r="C2102" s="10">
        <f ca="1">NPV(B2102,Project_FCF!C18:J18)+Project_FCF!B18</f>
        <v>771.51784697199059</v>
      </c>
      <c r="D2102" s="4"/>
      <c r="E2102" s="4"/>
    </row>
    <row r="2103" spans="1:5" x14ac:dyDescent="0.3">
      <c r="A2103" s="11">
        <v>2095</v>
      </c>
      <c r="B2103" s="10">
        <f t="shared" ca="1" si="32"/>
        <v>8.8691957806116828E-2</v>
      </c>
      <c r="C2103" s="10">
        <f ca="1">NPV(B2103,Project_FCF!C18:J18)+Project_FCF!B18</f>
        <v>867.65797681564436</v>
      </c>
      <c r="D2103" s="4"/>
      <c r="E2103" s="4"/>
    </row>
    <row r="2104" spans="1:5" x14ac:dyDescent="0.3">
      <c r="A2104" s="11">
        <v>2096</v>
      </c>
      <c r="B2104" s="10">
        <f t="shared" ca="1" si="32"/>
        <v>7.6214324354263896E-2</v>
      </c>
      <c r="C2104" s="10">
        <f ca="1">NPV(B2104,Project_FCF!C18:J18)+Project_FCF!B18</f>
        <v>970.68891792664613</v>
      </c>
      <c r="D2104" s="4"/>
      <c r="E2104" s="4"/>
    </row>
    <row r="2105" spans="1:5" x14ac:dyDescent="0.3">
      <c r="A2105" s="11">
        <v>2097</v>
      </c>
      <c r="B2105" s="10">
        <f t="shared" ca="1" si="32"/>
        <v>9.0814791059336944E-2</v>
      </c>
      <c r="C2105" s="10">
        <f ca="1">NPV(B2105,Project_FCF!C18:J18)+Project_FCF!B18</f>
        <v>851.11772319312809</v>
      </c>
      <c r="D2105" s="4"/>
      <c r="E2105" s="4"/>
    </row>
    <row r="2106" spans="1:5" x14ac:dyDescent="0.3">
      <c r="A2106" s="11">
        <v>2098</v>
      </c>
      <c r="B2106" s="10">
        <f t="shared" ca="1" si="32"/>
        <v>8.2991950992851005E-2</v>
      </c>
      <c r="C2106" s="10">
        <f ca="1">NPV(B2106,Project_FCF!C18:J18)+Project_FCF!B18</f>
        <v>913.46322100629095</v>
      </c>
      <c r="D2106" s="4"/>
      <c r="E2106" s="4"/>
    </row>
    <row r="2107" spans="1:5" x14ac:dyDescent="0.3">
      <c r="A2107" s="11">
        <v>2099</v>
      </c>
      <c r="B2107" s="10">
        <f t="shared" ca="1" si="32"/>
        <v>6.471661204426811E-2</v>
      </c>
      <c r="C2107" s="10">
        <f ca="1">NPV(B2107,Project_FCF!C18:J18)+Project_FCF!B18</f>
        <v>1075.1439408777928</v>
      </c>
      <c r="D2107" s="4"/>
      <c r="E2107" s="4"/>
    </row>
    <row r="2108" spans="1:5" x14ac:dyDescent="0.3">
      <c r="A2108" s="11">
        <v>2100</v>
      </c>
      <c r="B2108" s="10">
        <f t="shared" ca="1" si="32"/>
        <v>8.3970028763852136E-2</v>
      </c>
      <c r="C2108" s="10">
        <f ca="1">NPV(B2108,Project_FCF!C18:J18)+Project_FCF!B18</f>
        <v>905.4561225763814</v>
      </c>
      <c r="D2108" s="4"/>
      <c r="E2108" s="4"/>
    </row>
    <row r="2109" spans="1:5" x14ac:dyDescent="0.3">
      <c r="A2109" s="9">
        <v>2101</v>
      </c>
      <c r="B2109" s="10">
        <f t="shared" ca="1" si="32"/>
        <v>9.4453860582081911E-2</v>
      </c>
      <c r="C2109" s="10">
        <f ca="1">NPV(B2109,Project_FCF!C18:J18)+Project_FCF!B18</f>
        <v>823.39661428980185</v>
      </c>
      <c r="D2109" s="4"/>
      <c r="E2109" s="4"/>
    </row>
    <row r="2110" spans="1:5" x14ac:dyDescent="0.3">
      <c r="A2110" s="9">
        <v>2102</v>
      </c>
      <c r="B2110" s="10">
        <f t="shared" ca="1" si="32"/>
        <v>0.10184465339876425</v>
      </c>
      <c r="C2110" s="10">
        <f ca="1">NPV(B2110,Project_FCF!C18:J18)+Project_FCF!B18</f>
        <v>769.46350045486247</v>
      </c>
      <c r="D2110" s="4"/>
      <c r="E2110" s="4"/>
    </row>
    <row r="2111" spans="1:5" x14ac:dyDescent="0.3">
      <c r="A2111" s="9">
        <v>2103</v>
      </c>
      <c r="B2111" s="10">
        <f t="shared" ca="1" si="32"/>
        <v>7.2577829453845139E-2</v>
      </c>
      <c r="C2111" s="10">
        <f ca="1">NPV(B2111,Project_FCF!C18:J18)+Project_FCF!B18</f>
        <v>1002.6906380008438</v>
      </c>
      <c r="D2111" s="4"/>
      <c r="E2111" s="4"/>
    </row>
    <row r="2112" spans="1:5" x14ac:dyDescent="0.3">
      <c r="A2112" s="9">
        <v>2104</v>
      </c>
      <c r="B2112" s="10">
        <f t="shared" ca="1" si="32"/>
        <v>0.10026440728974426</v>
      </c>
      <c r="C2112" s="10">
        <f ca="1">NPV(B2112,Project_FCF!C18:J18)+Project_FCF!B18</f>
        <v>780.73583274059365</v>
      </c>
      <c r="D2112" s="4"/>
      <c r="E2112" s="4"/>
    </row>
    <row r="2113" spans="1:5" x14ac:dyDescent="0.3">
      <c r="A2113" s="9">
        <v>2105</v>
      </c>
      <c r="B2113" s="10">
        <f t="shared" ca="1" si="32"/>
        <v>8.9306103319055002E-2</v>
      </c>
      <c r="C2113" s="10">
        <f ca="1">NPV(B2113,Project_FCF!C18:J18)+Project_FCF!B18</f>
        <v>862.84440047200087</v>
      </c>
      <c r="D2113" s="4"/>
      <c r="E2113" s="4"/>
    </row>
    <row r="2114" spans="1:5" x14ac:dyDescent="0.3">
      <c r="A2114" s="9">
        <v>2106</v>
      </c>
      <c r="B2114" s="10">
        <f t="shared" ca="1" si="32"/>
        <v>9.6969699850343358E-2</v>
      </c>
      <c r="C2114" s="10">
        <f ca="1">NPV(B2114,Project_FCF!C18:J18)+Project_FCF!B18</f>
        <v>804.68800569016412</v>
      </c>
      <c r="D2114" s="4"/>
      <c r="E2114" s="4"/>
    </row>
    <row r="2115" spans="1:5" x14ac:dyDescent="0.3">
      <c r="A2115" s="9">
        <v>2107</v>
      </c>
      <c r="B2115" s="10">
        <f t="shared" ca="1" si="32"/>
        <v>9.3573753737259263E-2</v>
      </c>
      <c r="C2115" s="10">
        <f ca="1">NPV(B2115,Project_FCF!C18:J18)+Project_FCF!B18</f>
        <v>830.02869859307293</v>
      </c>
      <c r="D2115" s="4"/>
      <c r="E2115" s="4"/>
    </row>
    <row r="2116" spans="1:5" x14ac:dyDescent="0.3">
      <c r="A2116" s="9">
        <v>2108</v>
      </c>
      <c r="B2116" s="10">
        <f t="shared" ca="1" si="32"/>
        <v>7.8664317789718038E-2</v>
      </c>
      <c r="C2116" s="10">
        <f ca="1">NPV(B2116,Project_FCF!C18:J18)+Project_FCF!B18</f>
        <v>949.64618797768821</v>
      </c>
      <c r="D2116" s="4"/>
      <c r="E2116" s="4"/>
    </row>
    <row r="2117" spans="1:5" x14ac:dyDescent="0.3">
      <c r="A2117" s="9">
        <v>2109</v>
      </c>
      <c r="B2117" s="10">
        <f t="shared" ca="1" si="32"/>
        <v>7.9464927862279017E-2</v>
      </c>
      <c r="C2117" s="10">
        <f ca="1">NPV(B2117,Project_FCF!C18:J18)+Project_FCF!B18</f>
        <v>942.85830289845057</v>
      </c>
      <c r="D2117" s="4"/>
      <c r="E2117" s="4"/>
    </row>
    <row r="2118" spans="1:5" x14ac:dyDescent="0.3">
      <c r="A2118" s="9">
        <v>2110</v>
      </c>
      <c r="B2118" s="10">
        <f t="shared" ca="1" si="32"/>
        <v>7.2840155772092241E-2</v>
      </c>
      <c r="C2118" s="10">
        <f ca="1">NPV(B2118,Project_FCF!C18:J18)+Project_FCF!B18</f>
        <v>1000.3508575893079</v>
      </c>
      <c r="D2118" s="4"/>
      <c r="E2118" s="4"/>
    </row>
    <row r="2119" spans="1:5" x14ac:dyDescent="0.3">
      <c r="A2119" s="9">
        <v>2111</v>
      </c>
      <c r="B2119" s="10">
        <f t="shared" ca="1" si="32"/>
        <v>7.0810300783815353E-2</v>
      </c>
      <c r="C2119" s="10">
        <f ca="1">NPV(B2119,Project_FCF!C18:J18)+Project_FCF!B18</f>
        <v>1018.5846793718417</v>
      </c>
      <c r="D2119" s="4"/>
      <c r="E2119" s="4"/>
    </row>
    <row r="2120" spans="1:5" x14ac:dyDescent="0.3">
      <c r="A2120" s="9">
        <v>2112</v>
      </c>
      <c r="B2120" s="10">
        <f t="shared" ca="1" si="32"/>
        <v>7.4527520626623905E-2</v>
      </c>
      <c r="C2120" s="10">
        <f ca="1">NPV(B2120,Project_FCF!C18:J18)+Project_FCF!B18</f>
        <v>985.41746785253281</v>
      </c>
      <c r="D2120" s="4"/>
      <c r="E2120" s="4"/>
    </row>
    <row r="2121" spans="1:5" x14ac:dyDescent="0.3">
      <c r="A2121" s="9">
        <v>2113</v>
      </c>
      <c r="B2121" s="10">
        <f t="shared" ref="B2121:B2184" ca="1" si="33">$B$4+RAND()*($B$5-$B$4)</f>
        <v>9.9893349606051826E-2</v>
      </c>
      <c r="C2121" s="10">
        <f ca="1">NPV(B2121,Project_FCF!C18:J18)+Project_FCF!B18</f>
        <v>783.40280565859507</v>
      </c>
      <c r="D2121" s="4"/>
      <c r="E2121" s="4"/>
    </row>
    <row r="2122" spans="1:5" x14ac:dyDescent="0.3">
      <c r="A2122" s="9">
        <v>2114</v>
      </c>
      <c r="B2122" s="10">
        <f t="shared" ca="1" si="33"/>
        <v>7.0532694251594488E-2</v>
      </c>
      <c r="C2122" s="10">
        <f ca="1">NPV(B2122,Project_FCF!C18:J18)+Project_FCF!B18</f>
        <v>1021.1015139071114</v>
      </c>
      <c r="D2122" s="4"/>
      <c r="E2122" s="4"/>
    </row>
    <row r="2123" spans="1:5" x14ac:dyDescent="0.3">
      <c r="A2123" s="9">
        <v>2115</v>
      </c>
      <c r="B2123" s="10">
        <f t="shared" ca="1" si="33"/>
        <v>9.2179382023869272E-2</v>
      </c>
      <c r="C2123" s="10">
        <f ca="1">NPV(B2123,Project_FCF!C18:J18)+Project_FCF!B18</f>
        <v>840.63003132460608</v>
      </c>
      <c r="D2123" s="4"/>
      <c r="E2123" s="4"/>
    </row>
    <row r="2124" spans="1:5" x14ac:dyDescent="0.3">
      <c r="A2124" s="9">
        <v>2116</v>
      </c>
      <c r="B2124" s="10">
        <f t="shared" ca="1" si="33"/>
        <v>6.7294345029792285E-2</v>
      </c>
      <c r="C2124" s="10">
        <f ca="1">NPV(B2124,Project_FCF!C18:J18)+Project_FCF!B18</f>
        <v>1050.8794110908198</v>
      </c>
      <c r="D2124" s="4"/>
      <c r="E2124" s="4"/>
    </row>
    <row r="2125" spans="1:5" x14ac:dyDescent="0.3">
      <c r="A2125" s="9">
        <v>2117</v>
      </c>
      <c r="B2125" s="10">
        <f t="shared" ca="1" si="33"/>
        <v>8.6861989756886859E-2</v>
      </c>
      <c r="C2125" s="10">
        <f ca="1">NPV(B2125,Project_FCF!C18:J18)+Project_FCF!B18</f>
        <v>882.13971911001045</v>
      </c>
      <c r="D2125" s="4"/>
      <c r="E2125" s="4"/>
    </row>
    <row r="2126" spans="1:5" x14ac:dyDescent="0.3">
      <c r="A2126" s="9">
        <v>2118</v>
      </c>
      <c r="B2126" s="10">
        <f t="shared" ca="1" si="33"/>
        <v>6.4599378160998117E-2</v>
      </c>
      <c r="C2126" s="10">
        <f ca="1">NPV(B2126,Project_FCF!C18:J18)+Project_FCF!B18</f>
        <v>1076.25952162299</v>
      </c>
      <c r="D2126" s="4"/>
      <c r="E2126" s="4"/>
    </row>
    <row r="2127" spans="1:5" x14ac:dyDescent="0.3">
      <c r="A2127" s="9">
        <v>2119</v>
      </c>
      <c r="B2127" s="10">
        <f t="shared" ca="1" si="33"/>
        <v>0.10363314336434962</v>
      </c>
      <c r="C2127" s="10">
        <f ca="1">NPV(B2127,Project_FCF!C18:J18)+Project_FCF!B18</f>
        <v>756.87126345395541</v>
      </c>
      <c r="D2127" s="4"/>
      <c r="E2127" s="4"/>
    </row>
    <row r="2128" spans="1:5" x14ac:dyDescent="0.3">
      <c r="A2128" s="9">
        <v>2120</v>
      </c>
      <c r="B2128" s="10">
        <f t="shared" ca="1" si="33"/>
        <v>9.2386692170480178E-2</v>
      </c>
      <c r="C2128" s="10">
        <f ca="1">NPV(B2128,Project_FCF!C18:J18)+Project_FCF!B18</f>
        <v>839.04652602791225</v>
      </c>
      <c r="D2128" s="4"/>
      <c r="E2128" s="4"/>
    </row>
    <row r="2129" spans="1:5" x14ac:dyDescent="0.3">
      <c r="A2129" s="9">
        <v>2121</v>
      </c>
      <c r="B2129" s="10">
        <f t="shared" ca="1" si="33"/>
        <v>7.585635607018168E-2</v>
      </c>
      <c r="C2129" s="10">
        <f ca="1">NPV(B2129,Project_FCF!C18:J18)+Project_FCF!B18</f>
        <v>973.79801258723091</v>
      </c>
      <c r="D2129" s="4"/>
      <c r="E2129" s="4"/>
    </row>
    <row r="2130" spans="1:5" x14ac:dyDescent="0.3">
      <c r="A2130" s="9">
        <v>2122</v>
      </c>
      <c r="B2130" s="10">
        <f t="shared" ca="1" si="33"/>
        <v>6.4715534369265637E-2</v>
      </c>
      <c r="C2130" s="10">
        <f ca="1">NPV(B2130,Project_FCF!C18:J18)+Project_FCF!B18</f>
        <v>1075.1541910685851</v>
      </c>
      <c r="D2130" s="4"/>
      <c r="E2130" s="4"/>
    </row>
    <row r="2131" spans="1:5" x14ac:dyDescent="0.3">
      <c r="A2131" s="9">
        <v>2123</v>
      </c>
      <c r="B2131" s="10">
        <f t="shared" ca="1" si="33"/>
        <v>6.6741385107013634E-2</v>
      </c>
      <c r="C2131" s="10">
        <f ca="1">NPV(B2131,Project_FCF!C18:J18)+Project_FCF!B18</f>
        <v>1056.0420935754823</v>
      </c>
      <c r="D2131" s="4"/>
      <c r="E2131" s="4"/>
    </row>
    <row r="2132" spans="1:5" x14ac:dyDescent="0.3">
      <c r="A2132" s="9">
        <v>2124</v>
      </c>
      <c r="B2132" s="10">
        <f t="shared" ca="1" si="33"/>
        <v>0.10339002536704425</v>
      </c>
      <c r="C2132" s="10">
        <f ca="1">NPV(B2132,Project_FCF!C18:J18)+Project_FCF!B18</f>
        <v>758.57275730141441</v>
      </c>
      <c r="D2132" s="4"/>
      <c r="E2132" s="4"/>
    </row>
    <row r="2133" spans="1:5" x14ac:dyDescent="0.3">
      <c r="A2133" s="9">
        <v>2125</v>
      </c>
      <c r="B2133" s="10">
        <f t="shared" ca="1" si="33"/>
        <v>7.6216455823050727E-2</v>
      </c>
      <c r="C2133" s="10">
        <f ca="1">NPV(B2133,Project_FCF!C18:J18)+Project_FCF!B18</f>
        <v>970.67043185874218</v>
      </c>
      <c r="D2133" s="4"/>
      <c r="E2133" s="4"/>
    </row>
    <row r="2134" spans="1:5" x14ac:dyDescent="0.3">
      <c r="A2134" s="9">
        <v>2126</v>
      </c>
      <c r="B2134" s="10">
        <f t="shared" ca="1" si="33"/>
        <v>8.6625202125202985E-2</v>
      </c>
      <c r="C2134" s="10">
        <f ca="1">NPV(B2134,Project_FCF!C18:J18)+Project_FCF!B18</f>
        <v>884.02887795842207</v>
      </c>
      <c r="D2134" s="4"/>
      <c r="E2134" s="4"/>
    </row>
    <row r="2135" spans="1:5" x14ac:dyDescent="0.3">
      <c r="A2135" s="9">
        <v>2127</v>
      </c>
      <c r="B2135" s="10">
        <f t="shared" ca="1" si="33"/>
        <v>0.10279573098157478</v>
      </c>
      <c r="C2135" s="10">
        <f ca="1">NPV(B2135,Project_FCF!C18:J18)+Project_FCF!B18</f>
        <v>762.74551792857983</v>
      </c>
      <c r="D2135" s="4"/>
      <c r="E2135" s="4"/>
    </row>
    <row r="2136" spans="1:5" x14ac:dyDescent="0.3">
      <c r="A2136" s="9">
        <v>2128</v>
      </c>
      <c r="B2136" s="10">
        <f t="shared" ca="1" si="33"/>
        <v>7.2136116146787457E-2</v>
      </c>
      <c r="C2136" s="10">
        <f ca="1">NPV(B2136,Project_FCF!C18:J18)+Project_FCF!B18</f>
        <v>1006.6415559017182</v>
      </c>
      <c r="D2136" s="4"/>
      <c r="E2136" s="4"/>
    </row>
    <row r="2137" spans="1:5" x14ac:dyDescent="0.3">
      <c r="A2137" s="9">
        <v>2129</v>
      </c>
      <c r="B2137" s="10">
        <f t="shared" ca="1" si="33"/>
        <v>0.10125467412252882</v>
      </c>
      <c r="C2137" s="10">
        <f ca="1">NPV(B2137,Project_FCF!C18:J18)+Project_FCF!B18</f>
        <v>773.65581914326594</v>
      </c>
      <c r="D2137" s="4"/>
      <c r="E2137" s="4"/>
    </row>
    <row r="2138" spans="1:5" x14ac:dyDescent="0.3">
      <c r="A2138" s="9">
        <v>2130</v>
      </c>
      <c r="B2138" s="10">
        <f t="shared" ca="1" si="33"/>
        <v>8.950293756731037E-2</v>
      </c>
      <c r="C2138" s="10">
        <f ca="1">NPV(B2138,Project_FCF!C18:J18)+Project_FCF!B18</f>
        <v>861.30655714018826</v>
      </c>
      <c r="D2138" s="4"/>
      <c r="E2138" s="4"/>
    </row>
    <row r="2139" spans="1:5" x14ac:dyDescent="0.3">
      <c r="A2139" s="9">
        <v>2131</v>
      </c>
      <c r="B2139" s="10">
        <f t="shared" ca="1" si="33"/>
        <v>9.468505272100583E-2</v>
      </c>
      <c r="C2139" s="10">
        <f ca="1">NPV(B2139,Project_FCF!C18:J18)+Project_FCF!B18</f>
        <v>821.66201277288405</v>
      </c>
      <c r="D2139" s="4"/>
      <c r="E2139" s="4"/>
    </row>
    <row r="2140" spans="1:5" x14ac:dyDescent="0.3">
      <c r="A2140" s="9">
        <v>2132</v>
      </c>
      <c r="B2140" s="10">
        <f t="shared" ca="1" si="33"/>
        <v>7.2709711819334874E-2</v>
      </c>
      <c r="C2140" s="10">
        <f ca="1">NPV(B2140,Project_FCF!C18:J18)+Project_FCF!B18</f>
        <v>1001.5137187528062</v>
      </c>
      <c r="D2140" s="4"/>
      <c r="E2140" s="4"/>
    </row>
    <row r="2141" spans="1:5" x14ac:dyDescent="0.3">
      <c r="A2141" s="9">
        <v>2133</v>
      </c>
      <c r="B2141" s="10">
        <f t="shared" ca="1" si="33"/>
        <v>6.555344170207604E-2</v>
      </c>
      <c r="C2141" s="10">
        <f ca="1">NPV(B2141,Project_FCF!C18:J18)+Project_FCF!B18</f>
        <v>1067.2113856302394</v>
      </c>
      <c r="D2141" s="4"/>
      <c r="E2141" s="4"/>
    </row>
    <row r="2142" spans="1:5" x14ac:dyDescent="0.3">
      <c r="A2142" s="9">
        <v>2134</v>
      </c>
      <c r="B2142" s="10">
        <f t="shared" ca="1" si="33"/>
        <v>8.2121850245612596E-2</v>
      </c>
      <c r="C2142" s="10">
        <f ca="1">NPV(B2142,Project_FCF!C18:J18)+Project_FCF!B18</f>
        <v>920.6386525229002</v>
      </c>
      <c r="D2142" s="4"/>
      <c r="E2142" s="4"/>
    </row>
    <row r="2143" spans="1:5" x14ac:dyDescent="0.3">
      <c r="A2143" s="9">
        <v>2135</v>
      </c>
      <c r="B2143" s="10">
        <f t="shared" ca="1" si="33"/>
        <v>7.358119740927159E-2</v>
      </c>
      <c r="C2143" s="10">
        <f ca="1">NPV(B2143,Project_FCF!C18:J18)+Project_FCF!B18</f>
        <v>993.76772308458499</v>
      </c>
      <c r="D2143" s="4"/>
      <c r="E2143" s="4"/>
    </row>
    <row r="2144" spans="1:5" x14ac:dyDescent="0.3">
      <c r="A2144" s="9">
        <v>2136</v>
      </c>
      <c r="B2144" s="10">
        <f t="shared" ca="1" si="33"/>
        <v>6.4948208138944058E-2</v>
      </c>
      <c r="C2144" s="10">
        <f ca="1">NPV(B2144,Project_FCF!C18:J18)+Project_FCF!B18</f>
        <v>1072.943207411013</v>
      </c>
      <c r="D2144" s="4"/>
      <c r="E2144" s="4"/>
    </row>
    <row r="2145" spans="1:5" x14ac:dyDescent="0.3">
      <c r="A2145" s="9">
        <v>2137</v>
      </c>
      <c r="B2145" s="10">
        <f t="shared" ca="1" si="33"/>
        <v>8.0605128270210491E-2</v>
      </c>
      <c r="C2145" s="10">
        <f ca="1">NPV(B2145,Project_FCF!C18:J18)+Project_FCF!B18</f>
        <v>933.26547447730877</v>
      </c>
      <c r="D2145" s="4"/>
      <c r="E2145" s="4"/>
    </row>
    <row r="2146" spans="1:5" x14ac:dyDescent="0.3">
      <c r="A2146" s="9">
        <v>2138</v>
      </c>
      <c r="B2146" s="10">
        <f t="shared" ca="1" si="33"/>
        <v>7.2942172374016997E-2</v>
      </c>
      <c r="C2146" s="10">
        <f ca="1">NPV(B2146,Project_FCF!C18:J18)+Project_FCF!B18</f>
        <v>999.44226181592308</v>
      </c>
      <c r="D2146" s="4"/>
      <c r="E2146" s="4"/>
    </row>
    <row r="2147" spans="1:5" x14ac:dyDescent="0.3">
      <c r="A2147" s="9">
        <v>2139</v>
      </c>
      <c r="B2147" s="10">
        <f t="shared" ca="1" si="33"/>
        <v>9.8983789967479432E-2</v>
      </c>
      <c r="C2147" s="10">
        <f ca="1">NPV(B2147,Project_FCF!C18:J18)+Project_FCF!B18</f>
        <v>789.97289057403054</v>
      </c>
      <c r="D2147" s="4"/>
      <c r="E2147" s="4"/>
    </row>
    <row r="2148" spans="1:5" x14ac:dyDescent="0.3">
      <c r="A2148" s="9">
        <v>2140</v>
      </c>
      <c r="B2148" s="10">
        <f t="shared" ca="1" si="33"/>
        <v>7.3716575844110066E-2</v>
      </c>
      <c r="C2148" s="10">
        <f ca="1">NPV(B2148,Project_FCF!C18:J18)+Project_FCF!B18</f>
        <v>992.56928235574196</v>
      </c>
      <c r="D2148" s="4"/>
      <c r="E2148" s="4"/>
    </row>
    <row r="2149" spans="1:5" x14ac:dyDescent="0.3">
      <c r="A2149" s="9">
        <v>2141</v>
      </c>
      <c r="B2149" s="10">
        <f t="shared" ca="1" si="33"/>
        <v>6.6917227869509904E-2</v>
      </c>
      <c r="C2149" s="10">
        <f ca="1">NPV(B2149,Project_FCF!C18:J18)+Project_FCF!B18</f>
        <v>1054.3978520305552</v>
      </c>
      <c r="D2149" s="4"/>
      <c r="E2149" s="4"/>
    </row>
    <row r="2150" spans="1:5" x14ac:dyDescent="0.3">
      <c r="A2150" s="9">
        <v>2142</v>
      </c>
      <c r="B2150" s="10">
        <f t="shared" ca="1" si="33"/>
        <v>8.3302677376779571E-2</v>
      </c>
      <c r="C2150" s="10">
        <f ca="1">NPV(B2150,Project_FCF!C18:J18)+Project_FCF!B18</f>
        <v>910.91271947380187</v>
      </c>
      <c r="D2150" s="4"/>
      <c r="E2150" s="4"/>
    </row>
    <row r="2151" spans="1:5" x14ac:dyDescent="0.3">
      <c r="A2151" s="9">
        <v>2143</v>
      </c>
      <c r="B2151" s="10">
        <f t="shared" ca="1" si="33"/>
        <v>8.2612163741834332E-2</v>
      </c>
      <c r="C2151" s="10">
        <f ca="1">NPV(B2151,Project_FCF!C18:J18)+Project_FCF!B18</f>
        <v>916.58911991559421</v>
      </c>
      <c r="D2151" s="4"/>
      <c r="E2151" s="4"/>
    </row>
    <row r="2152" spans="1:5" x14ac:dyDescent="0.3">
      <c r="A2152" s="9">
        <v>2144</v>
      </c>
      <c r="B2152" s="10">
        <f t="shared" ca="1" si="33"/>
        <v>9.0236685878350112E-2</v>
      </c>
      <c r="C2152" s="10">
        <f ca="1">NPV(B2152,Project_FCF!C18:J18)+Project_FCF!B18</f>
        <v>855.59478350031372</v>
      </c>
      <c r="D2152" s="4"/>
      <c r="E2152" s="4"/>
    </row>
    <row r="2153" spans="1:5" x14ac:dyDescent="0.3">
      <c r="A2153" s="9">
        <v>2145</v>
      </c>
      <c r="B2153" s="10">
        <f t="shared" ca="1" si="33"/>
        <v>0.10250555245133795</v>
      </c>
      <c r="C2153" s="10">
        <f ca="1">NPV(B2153,Project_FCF!C18:J18)+Project_FCF!B18</f>
        <v>764.78996007273508</v>
      </c>
      <c r="D2153" s="4"/>
      <c r="E2153" s="4"/>
    </row>
    <row r="2154" spans="1:5" x14ac:dyDescent="0.3">
      <c r="A2154" s="9">
        <v>2146</v>
      </c>
      <c r="B2154" s="10">
        <f t="shared" ca="1" si="33"/>
        <v>8.1116000210497377E-2</v>
      </c>
      <c r="C2154" s="10">
        <f ca="1">NPV(B2154,Project_FCF!C18:J18)+Project_FCF!B18</f>
        <v>928.99545260107857</v>
      </c>
      <c r="D2154" s="4"/>
      <c r="E2154" s="4"/>
    </row>
    <row r="2155" spans="1:5" x14ac:dyDescent="0.3">
      <c r="A2155" s="9">
        <v>2147</v>
      </c>
      <c r="B2155" s="10">
        <f t="shared" ca="1" si="33"/>
        <v>7.7945444699354563E-2</v>
      </c>
      <c r="C2155" s="10">
        <f ca="1">NPV(B2155,Project_FCF!C18:J18)+Project_FCF!B18</f>
        <v>955.77801340586666</v>
      </c>
      <c r="D2155" s="4"/>
      <c r="E2155" s="4"/>
    </row>
    <row r="2156" spans="1:5" x14ac:dyDescent="0.3">
      <c r="A2156" s="9">
        <v>2148</v>
      </c>
      <c r="B2156" s="10">
        <f t="shared" ca="1" si="33"/>
        <v>9.2525984557288943E-2</v>
      </c>
      <c r="C2156" s="10">
        <f ca="1">NPV(B2156,Project_FCF!C18:J18)+Project_FCF!B18</f>
        <v>837.98400746099742</v>
      </c>
      <c r="D2156" s="4"/>
      <c r="E2156" s="4"/>
    </row>
    <row r="2157" spans="1:5" x14ac:dyDescent="0.3">
      <c r="A2157" s="9">
        <v>2149</v>
      </c>
      <c r="B2157" s="10">
        <f t="shared" ca="1" si="33"/>
        <v>8.6825117527304596E-2</v>
      </c>
      <c r="C2157" s="10">
        <f ca="1">NPV(B2157,Project_FCF!C18:J18)+Project_FCF!B18</f>
        <v>882.43366443001673</v>
      </c>
      <c r="D2157" s="4"/>
      <c r="E2157" s="4"/>
    </row>
    <row r="2158" spans="1:5" x14ac:dyDescent="0.3">
      <c r="A2158" s="9">
        <v>2150</v>
      </c>
      <c r="B2158" s="10">
        <f t="shared" ca="1" si="33"/>
        <v>7.1811251874575086E-2</v>
      </c>
      <c r="C2158" s="10">
        <f ca="1">NPV(B2158,Project_FCF!C18:J18)+Project_FCF!B18</f>
        <v>1009.5562484074326</v>
      </c>
      <c r="D2158" s="4"/>
      <c r="E2158" s="4"/>
    </row>
    <row r="2159" spans="1:5" x14ac:dyDescent="0.3">
      <c r="A2159" s="9">
        <v>2151</v>
      </c>
      <c r="B2159" s="10">
        <f t="shared" ca="1" si="33"/>
        <v>8.1728500826620143E-2</v>
      </c>
      <c r="C2159" s="10">
        <f ca="1">NPV(B2159,Project_FCF!C18:J18)+Project_FCF!B18</f>
        <v>923.89874473908776</v>
      </c>
      <c r="D2159" s="4"/>
      <c r="E2159" s="4"/>
    </row>
    <row r="2160" spans="1:5" x14ac:dyDescent="0.3">
      <c r="A2160" s="9">
        <v>2152</v>
      </c>
      <c r="B2160" s="10">
        <f t="shared" ca="1" si="33"/>
        <v>7.8450081758092621E-2</v>
      </c>
      <c r="C2160" s="10">
        <f ca="1">NPV(B2160,Project_FCF!C18:J18)+Project_FCF!B18</f>
        <v>951.46990588538893</v>
      </c>
      <c r="D2160" s="4"/>
      <c r="E2160" s="4"/>
    </row>
    <row r="2161" spans="1:5" x14ac:dyDescent="0.3">
      <c r="A2161" s="9">
        <v>2153</v>
      </c>
      <c r="B2161" s="10">
        <f t="shared" ca="1" si="33"/>
        <v>9.449226501559721E-2</v>
      </c>
      <c r="C2161" s="10">
        <f ca="1">NPV(B2161,Project_FCF!C18:J18)+Project_FCF!B18</f>
        <v>823.10825413903831</v>
      </c>
      <c r="D2161" s="4"/>
      <c r="E2161" s="4"/>
    </row>
    <row r="2162" spans="1:5" x14ac:dyDescent="0.3">
      <c r="A2162" s="9">
        <v>2154</v>
      </c>
      <c r="B2162" s="10">
        <f t="shared" ca="1" si="33"/>
        <v>9.7155858876667639E-2</v>
      </c>
      <c r="C2162" s="10">
        <f ca="1">NPV(B2162,Project_FCF!C18:J18)+Project_FCF!B18</f>
        <v>803.31820625881028</v>
      </c>
      <c r="D2162" s="4"/>
      <c r="E2162" s="4"/>
    </row>
    <row r="2163" spans="1:5" x14ac:dyDescent="0.3">
      <c r="A2163" s="9">
        <v>2155</v>
      </c>
      <c r="B2163" s="10">
        <f t="shared" ca="1" si="33"/>
        <v>7.7122966664121329E-2</v>
      </c>
      <c r="C2163" s="10">
        <f ca="1">NPV(B2163,Project_FCF!C18:J18)+Project_FCF!B18</f>
        <v>962.83673972985366</v>
      </c>
      <c r="D2163" s="4"/>
      <c r="E2163" s="4"/>
    </row>
    <row r="2164" spans="1:5" x14ac:dyDescent="0.3">
      <c r="A2164" s="9">
        <v>2156</v>
      </c>
      <c r="B2164" s="10">
        <f t="shared" ca="1" si="33"/>
        <v>7.3390409376418844E-2</v>
      </c>
      <c r="C2164" s="10">
        <f ca="1">NPV(B2164,Project_FCF!C18:J18)+Project_FCF!B18</f>
        <v>995.45888306815323</v>
      </c>
      <c r="D2164" s="4"/>
      <c r="E2164" s="4"/>
    </row>
    <row r="2165" spans="1:5" x14ac:dyDescent="0.3">
      <c r="A2165" s="9">
        <v>2157</v>
      </c>
      <c r="B2165" s="10">
        <f t="shared" ca="1" si="33"/>
        <v>6.7044390596613823E-2</v>
      </c>
      <c r="C2165" s="10">
        <f ca="1">NPV(B2165,Project_FCF!C18:J18)+Project_FCF!B18</f>
        <v>1053.2102502319929</v>
      </c>
      <c r="D2165" s="4"/>
      <c r="E2165" s="4"/>
    </row>
    <row r="2166" spans="1:5" x14ac:dyDescent="0.3">
      <c r="A2166" s="9">
        <v>2158</v>
      </c>
      <c r="B2166" s="10">
        <f t="shared" ca="1" si="33"/>
        <v>9.437336107231363E-2</v>
      </c>
      <c r="C2166" s="10">
        <f ca="1">NPV(B2166,Project_FCF!C18:J18)+Project_FCF!B18</f>
        <v>824.0013268612197</v>
      </c>
      <c r="D2166" s="4"/>
      <c r="E2166" s="4"/>
    </row>
    <row r="2167" spans="1:5" x14ac:dyDescent="0.3">
      <c r="A2167" s="9">
        <v>2159</v>
      </c>
      <c r="B2167" s="10">
        <f t="shared" ca="1" si="33"/>
        <v>8.949824520573238E-2</v>
      </c>
      <c r="C2167" s="10">
        <f ca="1">NPV(B2167,Project_FCF!C18:J18)+Project_FCF!B18</f>
        <v>861.34319034059195</v>
      </c>
      <c r="D2167" s="4"/>
      <c r="E2167" s="4"/>
    </row>
    <row r="2168" spans="1:5" x14ac:dyDescent="0.3">
      <c r="A2168" s="9">
        <v>2160</v>
      </c>
      <c r="B2168" s="10">
        <f t="shared" ca="1" si="33"/>
        <v>8.4067202816236697E-2</v>
      </c>
      <c r="C2168" s="10">
        <f ca="1">NPV(B2168,Project_FCF!C18:J18)+Project_FCF!B18</f>
        <v>904.663978795709</v>
      </c>
      <c r="D2168" s="4"/>
      <c r="E2168" s="4"/>
    </row>
    <row r="2169" spans="1:5" x14ac:dyDescent="0.3">
      <c r="A2169" s="9">
        <v>2161</v>
      </c>
      <c r="B2169" s="10">
        <f t="shared" ca="1" si="33"/>
        <v>6.4965760195090788E-2</v>
      </c>
      <c r="C2169" s="10">
        <f ca="1">NPV(B2169,Project_FCF!C18:J18)+Project_FCF!B18</f>
        <v>1072.776587338951</v>
      </c>
      <c r="D2169" s="4"/>
      <c r="E2169" s="4"/>
    </row>
    <row r="2170" spans="1:5" x14ac:dyDescent="0.3">
      <c r="A2170" s="9">
        <v>2162</v>
      </c>
      <c r="B2170" s="10">
        <f t="shared" ca="1" si="33"/>
        <v>9.2300597737460258E-2</v>
      </c>
      <c r="C2170" s="10">
        <f ca="1">NPV(B2170,Project_FCF!C18:J18)+Project_FCF!B18</f>
        <v>839.70383220231088</v>
      </c>
      <c r="D2170" s="4"/>
      <c r="E2170" s="4"/>
    </row>
    <row r="2171" spans="1:5" x14ac:dyDescent="0.3">
      <c r="A2171" s="9">
        <v>2163</v>
      </c>
      <c r="B2171" s="10">
        <f t="shared" ca="1" si="33"/>
        <v>8.7386896360027139E-2</v>
      </c>
      <c r="C2171" s="10">
        <f ca="1">NPV(B2171,Project_FCF!C18:J18)+Project_FCF!B18</f>
        <v>877.96441601481433</v>
      </c>
      <c r="D2171" s="4"/>
      <c r="E2171" s="4"/>
    </row>
    <row r="2172" spans="1:5" x14ac:dyDescent="0.3">
      <c r="A2172" s="9">
        <v>2164</v>
      </c>
      <c r="B2172" s="10">
        <f t="shared" ca="1" si="33"/>
        <v>9.7904219177482488E-2</v>
      </c>
      <c r="C2172" s="10">
        <f ca="1">NPV(B2172,Project_FCF!C18:J18)+Project_FCF!B18</f>
        <v>797.8316157706663</v>
      </c>
      <c r="D2172" s="4"/>
      <c r="E2172" s="4"/>
    </row>
    <row r="2173" spans="1:5" x14ac:dyDescent="0.3">
      <c r="A2173" s="9">
        <v>2165</v>
      </c>
      <c r="B2173" s="10">
        <f t="shared" ca="1" si="33"/>
        <v>6.4353634962523998E-2</v>
      </c>
      <c r="C2173" s="10">
        <f ca="1">NPV(B2173,Project_FCF!C18:J18)+Project_FCF!B18</f>
        <v>1078.6014092718829</v>
      </c>
      <c r="D2173" s="4"/>
      <c r="E2173" s="4"/>
    </row>
    <row r="2174" spans="1:5" x14ac:dyDescent="0.3">
      <c r="A2174" s="9">
        <v>2166</v>
      </c>
      <c r="B2174" s="10">
        <f t="shared" ca="1" si="33"/>
        <v>9.5930433927512146E-2</v>
      </c>
      <c r="C2174" s="10">
        <f ca="1">NPV(B2174,Project_FCF!C18:J18)+Project_FCF!B18</f>
        <v>812.37180838468589</v>
      </c>
      <c r="D2174" s="4"/>
      <c r="E2174" s="4"/>
    </row>
    <row r="2175" spans="1:5" x14ac:dyDescent="0.3">
      <c r="A2175" s="9">
        <v>2167</v>
      </c>
      <c r="B2175" s="10">
        <f t="shared" ca="1" si="33"/>
        <v>8.8049642599200825E-2</v>
      </c>
      <c r="C2175" s="10">
        <f ca="1">NPV(B2175,Project_FCF!C18:J18)+Project_FCF!B18</f>
        <v>872.71728809066985</v>
      </c>
      <c r="D2175" s="4"/>
      <c r="E2175" s="4"/>
    </row>
    <row r="2176" spans="1:5" x14ac:dyDescent="0.3">
      <c r="A2176" s="9">
        <v>2168</v>
      </c>
      <c r="B2176" s="10">
        <f t="shared" ca="1" si="33"/>
        <v>7.2736063628986769E-2</v>
      </c>
      <c r="C2176" s="10">
        <f ca="1">NPV(B2176,Project_FCF!C18:J18)+Project_FCF!B18</f>
        <v>1001.2787039150983</v>
      </c>
      <c r="D2176" s="4"/>
      <c r="E2176" s="4"/>
    </row>
    <row r="2177" spans="1:5" x14ac:dyDescent="0.3">
      <c r="A2177" s="9">
        <v>2169</v>
      </c>
      <c r="B2177" s="10">
        <f t="shared" ca="1" si="33"/>
        <v>7.7636743341663969E-2</v>
      </c>
      <c r="C2177" s="10">
        <f ca="1">NPV(B2177,Project_FCF!C18:J18)+Project_FCF!B18</f>
        <v>958.42195276579764</v>
      </c>
      <c r="D2177" s="4"/>
      <c r="E2177" s="4"/>
    </row>
    <row r="2178" spans="1:5" x14ac:dyDescent="0.3">
      <c r="A2178" s="9">
        <v>2170</v>
      </c>
      <c r="B2178" s="10">
        <f t="shared" ca="1" si="33"/>
        <v>9.5946521667636675E-2</v>
      </c>
      <c r="C2178" s="10">
        <f ca="1">NPV(B2178,Project_FCF!C18:J18)+Project_FCF!B18</f>
        <v>812.25238838466498</v>
      </c>
      <c r="D2178" s="4"/>
      <c r="E2178" s="4"/>
    </row>
    <row r="2179" spans="1:5" x14ac:dyDescent="0.3">
      <c r="A2179" s="9">
        <v>2171</v>
      </c>
      <c r="B2179" s="10">
        <f t="shared" ca="1" si="33"/>
        <v>7.6904677182530148E-2</v>
      </c>
      <c r="C2179" s="10">
        <f ca="1">NPV(B2179,Project_FCF!C18:J18)+Project_FCF!B18</f>
        <v>964.71793677078995</v>
      </c>
      <c r="D2179" s="4"/>
      <c r="E2179" s="4"/>
    </row>
    <row r="2180" spans="1:5" x14ac:dyDescent="0.3">
      <c r="A2180" s="9">
        <v>2172</v>
      </c>
      <c r="B2180" s="10">
        <f t="shared" ca="1" si="33"/>
        <v>7.9761480692148834E-2</v>
      </c>
      <c r="C2180" s="10">
        <f ca="1">NPV(B2180,Project_FCF!C18:J18)+Project_FCF!B18</f>
        <v>940.35495485551883</v>
      </c>
      <c r="D2180" s="4"/>
      <c r="E2180" s="4"/>
    </row>
    <row r="2181" spans="1:5" x14ac:dyDescent="0.3">
      <c r="A2181" s="9">
        <v>2173</v>
      </c>
      <c r="B2181" s="10">
        <f t="shared" ca="1" si="33"/>
        <v>6.530137456530867E-2</v>
      </c>
      <c r="C2181" s="10">
        <f ca="1">NPV(B2181,Project_FCF!C18:J18)+Project_FCF!B18</f>
        <v>1069.5951679780417</v>
      </c>
      <c r="D2181" s="4"/>
      <c r="E2181" s="4"/>
    </row>
    <row r="2182" spans="1:5" x14ac:dyDescent="0.3">
      <c r="A2182" s="9">
        <v>2174</v>
      </c>
      <c r="B2182" s="10">
        <f t="shared" ca="1" si="33"/>
        <v>0.10366363943281756</v>
      </c>
      <c r="C2182" s="10">
        <f ca="1">NPV(B2182,Project_FCF!C18:J18)+Project_FCF!B18</f>
        <v>756.65805860419368</v>
      </c>
      <c r="D2182" s="4"/>
      <c r="E2182" s="4"/>
    </row>
    <row r="2183" spans="1:5" x14ac:dyDescent="0.3">
      <c r="A2183" s="9">
        <v>2175</v>
      </c>
      <c r="B2183" s="10">
        <f t="shared" ca="1" si="33"/>
        <v>0.10105293325815293</v>
      </c>
      <c r="C2183" s="10">
        <f ca="1">NPV(B2183,Project_FCF!C18:J18)+Project_FCF!B18</f>
        <v>775.09377384606864</v>
      </c>
      <c r="D2183" s="4"/>
      <c r="E2183" s="4"/>
    </row>
    <row r="2184" spans="1:5" x14ac:dyDescent="0.3">
      <c r="A2184" s="9">
        <v>2176</v>
      </c>
      <c r="B2184" s="10">
        <f t="shared" ca="1" si="33"/>
        <v>7.2833263578184232E-2</v>
      </c>
      <c r="C2184" s="10">
        <f ca="1">NPV(B2184,Project_FCF!C18:J18)+Project_FCF!B18</f>
        <v>1000.4122686537098</v>
      </c>
      <c r="D2184" s="4"/>
      <c r="E2184" s="4"/>
    </row>
    <row r="2185" spans="1:5" x14ac:dyDescent="0.3">
      <c r="A2185" s="9">
        <v>2177</v>
      </c>
      <c r="B2185" s="10">
        <f t="shared" ref="B2185:B2248" ca="1" si="34">$B$4+RAND()*($B$5-$B$4)</f>
        <v>0.10194227994168184</v>
      </c>
      <c r="C2185" s="10">
        <f ca="1">NPV(B2185,Project_FCF!C18:J18)+Project_FCF!B18</f>
        <v>768.77162685738153</v>
      </c>
      <c r="D2185" s="4"/>
      <c r="E2185" s="4"/>
    </row>
    <row r="2186" spans="1:5" x14ac:dyDescent="0.3">
      <c r="A2186" s="9">
        <v>2178</v>
      </c>
      <c r="B2186" s="10">
        <f t="shared" ca="1" si="34"/>
        <v>8.6043980930388592E-2</v>
      </c>
      <c r="C2186" s="10">
        <f ca="1">NPV(B2186,Project_FCF!C18:J18)+Project_FCF!B18</f>
        <v>888.68100998551859</v>
      </c>
      <c r="D2186" s="4"/>
      <c r="E2186" s="4"/>
    </row>
    <row r="2187" spans="1:5" x14ac:dyDescent="0.3">
      <c r="A2187" s="9">
        <v>2179</v>
      </c>
      <c r="B2187" s="10">
        <f t="shared" ca="1" si="34"/>
        <v>6.5532961096457912E-2</v>
      </c>
      <c r="C2187" s="10">
        <f ca="1">NPV(B2187,Project_FCF!C18:J18)+Project_FCF!B18</f>
        <v>1067.4048884544397</v>
      </c>
      <c r="D2187" s="4"/>
      <c r="E2187" s="4"/>
    </row>
    <row r="2188" spans="1:5" x14ac:dyDescent="0.3">
      <c r="A2188" s="9">
        <v>2180</v>
      </c>
      <c r="B2188" s="10">
        <f t="shared" ca="1" si="34"/>
        <v>0.10047918572346956</v>
      </c>
      <c r="C2188" s="10">
        <f ca="1">NPV(B2188,Project_FCF!C18:J18)+Project_FCF!B18</f>
        <v>779.19562499838526</v>
      </c>
      <c r="D2188" s="4"/>
      <c r="E2188" s="4"/>
    </row>
    <row r="2189" spans="1:5" x14ac:dyDescent="0.3">
      <c r="A2189" s="9">
        <v>2181</v>
      </c>
      <c r="B2189" s="10">
        <f t="shared" ca="1" si="34"/>
        <v>9.6065120169060131E-2</v>
      </c>
      <c r="C2189" s="10">
        <f ca="1">NPV(B2189,Project_FCF!C18:J18)+Project_FCF!B18</f>
        <v>811.37248912670952</v>
      </c>
      <c r="D2189" s="4"/>
      <c r="E2189" s="4"/>
    </row>
    <row r="2190" spans="1:5" x14ac:dyDescent="0.3">
      <c r="A2190" s="9">
        <v>2182</v>
      </c>
      <c r="B2190" s="10">
        <f t="shared" ca="1" si="34"/>
        <v>9.2181765888543044E-2</v>
      </c>
      <c r="C2190" s="10">
        <f ca="1">NPV(B2190,Project_FCF!C18:J18)+Project_FCF!B18</f>
        <v>840.61180793068957</v>
      </c>
      <c r="D2190" s="4"/>
      <c r="E2190" s="4"/>
    </row>
    <row r="2191" spans="1:5" x14ac:dyDescent="0.3">
      <c r="A2191" s="9">
        <v>2183</v>
      </c>
      <c r="B2191" s="10">
        <f t="shared" ca="1" si="34"/>
        <v>9.274783632486909E-2</v>
      </c>
      <c r="C2191" s="10">
        <f ca="1">NPV(B2191,Project_FCF!C18:J18)+Project_FCF!B18</f>
        <v>836.29412044944479</v>
      </c>
      <c r="D2191" s="4"/>
      <c r="E2191" s="4"/>
    </row>
    <row r="2192" spans="1:5" x14ac:dyDescent="0.3">
      <c r="A2192" s="9">
        <v>2184</v>
      </c>
      <c r="B2192" s="10">
        <f t="shared" ca="1" si="34"/>
        <v>9.057570081881311E-2</v>
      </c>
      <c r="C2192" s="10">
        <f ca="1">NPV(B2192,Project_FCF!C18:J18)+Project_FCF!B18</f>
        <v>852.96686239758992</v>
      </c>
      <c r="D2192" s="4"/>
      <c r="E2192" s="4"/>
    </row>
    <row r="2193" spans="1:5" x14ac:dyDescent="0.3">
      <c r="A2193" s="9">
        <v>2185</v>
      </c>
      <c r="B2193" s="10">
        <f t="shared" ca="1" si="34"/>
        <v>7.5303051231381035E-2</v>
      </c>
      <c r="C2193" s="10">
        <f ca="1">NPV(B2193,Project_FCF!C18:J18)+Project_FCF!B18</f>
        <v>978.62118611045071</v>
      </c>
      <c r="D2193" s="4"/>
      <c r="E2193" s="4"/>
    </row>
    <row r="2194" spans="1:5" x14ac:dyDescent="0.3">
      <c r="A2194" s="9">
        <v>2186</v>
      </c>
      <c r="B2194" s="10">
        <f t="shared" ca="1" si="34"/>
        <v>6.611778296137609E-2</v>
      </c>
      <c r="C2194" s="10">
        <f ca="1">NPV(B2194,Project_FCF!C18:J18)+Project_FCF!B18</f>
        <v>1061.8919901888437</v>
      </c>
      <c r="D2194" s="4"/>
      <c r="E2194" s="4"/>
    </row>
    <row r="2195" spans="1:5" x14ac:dyDescent="0.3">
      <c r="A2195" s="9">
        <v>2187</v>
      </c>
      <c r="B2195" s="10">
        <f t="shared" ca="1" si="34"/>
        <v>7.4756275425588575E-2</v>
      </c>
      <c r="C2195" s="10">
        <f ca="1">NPV(B2195,Project_FCF!C18:J18)+Project_FCF!B18</f>
        <v>983.40841998399492</v>
      </c>
      <c r="D2195" s="4"/>
      <c r="E2195" s="4"/>
    </row>
    <row r="2196" spans="1:5" x14ac:dyDescent="0.3">
      <c r="A2196" s="9">
        <v>2188</v>
      </c>
      <c r="B2196" s="10">
        <f t="shared" ca="1" si="34"/>
        <v>7.2710008856468181E-2</v>
      </c>
      <c r="C2196" s="10">
        <f ca="1">NPV(B2196,Project_FCF!C18:J18)+Project_FCF!B18</f>
        <v>1001.5110693934212</v>
      </c>
      <c r="D2196" s="4"/>
      <c r="E2196" s="4"/>
    </row>
    <row r="2197" spans="1:5" x14ac:dyDescent="0.3">
      <c r="A2197" s="9">
        <v>2189</v>
      </c>
      <c r="B2197" s="10">
        <f t="shared" ca="1" si="34"/>
        <v>6.7477173355016712E-2</v>
      </c>
      <c r="C2197" s="10">
        <f ca="1">NPV(B2197,Project_FCF!C18:J18)+Project_FCF!B18</f>
        <v>1049.1774952244184</v>
      </c>
      <c r="D2197" s="4"/>
      <c r="E2197" s="4"/>
    </row>
    <row r="2198" spans="1:5" x14ac:dyDescent="0.3">
      <c r="A2198" s="9">
        <v>2190</v>
      </c>
      <c r="B2198" s="10">
        <f t="shared" ca="1" si="34"/>
        <v>8.5000434442793413E-2</v>
      </c>
      <c r="C2198" s="10">
        <f ca="1">NPV(B2198,Project_FCF!C18:J18)+Project_FCF!B18</f>
        <v>897.0873599030765</v>
      </c>
      <c r="D2198" s="4"/>
      <c r="E2198" s="4"/>
    </row>
    <row r="2199" spans="1:5" x14ac:dyDescent="0.3">
      <c r="A2199" s="9">
        <v>2191</v>
      </c>
      <c r="B2199" s="10">
        <f t="shared" ca="1" si="34"/>
        <v>6.4045940833680731E-2</v>
      </c>
      <c r="C2199" s="10">
        <f ca="1">NPV(B2199,Project_FCF!C18:J18)+Project_FCF!B18</f>
        <v>1081.5402410429353</v>
      </c>
      <c r="D2199" s="4"/>
      <c r="E2199" s="4"/>
    </row>
    <row r="2200" spans="1:5" x14ac:dyDescent="0.3">
      <c r="A2200" s="9">
        <v>2192</v>
      </c>
      <c r="B2200" s="10">
        <f t="shared" ca="1" si="34"/>
        <v>8.8994567093373125E-2</v>
      </c>
      <c r="C2200" s="10">
        <f ca="1">NPV(B2200,Project_FCF!C18:J18)+Project_FCF!B18</f>
        <v>865.28326687660092</v>
      </c>
      <c r="D2200" s="4"/>
      <c r="E2200" s="4"/>
    </row>
    <row r="2201" spans="1:5" x14ac:dyDescent="0.3">
      <c r="A2201" s="9">
        <v>2193</v>
      </c>
      <c r="B2201" s="10">
        <f t="shared" ca="1" si="34"/>
        <v>8.7480029682103957E-2</v>
      </c>
      <c r="C2201" s="10">
        <f ca="1">NPV(B2201,Project_FCF!C18:J18)+Project_FCF!B18</f>
        <v>877.22540104147743</v>
      </c>
      <c r="D2201" s="4"/>
      <c r="E2201" s="4"/>
    </row>
    <row r="2202" spans="1:5" x14ac:dyDescent="0.3">
      <c r="A2202" s="9">
        <v>2194</v>
      </c>
      <c r="B2202" s="10">
        <f t="shared" ca="1" si="34"/>
        <v>9.5540656175158001E-2</v>
      </c>
      <c r="C2202" s="10">
        <f ca="1">NPV(B2202,Project_FCF!C18:J18)+Project_FCF!B18</f>
        <v>815.2697344511098</v>
      </c>
      <c r="D2202" s="4"/>
      <c r="E2202" s="4"/>
    </row>
    <row r="2203" spans="1:5" x14ac:dyDescent="0.3">
      <c r="A2203" s="9">
        <v>2195</v>
      </c>
      <c r="B2203" s="10">
        <f t="shared" ca="1" si="34"/>
        <v>0.1023095891133208</v>
      </c>
      <c r="C2203" s="10">
        <f ca="1">NPV(B2203,Project_FCF!C18:J18)+Project_FCF!B18</f>
        <v>766.17321589658422</v>
      </c>
      <c r="D2203" s="4"/>
      <c r="E2203" s="4"/>
    </row>
    <row r="2204" spans="1:5" x14ac:dyDescent="0.3">
      <c r="A2204" s="9">
        <v>2196</v>
      </c>
      <c r="B2204" s="10">
        <f t="shared" ca="1" si="34"/>
        <v>7.7614106268163299E-2</v>
      </c>
      <c r="C2204" s="10">
        <f ca="1">NPV(B2204,Project_FCF!C18:J18)+Project_FCF!B18</f>
        <v>958.61608871701924</v>
      </c>
      <c r="D2204" s="4"/>
      <c r="E2204" s="4"/>
    </row>
    <row r="2205" spans="1:5" x14ac:dyDescent="0.3">
      <c r="A2205" s="9">
        <v>2197</v>
      </c>
      <c r="B2205" s="10">
        <f t="shared" ca="1" si="34"/>
        <v>8.1766286269469815E-2</v>
      </c>
      <c r="C2205" s="10">
        <f ca="1">NPV(B2205,Project_FCF!C18:J18)+Project_FCF!B18</f>
        <v>923.58513634437236</v>
      </c>
      <c r="D2205" s="4"/>
      <c r="E2205" s="4"/>
    </row>
    <row r="2206" spans="1:5" x14ac:dyDescent="0.3">
      <c r="A2206" s="9">
        <v>2198</v>
      </c>
      <c r="B2206" s="10">
        <f t="shared" ca="1" si="34"/>
        <v>9.2533976929533177E-2</v>
      </c>
      <c r="C2206" s="10">
        <f ca="1">NPV(B2206,Project_FCF!C18:J18)+Project_FCF!B18</f>
        <v>837.92307703175379</v>
      </c>
      <c r="D2206" s="4"/>
      <c r="E2206" s="4"/>
    </row>
    <row r="2207" spans="1:5" x14ac:dyDescent="0.3">
      <c r="A2207" s="9">
        <v>2199</v>
      </c>
      <c r="B2207" s="10">
        <f t="shared" ca="1" si="34"/>
        <v>0.10265967765486865</v>
      </c>
      <c r="C2207" s="10">
        <f ca="1">NPV(B2207,Project_FCF!C18:J18)+Project_FCF!B18</f>
        <v>763.70350419054671</v>
      </c>
      <c r="D2207" s="4"/>
      <c r="E2207" s="4"/>
    </row>
    <row r="2208" spans="1:5" x14ac:dyDescent="0.3">
      <c r="A2208" s="9">
        <v>2200</v>
      </c>
      <c r="B2208" s="10">
        <f t="shared" ca="1" si="34"/>
        <v>7.2168705942419573E-2</v>
      </c>
      <c r="C2208" s="10">
        <f ca="1">NPV(B2208,Project_FCF!C18:J18)+Project_FCF!B18</f>
        <v>1006.3495776758116</v>
      </c>
      <c r="D2208" s="4"/>
      <c r="E2208" s="4"/>
    </row>
    <row r="2209" spans="1:5" x14ac:dyDescent="0.3">
      <c r="A2209" s="9">
        <v>2201</v>
      </c>
      <c r="B2209" s="10">
        <f t="shared" ca="1" si="34"/>
        <v>7.120113521200977E-2</v>
      </c>
      <c r="C2209" s="10">
        <f ca="1">NPV(B2209,Project_FCF!C18:J18)+Project_FCF!B18</f>
        <v>1015.0507853400532</v>
      </c>
      <c r="D2209" s="4"/>
      <c r="E2209" s="4"/>
    </row>
    <row r="2210" spans="1:5" x14ac:dyDescent="0.3">
      <c r="A2210" s="9">
        <v>2202</v>
      </c>
      <c r="B2210" s="10">
        <f t="shared" ca="1" si="34"/>
        <v>0.10332377873833408</v>
      </c>
      <c r="C2210" s="10">
        <f ca="1">NPV(B2210,Project_FCF!C18:J18)+Project_FCF!B18</f>
        <v>759.03694876179566</v>
      </c>
      <c r="D2210" s="4"/>
      <c r="E2210" s="4"/>
    </row>
    <row r="2211" spans="1:5" x14ac:dyDescent="0.3">
      <c r="A2211" s="9">
        <v>2203</v>
      </c>
      <c r="B2211" s="10">
        <f t="shared" ca="1" si="34"/>
        <v>7.8695004078200598E-2</v>
      </c>
      <c r="C2211" s="10">
        <f ca="1">NPV(B2211,Project_FCF!C18:J18)+Project_FCF!B18</f>
        <v>949.38522048135655</v>
      </c>
      <c r="D2211" s="4"/>
      <c r="E2211" s="4"/>
    </row>
    <row r="2212" spans="1:5" x14ac:dyDescent="0.3">
      <c r="A2212" s="9">
        <v>2204</v>
      </c>
      <c r="B2212" s="10">
        <f t="shared" ca="1" si="34"/>
        <v>9.0072721182088616E-2</v>
      </c>
      <c r="C2212" s="10">
        <f ca="1">NPV(B2212,Project_FCF!C18:J18)+Project_FCF!B18</f>
        <v>856.86829109453038</v>
      </c>
      <c r="D2212" s="4"/>
      <c r="E2212" s="4"/>
    </row>
    <row r="2213" spans="1:5" x14ac:dyDescent="0.3">
      <c r="A2213" s="9">
        <v>2205</v>
      </c>
      <c r="B2213" s="10">
        <f t="shared" ca="1" si="34"/>
        <v>8.3695305260508876E-2</v>
      </c>
      <c r="C2213" s="10">
        <f ca="1">NPV(B2213,Project_FCF!C18:J18)+Project_FCF!B18</f>
        <v>907.6989107323659</v>
      </c>
      <c r="D2213" s="4"/>
      <c r="E2213" s="4"/>
    </row>
    <row r="2214" spans="1:5" x14ac:dyDescent="0.3">
      <c r="A2214" s="9">
        <v>2206</v>
      </c>
      <c r="B2214" s="10">
        <f t="shared" ca="1" si="34"/>
        <v>7.1446759123543924E-2</v>
      </c>
      <c r="C2214" s="10">
        <f ca="1">NPV(B2214,Project_FCF!C18:J18)+Project_FCF!B18</f>
        <v>1012.8355342347684</v>
      </c>
      <c r="D2214" s="4"/>
      <c r="E2214" s="4"/>
    </row>
    <row r="2215" spans="1:5" x14ac:dyDescent="0.3">
      <c r="A2215" s="9">
        <v>2207</v>
      </c>
      <c r="B2215" s="10">
        <f t="shared" ca="1" si="34"/>
        <v>8.4004879332446381E-2</v>
      </c>
      <c r="C2215" s="10">
        <f ca="1">NPV(B2215,Project_FCF!C18:J18)+Project_FCF!B18</f>
        <v>905.17195758168737</v>
      </c>
      <c r="D2215" s="4"/>
      <c r="E2215" s="4"/>
    </row>
    <row r="2216" spans="1:5" x14ac:dyDescent="0.3">
      <c r="A2216" s="9">
        <v>2208</v>
      </c>
      <c r="B2216" s="10">
        <f t="shared" ca="1" si="34"/>
        <v>6.9159297364638106E-2</v>
      </c>
      <c r="C2216" s="10">
        <f ca="1">NPV(B2216,Project_FCF!C18:J18)+Project_FCF!B18</f>
        <v>1033.6358457126107</v>
      </c>
      <c r="D2216" s="4"/>
      <c r="E2216" s="4"/>
    </row>
    <row r="2217" spans="1:5" x14ac:dyDescent="0.3">
      <c r="A2217" s="9">
        <v>2209</v>
      </c>
      <c r="B2217" s="10">
        <f t="shared" ca="1" si="34"/>
        <v>9.1064615224237089E-2</v>
      </c>
      <c r="C2217" s="10">
        <f ca="1">NPV(B2217,Project_FCF!C18:J18)+Project_FCF!B18</f>
        <v>849.18927105891544</v>
      </c>
      <c r="D2217" s="4"/>
      <c r="E2217" s="4"/>
    </row>
    <row r="2218" spans="1:5" x14ac:dyDescent="0.3">
      <c r="A2218" s="9">
        <v>2210</v>
      </c>
      <c r="B2218" s="10">
        <f t="shared" ca="1" si="34"/>
        <v>9.2449546101133734E-2</v>
      </c>
      <c r="C2218" s="10">
        <f ca="1">NPV(B2218,Project_FCF!C18:J18)+Project_FCF!B18</f>
        <v>838.56693435987199</v>
      </c>
      <c r="D2218" s="4"/>
      <c r="E2218" s="4"/>
    </row>
    <row r="2219" spans="1:5" x14ac:dyDescent="0.3">
      <c r="A2219" s="9">
        <v>2211</v>
      </c>
      <c r="B2219" s="10">
        <f t="shared" ca="1" si="34"/>
        <v>9.6175586549707356E-2</v>
      </c>
      <c r="C2219" s="10">
        <f ca="1">NPV(B2219,Project_FCF!C18:J18)+Project_FCF!B18</f>
        <v>810.55365554078685</v>
      </c>
      <c r="D2219" s="4"/>
      <c r="E2219" s="4"/>
    </row>
    <row r="2220" spans="1:5" x14ac:dyDescent="0.3">
      <c r="A2220" s="9">
        <v>2212</v>
      </c>
      <c r="B2220" s="10">
        <f t="shared" ca="1" si="34"/>
        <v>7.3367421432067426E-2</v>
      </c>
      <c r="C2220" s="10">
        <f ca="1">NPV(B2220,Project_FCF!C18:J18)+Project_FCF!B18</f>
        <v>995.66282427402393</v>
      </c>
      <c r="D2220" s="4"/>
      <c r="E2220" s="4"/>
    </row>
    <row r="2221" spans="1:5" x14ac:dyDescent="0.3">
      <c r="A2221" s="9">
        <v>2213</v>
      </c>
      <c r="B2221" s="10">
        <f t="shared" ca="1" si="34"/>
        <v>8.2533762880671754E-2</v>
      </c>
      <c r="C2221" s="10">
        <f ca="1">NPV(B2221,Project_FCF!C18:J18)+Project_FCF!B18</f>
        <v>917.23558205646509</v>
      </c>
      <c r="D2221" s="4"/>
      <c r="E2221" s="4"/>
    </row>
    <row r="2222" spans="1:5" x14ac:dyDescent="0.3">
      <c r="A2222" s="9">
        <v>2214</v>
      </c>
      <c r="B2222" s="10">
        <f t="shared" ca="1" si="34"/>
        <v>8.2674175502209846E-2</v>
      </c>
      <c r="C2222" s="10">
        <f ca="1">NPV(B2222,Project_FCF!C18:J18)+Project_FCF!B18</f>
        <v>916.0780799705617</v>
      </c>
      <c r="D2222" s="4"/>
      <c r="E2222" s="4"/>
    </row>
    <row r="2223" spans="1:5" x14ac:dyDescent="0.3">
      <c r="A2223" s="9">
        <v>2215</v>
      </c>
      <c r="B2223" s="10">
        <f t="shared" ca="1" si="34"/>
        <v>6.6888190899900696E-2</v>
      </c>
      <c r="C2223" s="10">
        <f ca="1">NPV(B2223,Project_FCF!C18:J18)+Project_FCF!B18</f>
        <v>1054.6692055959074</v>
      </c>
      <c r="D2223" s="4"/>
      <c r="E2223" s="4"/>
    </row>
    <row r="2224" spans="1:5" x14ac:dyDescent="0.3">
      <c r="A2224" s="9">
        <v>2216</v>
      </c>
      <c r="B2224" s="10">
        <f t="shared" ca="1" si="34"/>
        <v>6.7632644264103009E-2</v>
      </c>
      <c r="C2224" s="10">
        <f ca="1">NPV(B2224,Project_FCF!C18:J18)+Project_FCF!B18</f>
        <v>1047.7322143109029</v>
      </c>
      <c r="D2224" s="4"/>
      <c r="E2224" s="4"/>
    </row>
    <row r="2225" spans="1:5" x14ac:dyDescent="0.3">
      <c r="A2225" s="9">
        <v>2217</v>
      </c>
      <c r="B2225" s="10">
        <f t="shared" ca="1" si="34"/>
        <v>8.6900455100897708E-2</v>
      </c>
      <c r="C2225" s="10">
        <f ca="1">NPV(B2225,Project_FCF!C18:J18)+Project_FCF!B18</f>
        <v>881.83316453039038</v>
      </c>
      <c r="D2225" s="4"/>
      <c r="E2225" s="4"/>
    </row>
    <row r="2226" spans="1:5" x14ac:dyDescent="0.3">
      <c r="A2226" s="9">
        <v>2218</v>
      </c>
      <c r="B2226" s="10">
        <f t="shared" ca="1" si="34"/>
        <v>7.8064584803568232E-2</v>
      </c>
      <c r="C2226" s="10">
        <f ca="1">NPV(B2226,Project_FCF!C18:J18)+Project_FCF!B18</f>
        <v>954.7593486825258</v>
      </c>
      <c r="D2226" s="4"/>
      <c r="E2226" s="4"/>
    </row>
    <row r="2227" spans="1:5" x14ac:dyDescent="0.3">
      <c r="A2227" s="9">
        <v>2219</v>
      </c>
      <c r="B2227" s="10">
        <f t="shared" ca="1" si="34"/>
        <v>7.9470258580022088E-2</v>
      </c>
      <c r="C2227" s="10">
        <f ca="1">NPV(B2227,Project_FCF!C18:J18)+Project_FCF!B18</f>
        <v>942.8132516081921</v>
      </c>
      <c r="D2227" s="4"/>
      <c r="E2227" s="4"/>
    </row>
    <row r="2228" spans="1:5" x14ac:dyDescent="0.3">
      <c r="A2228" s="9">
        <v>2220</v>
      </c>
      <c r="B2228" s="10">
        <f t="shared" ca="1" si="34"/>
        <v>6.5636911578767818E-2</v>
      </c>
      <c r="C2228" s="10">
        <f ca="1">NPV(B2228,Project_FCF!C18:J18)+Project_FCF!B18</f>
        <v>1066.4230844546516</v>
      </c>
      <c r="D2228" s="4"/>
      <c r="E2228" s="4"/>
    </row>
    <row r="2229" spans="1:5" x14ac:dyDescent="0.3">
      <c r="A2229" s="9">
        <v>2221</v>
      </c>
      <c r="B2229" s="10">
        <f t="shared" ca="1" si="34"/>
        <v>6.4637298575649399E-2</v>
      </c>
      <c r="C2229" s="10">
        <f ca="1">NPV(B2229,Project_FCF!C18:J18)+Project_FCF!B18</f>
        <v>1075.8985608419284</v>
      </c>
      <c r="D2229" s="4"/>
      <c r="E2229" s="4"/>
    </row>
    <row r="2230" spans="1:5" x14ac:dyDescent="0.3">
      <c r="A2230" s="9">
        <v>2222</v>
      </c>
      <c r="B2230" s="10">
        <f t="shared" ca="1" si="34"/>
        <v>7.6638410333727633E-2</v>
      </c>
      <c r="C2230" s="10">
        <f ca="1">NPV(B2230,Project_FCF!C18:J18)+Project_FCF!B18</f>
        <v>967.01703281102527</v>
      </c>
      <c r="D2230" s="4"/>
      <c r="E2230" s="4"/>
    </row>
    <row r="2231" spans="1:5" x14ac:dyDescent="0.3">
      <c r="A2231" s="9">
        <v>2223</v>
      </c>
      <c r="B2231" s="10">
        <f t="shared" ca="1" si="34"/>
        <v>7.1357225190456758E-2</v>
      </c>
      <c r="C2231" s="10">
        <f ca="1">NPV(B2231,Project_FCF!C18:J18)+Project_FCF!B18</f>
        <v>1013.6425242678235</v>
      </c>
      <c r="D2231" s="4"/>
      <c r="E2231" s="4"/>
    </row>
    <row r="2232" spans="1:5" x14ac:dyDescent="0.3">
      <c r="A2232" s="9">
        <v>2224</v>
      </c>
      <c r="B2232" s="10">
        <f t="shared" ca="1" si="34"/>
        <v>6.704339203835577E-2</v>
      </c>
      <c r="C2232" s="10">
        <f ca="1">NPV(B2232,Project_FCF!C18:J18)+Project_FCF!B18</f>
        <v>1053.2195712578002</v>
      </c>
      <c r="D2232" s="4"/>
      <c r="E2232" s="4"/>
    </row>
    <row r="2233" spans="1:5" x14ac:dyDescent="0.3">
      <c r="A2233" s="9">
        <v>2225</v>
      </c>
      <c r="B2233" s="10">
        <f t="shared" ca="1" si="34"/>
        <v>0.10050698028985193</v>
      </c>
      <c r="C2233" s="10">
        <f ca="1">NPV(B2233,Project_FCF!C18:J18)+Project_FCF!B18</f>
        <v>778.99649380488654</v>
      </c>
      <c r="D2233" s="4"/>
      <c r="E2233" s="4"/>
    </row>
    <row r="2234" spans="1:5" x14ac:dyDescent="0.3">
      <c r="A2234" s="9">
        <v>2226</v>
      </c>
      <c r="B2234" s="10">
        <f t="shared" ca="1" si="34"/>
        <v>9.0691698108726432E-2</v>
      </c>
      <c r="C2234" s="10">
        <f ca="1">NPV(B2234,Project_FCF!C18:J18)+Project_FCF!B18</f>
        <v>852.06929847273909</v>
      </c>
      <c r="D2234" s="4"/>
      <c r="E2234" s="4"/>
    </row>
    <row r="2235" spans="1:5" x14ac:dyDescent="0.3">
      <c r="A2235" s="9">
        <v>2227</v>
      </c>
      <c r="B2235" s="10">
        <f t="shared" ca="1" si="34"/>
        <v>8.3848041422582439E-2</v>
      </c>
      <c r="C2235" s="10">
        <f ca="1">NPV(B2235,Project_FCF!C18:J18)+Project_FCF!B18</f>
        <v>906.45140152935778</v>
      </c>
      <c r="D2235" s="4"/>
      <c r="E2235" s="4"/>
    </row>
    <row r="2236" spans="1:5" x14ac:dyDescent="0.3">
      <c r="A2236" s="9">
        <v>2228</v>
      </c>
      <c r="B2236" s="10">
        <f t="shared" ca="1" si="34"/>
        <v>0.101957012534934</v>
      </c>
      <c r="C2236" s="10">
        <f ca="1">NPV(B2236,Project_FCF!C18:J18)+Project_FCF!B18</f>
        <v>768.66726331605582</v>
      </c>
      <c r="D2236" s="4"/>
      <c r="E2236" s="4"/>
    </row>
    <row r="2237" spans="1:5" x14ac:dyDescent="0.3">
      <c r="A2237" s="9">
        <v>2229</v>
      </c>
      <c r="B2237" s="10">
        <f t="shared" ca="1" si="34"/>
        <v>6.4043477930749909E-2</v>
      </c>
      <c r="C2237" s="10">
        <f ca="1">NPV(B2237,Project_FCF!C18:J18)+Project_FCF!B18</f>
        <v>1081.5637940811625</v>
      </c>
      <c r="D2237" s="4"/>
      <c r="E2237" s="4"/>
    </row>
    <row r="2238" spans="1:5" x14ac:dyDescent="0.3">
      <c r="A2238" s="9">
        <v>2230</v>
      </c>
      <c r="B2238" s="10">
        <f t="shared" ca="1" si="34"/>
        <v>7.2325579905878512E-2</v>
      </c>
      <c r="C2238" s="10">
        <f ca="1">NPV(B2238,Project_FCF!C18:J18)+Project_FCF!B18</f>
        <v>1004.9451797257427</v>
      </c>
      <c r="D2238" s="4"/>
      <c r="E2238" s="4"/>
    </row>
    <row r="2239" spans="1:5" x14ac:dyDescent="0.3">
      <c r="A2239" s="9">
        <v>2231</v>
      </c>
      <c r="B2239" s="10">
        <f t="shared" ca="1" si="34"/>
        <v>7.1036855276785035E-2</v>
      </c>
      <c r="C2239" s="10">
        <f ca="1">NPV(B2239,Project_FCF!C18:J18)+Project_FCF!B18</f>
        <v>1016.5348421331498</v>
      </c>
      <c r="D2239" s="4"/>
      <c r="E2239" s="4"/>
    </row>
    <row r="2240" spans="1:5" x14ac:dyDescent="0.3">
      <c r="A2240" s="9">
        <v>2232</v>
      </c>
      <c r="B2240" s="10">
        <f t="shared" ca="1" si="34"/>
        <v>7.0492399816089277E-2</v>
      </c>
      <c r="C2240" s="10">
        <f ca="1">NPV(B2240,Project_FCF!C18:J18)+Project_FCF!B18</f>
        <v>1021.4672972027956</v>
      </c>
      <c r="D2240" s="4"/>
      <c r="E2240" s="4"/>
    </row>
    <row r="2241" spans="1:5" x14ac:dyDescent="0.3">
      <c r="A2241" s="9">
        <v>2233</v>
      </c>
      <c r="B2241" s="10">
        <f t="shared" ca="1" si="34"/>
        <v>0.10041640466929543</v>
      </c>
      <c r="C2241" s="10">
        <f ca="1">NPV(B2241,Project_FCF!C18:J18)+Project_FCF!B18</f>
        <v>779.64557139838348</v>
      </c>
      <c r="D2241" s="4"/>
      <c r="E2241" s="4"/>
    </row>
    <row r="2242" spans="1:5" x14ac:dyDescent="0.3">
      <c r="A2242" s="9">
        <v>2234</v>
      </c>
      <c r="B2242" s="10">
        <f t="shared" ca="1" si="34"/>
        <v>8.9072519213508811E-2</v>
      </c>
      <c r="C2242" s="10">
        <f ca="1">NPV(B2242,Project_FCF!C18:J18)+Project_FCF!B18</f>
        <v>864.67245684940303</v>
      </c>
      <c r="D2242" s="4"/>
      <c r="E2242" s="4"/>
    </row>
    <row r="2243" spans="1:5" x14ac:dyDescent="0.3">
      <c r="A2243" s="9">
        <v>2235</v>
      </c>
      <c r="B2243" s="10">
        <f t="shared" ca="1" si="34"/>
        <v>9.5257127273323777E-2</v>
      </c>
      <c r="C2243" s="10">
        <f ca="1">NPV(B2243,Project_FCF!C18:J18)+Project_FCF!B18</f>
        <v>817.38326850455246</v>
      </c>
      <c r="D2243" s="4"/>
      <c r="E2243" s="4"/>
    </row>
    <row r="2244" spans="1:5" x14ac:dyDescent="0.3">
      <c r="A2244" s="9">
        <v>2236</v>
      </c>
      <c r="B2244" s="10">
        <f t="shared" ca="1" si="34"/>
        <v>9.7450203950450259E-2</v>
      </c>
      <c r="C2244" s="10">
        <f ca="1">NPV(B2244,Project_FCF!C18:J18)+Project_FCF!B18</f>
        <v>801.15640216314364</v>
      </c>
      <c r="D2244" s="4"/>
      <c r="E2244" s="4"/>
    </row>
    <row r="2245" spans="1:5" x14ac:dyDescent="0.3">
      <c r="A2245" s="9">
        <v>2237</v>
      </c>
      <c r="B2245" s="10">
        <f t="shared" ca="1" si="34"/>
        <v>6.6744853153171496E-2</v>
      </c>
      <c r="C2245" s="10">
        <f ca="1">NPV(B2245,Project_FCF!C18:J18)+Project_FCF!B18</f>
        <v>1056.0096426158993</v>
      </c>
      <c r="D2245" s="4"/>
      <c r="E2245" s="4"/>
    </row>
    <row r="2246" spans="1:5" x14ac:dyDescent="0.3">
      <c r="A2246" s="9">
        <v>2238</v>
      </c>
      <c r="B2246" s="10">
        <f t="shared" ca="1" si="34"/>
        <v>9.3103231586102772E-2</v>
      </c>
      <c r="C2246" s="10">
        <f ca="1">NPV(B2246,Project_FCF!C18:J18)+Project_FCF!B18</f>
        <v>833.5931197898251</v>
      </c>
      <c r="D2246" s="4"/>
      <c r="E2246" s="4"/>
    </row>
    <row r="2247" spans="1:5" x14ac:dyDescent="0.3">
      <c r="A2247" s="9">
        <v>2239</v>
      </c>
      <c r="B2247" s="10">
        <f t="shared" ca="1" si="34"/>
        <v>9.4430108310720823E-2</v>
      </c>
      <c r="C2247" s="10">
        <f ca="1">NPV(B2247,Project_FCF!C18:J18)+Project_FCF!B18</f>
        <v>823.57500184500304</v>
      </c>
      <c r="D2247" s="4"/>
      <c r="E2247" s="4"/>
    </row>
    <row r="2248" spans="1:5" x14ac:dyDescent="0.3">
      <c r="A2248" s="9">
        <v>2240</v>
      </c>
      <c r="B2248" s="10">
        <f t="shared" ca="1" si="34"/>
        <v>8.2184975588446382E-2</v>
      </c>
      <c r="C2248" s="10">
        <f ca="1">NPV(B2248,Project_FCF!C18:J18)+Project_FCF!B18</f>
        <v>920.11641337335959</v>
      </c>
      <c r="D2248" s="4"/>
      <c r="E2248" s="4"/>
    </row>
    <row r="2249" spans="1:5" x14ac:dyDescent="0.3">
      <c r="A2249" s="9">
        <v>2241</v>
      </c>
      <c r="B2249" s="10">
        <f t="shared" ref="B2249:B2312" ca="1" si="35">$B$4+RAND()*($B$5-$B$4)</f>
        <v>8.4596094229436633E-2</v>
      </c>
      <c r="C2249" s="10">
        <f ca="1">NPV(B2249,Project_FCF!C18:J18)+Project_FCF!B18</f>
        <v>900.36321361168098</v>
      </c>
      <c r="D2249" s="4"/>
      <c r="E2249" s="4"/>
    </row>
    <row r="2250" spans="1:5" x14ac:dyDescent="0.3">
      <c r="A2250" s="9">
        <v>2242</v>
      </c>
      <c r="B2250" s="10">
        <f t="shared" ca="1" si="35"/>
        <v>8.44775999047883E-2</v>
      </c>
      <c r="C2250" s="10">
        <f ca="1">NPV(B2250,Project_FCF!C18:J18)+Project_FCF!B18</f>
        <v>901.32520691393756</v>
      </c>
      <c r="D2250" s="4"/>
      <c r="E2250" s="4"/>
    </row>
    <row r="2251" spans="1:5" x14ac:dyDescent="0.3">
      <c r="A2251" s="9">
        <v>2243</v>
      </c>
      <c r="B2251" s="10">
        <f t="shared" ca="1" si="35"/>
        <v>7.5646734153466622E-2</v>
      </c>
      <c r="C2251" s="10">
        <f ca="1">NPV(B2251,Project_FCF!C18:J18)+Project_FCF!B18</f>
        <v>975.62278722639485</v>
      </c>
      <c r="D2251" s="4"/>
      <c r="E2251" s="4"/>
    </row>
    <row r="2252" spans="1:5" x14ac:dyDescent="0.3">
      <c r="A2252" s="9">
        <v>2244</v>
      </c>
      <c r="B2252" s="10">
        <f t="shared" ca="1" si="35"/>
        <v>7.7969842675788673E-2</v>
      </c>
      <c r="C2252" s="10">
        <f ca="1">NPV(B2252,Project_FCF!C18:J18)+Project_FCF!B18</f>
        <v>955.56932859776066</v>
      </c>
      <c r="D2252" s="4"/>
      <c r="E2252" s="4"/>
    </row>
    <row r="2253" spans="1:5" x14ac:dyDescent="0.3">
      <c r="A2253" s="9">
        <v>2245</v>
      </c>
      <c r="B2253" s="10">
        <f t="shared" ca="1" si="35"/>
        <v>7.7838272247275839E-2</v>
      </c>
      <c r="C2253" s="10">
        <f ca="1">NPV(B2253,Project_FCF!C18:J18)+Project_FCF!B18</f>
        <v>956.69517873793939</v>
      </c>
      <c r="D2253" s="4"/>
      <c r="E2253" s="4"/>
    </row>
    <row r="2254" spans="1:5" x14ac:dyDescent="0.3">
      <c r="A2254" s="9">
        <v>2246</v>
      </c>
      <c r="B2254" s="10">
        <f t="shared" ca="1" si="35"/>
        <v>8.1788963772616824E-2</v>
      </c>
      <c r="C2254" s="10">
        <f ca="1">NPV(B2254,Project_FCF!C18:J18)+Project_FCF!B18</f>
        <v>923.3969646386538</v>
      </c>
      <c r="D2254" s="4"/>
      <c r="E2254" s="4"/>
    </row>
    <row r="2255" spans="1:5" x14ac:dyDescent="0.3">
      <c r="A2255" s="9">
        <v>2247</v>
      </c>
      <c r="B2255" s="10">
        <f t="shared" ca="1" si="35"/>
        <v>9.248971612311209E-2</v>
      </c>
      <c r="C2255" s="10">
        <f ca="1">NPV(B2255,Project_FCF!C18:J18)+Project_FCF!B18</f>
        <v>838.26055044524355</v>
      </c>
      <c r="D2255" s="4"/>
      <c r="E2255" s="4"/>
    </row>
    <row r="2256" spans="1:5" x14ac:dyDescent="0.3">
      <c r="A2256" s="9">
        <v>2248</v>
      </c>
      <c r="B2256" s="10">
        <f t="shared" ca="1" si="35"/>
        <v>8.0658749111427147E-2</v>
      </c>
      <c r="C2256" s="10">
        <f ca="1">NPV(B2256,Project_FCF!C18:J18)+Project_FCF!B18</f>
        <v>932.81648177386455</v>
      </c>
      <c r="D2256" s="4"/>
      <c r="E2256" s="4"/>
    </row>
    <row r="2257" spans="1:5" x14ac:dyDescent="0.3">
      <c r="A2257" s="9">
        <v>2249</v>
      </c>
      <c r="B2257" s="10">
        <f t="shared" ca="1" si="35"/>
        <v>8.5307418989132869E-2</v>
      </c>
      <c r="C2257" s="10">
        <f ca="1">NPV(B2257,Project_FCF!C18:J18)+Project_FCF!B18</f>
        <v>894.60723335812145</v>
      </c>
      <c r="D2257" s="4"/>
      <c r="E2257" s="4"/>
    </row>
    <row r="2258" spans="1:5" x14ac:dyDescent="0.3">
      <c r="A2258" s="9">
        <v>2250</v>
      </c>
      <c r="B2258" s="10">
        <f t="shared" ca="1" si="35"/>
        <v>6.5918046667474292E-2</v>
      </c>
      <c r="C2258" s="10">
        <f ca="1">NPV(B2258,Project_FCF!C18:J18)+Project_FCF!B18</f>
        <v>1063.7719066723639</v>
      </c>
      <c r="D2258" s="4"/>
      <c r="E2258" s="4"/>
    </row>
    <row r="2259" spans="1:5" x14ac:dyDescent="0.3">
      <c r="A2259" s="9">
        <v>2251</v>
      </c>
      <c r="B2259" s="10">
        <f t="shared" ca="1" si="35"/>
        <v>9.7979243593755372E-2</v>
      </c>
      <c r="C2259" s="10">
        <f ca="1">NPV(B2259,Project_FCF!C18:J18)+Project_FCF!B18</f>
        <v>797.28333783796847</v>
      </c>
      <c r="D2259" s="4"/>
      <c r="E2259" s="4"/>
    </row>
    <row r="2260" spans="1:5" x14ac:dyDescent="0.3">
      <c r="A2260" s="9">
        <v>2252</v>
      </c>
      <c r="B2260" s="10">
        <f t="shared" ca="1" si="35"/>
        <v>9.6085339859283941E-2</v>
      </c>
      <c r="C2260" s="10">
        <f ca="1">NPV(B2260,Project_FCF!C18:J18)+Project_FCF!B18</f>
        <v>811.22255760380108</v>
      </c>
      <c r="D2260" s="4"/>
      <c r="E2260" s="4"/>
    </row>
    <row r="2261" spans="1:5" x14ac:dyDescent="0.3">
      <c r="A2261" s="9">
        <v>2253</v>
      </c>
      <c r="B2261" s="10">
        <f t="shared" ca="1" si="35"/>
        <v>0.10259094465661955</v>
      </c>
      <c r="C2261" s="10">
        <f ca="1">NPV(B2261,Project_FCF!C18:J18)+Project_FCF!B18</f>
        <v>764.18785495840393</v>
      </c>
      <c r="D2261" s="4"/>
      <c r="E2261" s="4"/>
    </row>
    <row r="2262" spans="1:5" x14ac:dyDescent="0.3">
      <c r="A2262" s="9">
        <v>2254</v>
      </c>
      <c r="B2262" s="10">
        <f t="shared" ca="1" si="35"/>
        <v>8.4081349168741049E-2</v>
      </c>
      <c r="C2262" s="10">
        <f ca="1">NPV(B2262,Project_FCF!C18:J18)+Project_FCF!B18</f>
        <v>904.54871125592581</v>
      </c>
      <c r="D2262" s="4"/>
      <c r="E2262" s="4"/>
    </row>
    <row r="2263" spans="1:5" x14ac:dyDescent="0.3">
      <c r="A2263" s="9">
        <v>2255</v>
      </c>
      <c r="B2263" s="10">
        <f t="shared" ca="1" si="35"/>
        <v>7.4083490798153143E-2</v>
      </c>
      <c r="C2263" s="10">
        <f ca="1">NPV(B2263,Project_FCF!C18:J18)+Project_FCF!B18</f>
        <v>989.32767449272046</v>
      </c>
      <c r="D2263" s="4"/>
      <c r="E2263" s="4"/>
    </row>
    <row r="2264" spans="1:5" x14ac:dyDescent="0.3">
      <c r="A2264" s="9">
        <v>2256</v>
      </c>
      <c r="B2264" s="10">
        <f t="shared" ca="1" si="35"/>
        <v>0.10389092065083556</v>
      </c>
      <c r="C2264" s="10">
        <f ca="1">NPV(B2264,Project_FCF!C18:J18)+Project_FCF!B18</f>
        <v>755.07066895007551</v>
      </c>
      <c r="D2264" s="4"/>
      <c r="E2264" s="4"/>
    </row>
    <row r="2265" spans="1:5" x14ac:dyDescent="0.3">
      <c r="A2265" s="9">
        <v>2257</v>
      </c>
      <c r="B2265" s="10">
        <f t="shared" ca="1" si="35"/>
        <v>9.3175984251753163E-2</v>
      </c>
      <c r="C2265" s="10">
        <f ca="1">NPV(B2265,Project_FCF!C18:J18)+Project_FCF!B18</f>
        <v>833.04112650426691</v>
      </c>
      <c r="D2265" s="4"/>
      <c r="E2265" s="4"/>
    </row>
    <row r="2266" spans="1:5" x14ac:dyDescent="0.3">
      <c r="A2266" s="9">
        <v>2258</v>
      </c>
      <c r="B2266" s="10">
        <f t="shared" ca="1" si="35"/>
        <v>0.1004463393103336</v>
      </c>
      <c r="C2266" s="10">
        <f ca="1">NPV(B2266,Project_FCF!C18:J18)+Project_FCF!B18</f>
        <v>779.43100503793539</v>
      </c>
      <c r="D2266" s="4"/>
      <c r="E2266" s="4"/>
    </row>
    <row r="2267" spans="1:5" x14ac:dyDescent="0.3">
      <c r="A2267" s="9">
        <v>2259</v>
      </c>
      <c r="B2267" s="10">
        <f t="shared" ca="1" si="35"/>
        <v>8.6812431352086078E-2</v>
      </c>
      <c r="C2267" s="10">
        <f ca="1">NPV(B2267,Project_FCF!C18:J18)+Project_FCF!B18</f>
        <v>882.53481834407262</v>
      </c>
      <c r="D2267" s="4"/>
      <c r="E2267" s="4"/>
    </row>
    <row r="2268" spans="1:5" x14ac:dyDescent="0.3">
      <c r="A2268" s="9">
        <v>2260</v>
      </c>
      <c r="B2268" s="10">
        <f t="shared" ca="1" si="35"/>
        <v>9.4817071285572138E-2</v>
      </c>
      <c r="C2268" s="10">
        <f ca="1">NPV(B2268,Project_FCF!C18:J18)+Project_FCF!B18</f>
        <v>820.67290160338598</v>
      </c>
      <c r="D2268" s="4"/>
      <c r="E2268" s="4"/>
    </row>
    <row r="2269" spans="1:5" x14ac:dyDescent="0.3">
      <c r="A2269" s="9">
        <v>2261</v>
      </c>
      <c r="B2269" s="10">
        <f t="shared" ca="1" si="35"/>
        <v>9.3896410788384052E-2</v>
      </c>
      <c r="C2269" s="10">
        <f ca="1">NPV(B2269,Project_FCF!C18:J18)+Project_FCF!B18</f>
        <v>827.59199908762389</v>
      </c>
      <c r="D2269" s="4"/>
      <c r="E2269" s="4"/>
    </row>
    <row r="2270" spans="1:5" x14ac:dyDescent="0.3">
      <c r="A2270" s="9">
        <v>2262</v>
      </c>
      <c r="B2270" s="10">
        <f t="shared" ca="1" si="35"/>
        <v>8.4196715363703323E-2</v>
      </c>
      <c r="C2270" s="10">
        <f ca="1">NPV(B2270,Project_FCF!C18:J18)+Project_FCF!B18</f>
        <v>903.60916369616712</v>
      </c>
      <c r="D2270" s="4"/>
      <c r="E2270" s="4"/>
    </row>
    <row r="2271" spans="1:5" x14ac:dyDescent="0.3">
      <c r="A2271" s="9">
        <v>2263</v>
      </c>
      <c r="B2271" s="10">
        <f t="shared" ca="1" si="35"/>
        <v>0.1038243532609299</v>
      </c>
      <c r="C2271" s="10">
        <f ca="1">NPV(B2271,Project_FCF!C18:J18)+Project_FCF!B18</f>
        <v>755.53530334831453</v>
      </c>
      <c r="D2271" s="4"/>
      <c r="E2271" s="4"/>
    </row>
    <row r="2272" spans="1:5" x14ac:dyDescent="0.3">
      <c r="A2272" s="9">
        <v>2264</v>
      </c>
      <c r="B2272" s="10">
        <f t="shared" ca="1" si="35"/>
        <v>7.5610395893630944E-2</v>
      </c>
      <c r="C2272" s="10">
        <f ca="1">NPV(B2272,Project_FCF!C18:J18)+Project_FCF!B18</f>
        <v>975.93942505750942</v>
      </c>
      <c r="D2272" s="4"/>
      <c r="E2272" s="4"/>
    </row>
    <row r="2273" spans="1:5" x14ac:dyDescent="0.3">
      <c r="A2273" s="9">
        <v>2265</v>
      </c>
      <c r="B2273" s="10">
        <f t="shared" ca="1" si="35"/>
        <v>7.309956105381625E-2</v>
      </c>
      <c r="C2273" s="10">
        <f ca="1">NPV(B2273,Project_FCF!C18:J18)+Project_FCF!B18</f>
        <v>998.04195710988461</v>
      </c>
      <c r="D2273" s="4"/>
      <c r="E2273" s="4"/>
    </row>
    <row r="2274" spans="1:5" x14ac:dyDescent="0.3">
      <c r="A2274" s="9">
        <v>2266</v>
      </c>
      <c r="B2274" s="10">
        <f t="shared" ca="1" si="35"/>
        <v>7.1956809982328757E-2</v>
      </c>
      <c r="C2274" s="10">
        <f ca="1">NPV(B2274,Project_FCF!C18:J18)+Project_FCF!B18</f>
        <v>1008.2493583639102</v>
      </c>
      <c r="D2274" s="4"/>
      <c r="E2274" s="4"/>
    </row>
    <row r="2275" spans="1:5" x14ac:dyDescent="0.3">
      <c r="A2275" s="9">
        <v>2267</v>
      </c>
      <c r="B2275" s="10">
        <f t="shared" ca="1" si="35"/>
        <v>8.6160388006585376E-2</v>
      </c>
      <c r="C2275" s="10">
        <f ca="1">NPV(B2275,Project_FCF!C18:J18)+Project_FCF!B18</f>
        <v>887.74757132786635</v>
      </c>
      <c r="D2275" s="4"/>
      <c r="E2275" s="4"/>
    </row>
    <row r="2276" spans="1:5" x14ac:dyDescent="0.3">
      <c r="A2276" s="9">
        <v>2268</v>
      </c>
      <c r="B2276" s="10">
        <f t="shared" ca="1" si="35"/>
        <v>0.10390175610231474</v>
      </c>
      <c r="C2276" s="10">
        <f ca="1">NPV(B2276,Project_FCF!C18:J18)+Project_FCF!B18</f>
        <v>754.99506112329027</v>
      </c>
      <c r="D2276" s="4"/>
      <c r="E2276" s="4"/>
    </row>
    <row r="2277" spans="1:5" x14ac:dyDescent="0.3">
      <c r="A2277" s="9">
        <v>2269</v>
      </c>
      <c r="B2277" s="10">
        <f t="shared" ca="1" si="35"/>
        <v>7.6848516638701903E-2</v>
      </c>
      <c r="C2277" s="10">
        <f ca="1">NPV(B2277,Project_FCF!C18:J18)+Project_FCF!B18</f>
        <v>965.20245221226378</v>
      </c>
      <c r="D2277" s="4"/>
      <c r="E2277" s="4"/>
    </row>
    <row r="2278" spans="1:5" x14ac:dyDescent="0.3">
      <c r="A2278" s="9">
        <v>2270</v>
      </c>
      <c r="B2278" s="10">
        <f t="shared" ca="1" si="35"/>
        <v>9.0851313266331196E-2</v>
      </c>
      <c r="C2278" s="10">
        <f ca="1">NPV(B2278,Project_FCF!C18:J18)+Project_FCF!B18</f>
        <v>850.83556355010478</v>
      </c>
      <c r="D2278" s="4"/>
      <c r="E2278" s="4"/>
    </row>
    <row r="2279" spans="1:5" x14ac:dyDescent="0.3">
      <c r="A2279" s="9">
        <v>2271</v>
      </c>
      <c r="B2279" s="10">
        <f t="shared" ca="1" si="35"/>
        <v>6.7000297022861408E-2</v>
      </c>
      <c r="C2279" s="10">
        <f ca="1">NPV(B2279,Project_FCF!C18:J18)+Project_FCF!B18</f>
        <v>1053.6219124274849</v>
      </c>
      <c r="D2279" s="4"/>
      <c r="E2279" s="4"/>
    </row>
    <row r="2280" spans="1:5" x14ac:dyDescent="0.3">
      <c r="A2280" s="9">
        <v>2272</v>
      </c>
      <c r="B2280" s="10">
        <f t="shared" ca="1" si="35"/>
        <v>6.5043399773614854E-2</v>
      </c>
      <c r="C2280" s="10">
        <f ca="1">NPV(B2280,Project_FCF!C18:J18)+Project_FCF!B18</f>
        <v>1072.0398450254968</v>
      </c>
      <c r="D2280" s="4"/>
      <c r="E2280" s="4"/>
    </row>
    <row r="2281" spans="1:5" x14ac:dyDescent="0.3">
      <c r="A2281" s="9">
        <v>2273</v>
      </c>
      <c r="B2281" s="10">
        <f t="shared" ca="1" si="35"/>
        <v>7.3682765820988816E-2</v>
      </c>
      <c r="C2281" s="10">
        <f ca="1">NPV(B2281,Project_FCF!C18:J18)+Project_FCF!B18</f>
        <v>992.86846482237775</v>
      </c>
      <c r="D2281" s="4"/>
      <c r="E2281" s="4"/>
    </row>
    <row r="2282" spans="1:5" x14ac:dyDescent="0.3">
      <c r="A2282" s="9">
        <v>2274</v>
      </c>
      <c r="B2282" s="10">
        <f t="shared" ca="1" si="35"/>
        <v>7.0963496903192674E-2</v>
      </c>
      <c r="C2282" s="10">
        <f ca="1">NPV(B2282,Project_FCF!C18:J18)+Project_FCF!B18</f>
        <v>1017.1981719390242</v>
      </c>
      <c r="D2282" s="4"/>
      <c r="E2282" s="4"/>
    </row>
    <row r="2283" spans="1:5" x14ac:dyDescent="0.3">
      <c r="A2283" s="9">
        <v>2275</v>
      </c>
      <c r="B2283" s="10">
        <f t="shared" ca="1" si="35"/>
        <v>8.4392844926871824E-2</v>
      </c>
      <c r="C2283" s="10">
        <f ca="1">NPV(B2283,Project_FCF!C18:J18)+Project_FCF!B18</f>
        <v>902.01384101794952</v>
      </c>
      <c r="D2283" s="4"/>
      <c r="E2283" s="4"/>
    </row>
    <row r="2284" spans="1:5" x14ac:dyDescent="0.3">
      <c r="A2284" s="9">
        <v>2276</v>
      </c>
      <c r="B2284" s="10">
        <f t="shared" ca="1" si="35"/>
        <v>6.4260868665633727E-2</v>
      </c>
      <c r="C2284" s="10">
        <f ca="1">NPV(B2284,Project_FCF!C18:J18)+Project_FCF!B18</f>
        <v>1079.4866645582213</v>
      </c>
      <c r="D2284" s="4"/>
      <c r="E2284" s="4"/>
    </row>
    <row r="2285" spans="1:5" x14ac:dyDescent="0.3">
      <c r="A2285" s="9">
        <v>2277</v>
      </c>
      <c r="B2285" s="10">
        <f t="shared" ca="1" si="35"/>
        <v>8.9737859613843368E-2</v>
      </c>
      <c r="C2285" s="10">
        <f ca="1">NPV(B2285,Project_FCF!C18:J18)+Project_FCF!B18</f>
        <v>859.47425004758384</v>
      </c>
      <c r="D2285" s="4"/>
      <c r="E2285" s="4"/>
    </row>
    <row r="2286" spans="1:5" x14ac:dyDescent="0.3">
      <c r="A2286" s="9">
        <v>2278</v>
      </c>
      <c r="B2286" s="10">
        <f t="shared" ca="1" si="35"/>
        <v>7.9535203351481898E-2</v>
      </c>
      <c r="C2286" s="10">
        <f ca="1">NPV(B2286,Project_FCF!C18:J18)+Project_FCF!B18</f>
        <v>942.2645395831596</v>
      </c>
      <c r="D2286" s="4"/>
      <c r="E2286" s="4"/>
    </row>
    <row r="2287" spans="1:5" x14ac:dyDescent="0.3">
      <c r="A2287" s="9">
        <v>2279</v>
      </c>
      <c r="B2287" s="10">
        <f t="shared" ca="1" si="35"/>
        <v>8.1780600458331659E-2</v>
      </c>
      <c r="C2287" s="10">
        <f ca="1">NPV(B2287,Project_FCF!C18:J18)+Project_FCF!B18</f>
        <v>923.46635719135566</v>
      </c>
      <c r="D2287" s="4"/>
      <c r="E2287" s="4"/>
    </row>
    <row r="2288" spans="1:5" x14ac:dyDescent="0.3">
      <c r="A2288" s="9">
        <v>2280</v>
      </c>
      <c r="B2288" s="10">
        <f t="shared" ca="1" si="35"/>
        <v>0.10242543625642017</v>
      </c>
      <c r="C2288" s="10">
        <f ca="1">NPV(B2288,Project_FCF!C18:J18)+Project_FCF!B18</f>
        <v>765.35522619891867</v>
      </c>
      <c r="D2288" s="4"/>
      <c r="E2288" s="4"/>
    </row>
    <row r="2289" spans="1:5" x14ac:dyDescent="0.3">
      <c r="A2289" s="9">
        <v>2281</v>
      </c>
      <c r="B2289" s="10">
        <f t="shared" ca="1" si="35"/>
        <v>9.4221353158170235E-2</v>
      </c>
      <c r="C2289" s="10">
        <f ca="1">NPV(B2289,Project_FCF!C18:J18)+Project_FCF!B18</f>
        <v>825.14424932986208</v>
      </c>
      <c r="D2289" s="4"/>
      <c r="E2289" s="4"/>
    </row>
    <row r="2290" spans="1:5" x14ac:dyDescent="0.3">
      <c r="A2290" s="9">
        <v>2282</v>
      </c>
      <c r="B2290" s="10">
        <f t="shared" ca="1" si="35"/>
        <v>9.1550381329054561E-2</v>
      </c>
      <c r="C2290" s="10">
        <f ca="1">NPV(B2290,Project_FCF!C18:J18)+Project_FCF!B18</f>
        <v>845.45033132935964</v>
      </c>
      <c r="D2290" s="4"/>
      <c r="E2290" s="4"/>
    </row>
    <row r="2291" spans="1:5" x14ac:dyDescent="0.3">
      <c r="A2291" s="9">
        <v>2283</v>
      </c>
      <c r="B2291" s="10">
        <f t="shared" ca="1" si="35"/>
        <v>0.1034394304220856</v>
      </c>
      <c r="C2291" s="10">
        <f ca="1">NPV(B2291,Project_FCF!C18:J18)+Project_FCF!B18</f>
        <v>758.22673006408104</v>
      </c>
      <c r="D2291" s="4"/>
      <c r="E2291" s="4"/>
    </row>
    <row r="2292" spans="1:5" x14ac:dyDescent="0.3">
      <c r="A2292" s="9">
        <v>2284</v>
      </c>
      <c r="B2292" s="10">
        <f t="shared" ca="1" si="35"/>
        <v>6.5268263826504441E-2</v>
      </c>
      <c r="C2292" s="10">
        <f ca="1">NPV(B2292,Project_FCF!C18:J18)+Project_FCF!B18</f>
        <v>1069.9086545212372</v>
      </c>
      <c r="D2292" s="4"/>
      <c r="E2292" s="4"/>
    </row>
    <row r="2293" spans="1:5" x14ac:dyDescent="0.3">
      <c r="A2293" s="9">
        <v>2285</v>
      </c>
      <c r="B2293" s="10">
        <f t="shared" ca="1" si="35"/>
        <v>6.8946547002118039E-2</v>
      </c>
      <c r="C2293" s="10">
        <f ca="1">NPV(B2293,Project_FCF!C18:J18)+Project_FCF!B18</f>
        <v>1035.5899158219327</v>
      </c>
      <c r="D2293" s="4"/>
      <c r="E2293" s="4"/>
    </row>
    <row r="2294" spans="1:5" x14ac:dyDescent="0.3">
      <c r="A2294" s="9">
        <v>2286</v>
      </c>
      <c r="B2294" s="10">
        <f t="shared" ca="1" si="35"/>
        <v>7.225016866545822E-2</v>
      </c>
      <c r="C2294" s="10">
        <f ca="1">NPV(B2294,Project_FCF!C18:J18)+Project_FCF!B18</f>
        <v>1005.6200708183735</v>
      </c>
      <c r="D2294" s="4"/>
      <c r="E2294" s="4"/>
    </row>
    <row r="2295" spans="1:5" x14ac:dyDescent="0.3">
      <c r="A2295" s="9">
        <v>2287</v>
      </c>
      <c r="B2295" s="10">
        <f t="shared" ca="1" si="35"/>
        <v>9.0318259603768034E-2</v>
      </c>
      <c r="C2295" s="10">
        <f ca="1">NPV(B2295,Project_FCF!C18:J18)+Project_FCF!B18</f>
        <v>854.96181416163586</v>
      </c>
      <c r="D2295" s="4"/>
      <c r="E2295" s="4"/>
    </row>
    <row r="2296" spans="1:5" x14ac:dyDescent="0.3">
      <c r="A2296" s="9">
        <v>2288</v>
      </c>
      <c r="B2296" s="10">
        <f t="shared" ca="1" si="35"/>
        <v>8.6598360382931144E-2</v>
      </c>
      <c r="C2296" s="10">
        <f ca="1">NPV(B2296,Project_FCF!C18:J18)+Project_FCF!B18</f>
        <v>884.24325164041215</v>
      </c>
      <c r="D2296" s="4"/>
      <c r="E2296" s="4"/>
    </row>
    <row r="2297" spans="1:5" x14ac:dyDescent="0.3">
      <c r="A2297" s="9">
        <v>2289</v>
      </c>
      <c r="B2297" s="10">
        <f t="shared" ca="1" si="35"/>
        <v>7.4714978197183701E-2</v>
      </c>
      <c r="C2297" s="10">
        <f ca="1">NPV(B2297,Project_FCF!C18:J18)+Project_FCF!B18</f>
        <v>983.77084297619695</v>
      </c>
      <c r="D2297" s="4"/>
      <c r="E2297" s="4"/>
    </row>
    <row r="2298" spans="1:5" x14ac:dyDescent="0.3">
      <c r="A2298" s="9">
        <v>2290</v>
      </c>
      <c r="B2298" s="10">
        <f t="shared" ca="1" si="35"/>
        <v>9.0947671196000029E-2</v>
      </c>
      <c r="C2298" s="10">
        <f ca="1">NPV(B2298,Project_FCF!C18:J18)+Project_FCF!B18</f>
        <v>850.09151911219988</v>
      </c>
      <c r="D2298" s="4"/>
      <c r="E2298" s="4"/>
    </row>
    <row r="2299" spans="1:5" x14ac:dyDescent="0.3">
      <c r="A2299" s="9">
        <v>2291</v>
      </c>
      <c r="B2299" s="10">
        <f t="shared" ca="1" si="35"/>
        <v>8.5218789697236175E-2</v>
      </c>
      <c r="C2299" s="10">
        <f ca="1">NPV(B2299,Project_FCF!C18:J18)+Project_FCF!B18</f>
        <v>895.32265165309491</v>
      </c>
      <c r="D2299" s="4"/>
      <c r="E2299" s="4"/>
    </row>
    <row r="2300" spans="1:5" x14ac:dyDescent="0.3">
      <c r="A2300" s="9">
        <v>2292</v>
      </c>
      <c r="B2300" s="10">
        <f t="shared" ca="1" si="35"/>
        <v>9.91265954482691E-2</v>
      </c>
      <c r="C2300" s="10">
        <f ca="1">NPV(B2300,Project_FCF!C18:J18)+Project_FCF!B18</f>
        <v>788.93827569519999</v>
      </c>
      <c r="D2300" s="4"/>
      <c r="E2300" s="4"/>
    </row>
    <row r="2301" spans="1:5" x14ac:dyDescent="0.3">
      <c r="A2301" s="9">
        <v>2293</v>
      </c>
      <c r="B2301" s="10">
        <f t="shared" ca="1" si="35"/>
        <v>6.726162672067193E-2</v>
      </c>
      <c r="C2301" s="10">
        <f ca="1">NPV(B2301,Project_FCF!C18:J18)+Project_FCF!B18</f>
        <v>1051.1842443304436</v>
      </c>
      <c r="D2301" s="4"/>
      <c r="E2301" s="4"/>
    </row>
    <row r="2302" spans="1:5" x14ac:dyDescent="0.3">
      <c r="A2302" s="9">
        <v>2294</v>
      </c>
      <c r="B2302" s="10">
        <f t="shared" ca="1" si="35"/>
        <v>8.4481176196074564E-2</v>
      </c>
      <c r="C2302" s="10">
        <f ca="1">NPV(B2302,Project_FCF!C18:J18)+Project_FCF!B18</f>
        <v>901.29615969315228</v>
      </c>
      <c r="D2302" s="4"/>
      <c r="E2302" s="4"/>
    </row>
    <row r="2303" spans="1:5" x14ac:dyDescent="0.3">
      <c r="A2303" s="9">
        <v>2295</v>
      </c>
      <c r="B2303" s="10">
        <f t="shared" ca="1" si="35"/>
        <v>6.8934407863322125E-2</v>
      </c>
      <c r="C2303" s="10">
        <f ca="1">NPV(B2303,Project_FCF!C18:J18)+Project_FCF!B18</f>
        <v>1035.7015122205419</v>
      </c>
      <c r="D2303" s="4"/>
      <c r="E2303" s="4"/>
    </row>
    <row r="2304" spans="1:5" x14ac:dyDescent="0.3">
      <c r="A2304" s="9">
        <v>2296</v>
      </c>
      <c r="B2304" s="10">
        <f t="shared" ca="1" si="35"/>
        <v>8.0875881040410477E-2</v>
      </c>
      <c r="C2304" s="10">
        <f ca="1">NPV(B2304,Project_FCF!C18:J18)+Project_FCF!B18</f>
        <v>931.00028534246735</v>
      </c>
      <c r="D2304" s="4"/>
      <c r="E2304" s="4"/>
    </row>
    <row r="2305" spans="1:5" x14ac:dyDescent="0.3">
      <c r="A2305" s="9">
        <v>2297</v>
      </c>
      <c r="B2305" s="10">
        <f t="shared" ca="1" si="35"/>
        <v>8.6503293840423642E-2</v>
      </c>
      <c r="C2305" s="10">
        <f ca="1">NPV(B2305,Project_FCF!C18:J18)+Project_FCF!B18</f>
        <v>885.00287309482701</v>
      </c>
      <c r="D2305" s="4"/>
      <c r="E2305" s="4"/>
    </row>
    <row r="2306" spans="1:5" x14ac:dyDescent="0.3">
      <c r="A2306" s="9">
        <v>2298</v>
      </c>
      <c r="B2306" s="10">
        <f t="shared" ca="1" si="35"/>
        <v>8.460468306919447E-2</v>
      </c>
      <c r="C2306" s="10">
        <f ca="1">NPV(B2306,Project_FCF!C18:J18)+Project_FCF!B18</f>
        <v>900.29352033299506</v>
      </c>
      <c r="D2306" s="4"/>
      <c r="E2306" s="4"/>
    </row>
    <row r="2307" spans="1:5" x14ac:dyDescent="0.3">
      <c r="A2307" s="9">
        <v>2299</v>
      </c>
      <c r="B2307" s="10">
        <f t="shared" ca="1" si="35"/>
        <v>0.10142178097334377</v>
      </c>
      <c r="C2307" s="10">
        <f ca="1">NPV(B2307,Project_FCF!C18:J18)+Project_FCF!B18</f>
        <v>772.46643011544188</v>
      </c>
      <c r="D2307" s="4"/>
      <c r="E2307" s="4"/>
    </row>
    <row r="2308" spans="1:5" x14ac:dyDescent="0.3">
      <c r="A2308" s="9">
        <v>2300</v>
      </c>
      <c r="B2308" s="10">
        <f t="shared" ca="1" si="35"/>
        <v>7.7557746198288396E-2</v>
      </c>
      <c r="C2308" s="10">
        <f ca="1">NPV(B2308,Project_FCF!C18:J18)+Project_FCF!B18</f>
        <v>959.09958574510279</v>
      </c>
      <c r="D2308" s="4"/>
      <c r="E2308" s="4"/>
    </row>
    <row r="2309" spans="1:5" x14ac:dyDescent="0.3">
      <c r="A2309" s="9">
        <v>2301</v>
      </c>
      <c r="B2309" s="10">
        <f t="shared" ca="1" si="35"/>
        <v>7.4901760335182019E-2</v>
      </c>
      <c r="C2309" s="10">
        <f ca="1">NPV(B2309,Project_FCF!C18:J18)+Project_FCF!B18</f>
        <v>982.1326016283806</v>
      </c>
      <c r="D2309" s="4"/>
      <c r="E2309" s="4"/>
    </row>
    <row r="2310" spans="1:5" x14ac:dyDescent="0.3">
      <c r="A2310" s="9">
        <v>2302</v>
      </c>
      <c r="B2310" s="10">
        <f t="shared" ca="1" si="35"/>
        <v>9.9064518078461616E-2</v>
      </c>
      <c r="C2310" s="10">
        <f ca="1">NPV(B2310,Project_FCF!C18:J18)+Project_FCF!B18</f>
        <v>789.38788030571686</v>
      </c>
      <c r="D2310" s="4"/>
      <c r="E2310" s="4"/>
    </row>
    <row r="2311" spans="1:5" x14ac:dyDescent="0.3">
      <c r="A2311" s="9">
        <v>2303</v>
      </c>
      <c r="B2311" s="10">
        <f t="shared" ca="1" si="35"/>
        <v>6.998575392055062E-2</v>
      </c>
      <c r="C2311" s="10">
        <f ca="1">NPV(B2311,Project_FCF!C18:J18)+Project_FCF!B18</f>
        <v>1026.0766173090112</v>
      </c>
      <c r="D2311" s="4"/>
      <c r="E2311" s="4"/>
    </row>
    <row r="2312" spans="1:5" x14ac:dyDescent="0.3">
      <c r="A2312" s="9">
        <v>2304</v>
      </c>
      <c r="B2312" s="10">
        <f t="shared" ca="1" si="35"/>
        <v>8.2612320310073234E-2</v>
      </c>
      <c r="C2312" s="10">
        <f ca="1">NPV(B2312,Project_FCF!C18:J18)+Project_FCF!B18</f>
        <v>916.58782931808878</v>
      </c>
      <c r="D2312" s="4"/>
      <c r="E2312" s="4"/>
    </row>
    <row r="2313" spans="1:5" x14ac:dyDescent="0.3">
      <c r="A2313" s="9">
        <v>2305</v>
      </c>
      <c r="B2313" s="10">
        <f t="shared" ref="B2313:B2376" ca="1" si="36">$B$4+RAND()*($B$5-$B$4)</f>
        <v>0.10060175523856996</v>
      </c>
      <c r="C2313" s="10">
        <f ca="1">NPV(B2313,Project_FCF!C18:J18)+Project_FCF!B18</f>
        <v>778.31781196657494</v>
      </c>
      <c r="D2313" s="4"/>
      <c r="E2313" s="4"/>
    </row>
    <row r="2314" spans="1:5" x14ac:dyDescent="0.3">
      <c r="A2314" s="9">
        <v>2306</v>
      </c>
      <c r="B2314" s="10">
        <f t="shared" ca="1" si="36"/>
        <v>8.2160376656439021E-2</v>
      </c>
      <c r="C2314" s="10">
        <f ca="1">NPV(B2314,Project_FCF!C18:J18)+Project_FCF!B18</f>
        <v>920.31989051871278</v>
      </c>
      <c r="D2314" s="4"/>
      <c r="E2314" s="4"/>
    </row>
    <row r="2315" spans="1:5" x14ac:dyDescent="0.3">
      <c r="A2315" s="9">
        <v>2307</v>
      </c>
      <c r="B2315" s="10">
        <f t="shared" ca="1" si="36"/>
        <v>9.7470294329835755E-2</v>
      </c>
      <c r="C2315" s="10">
        <f ca="1">NPV(B2315,Project_FCF!C18:J18)+Project_FCF!B18</f>
        <v>801.00903000611788</v>
      </c>
      <c r="D2315" s="4"/>
      <c r="E2315" s="4"/>
    </row>
    <row r="2316" spans="1:5" x14ac:dyDescent="0.3">
      <c r="A2316" s="9">
        <v>2308</v>
      </c>
      <c r="B2316" s="10">
        <f t="shared" ca="1" si="36"/>
        <v>7.8774301049139461E-2</v>
      </c>
      <c r="C2316" s="10">
        <f ca="1">NPV(B2316,Project_FCF!C18:J18)+Project_FCF!B18</f>
        <v>948.71114471497003</v>
      </c>
      <c r="D2316" s="4"/>
      <c r="E2316" s="4"/>
    </row>
    <row r="2317" spans="1:5" x14ac:dyDescent="0.3">
      <c r="A2317" s="9">
        <v>2309</v>
      </c>
      <c r="B2317" s="10">
        <f t="shared" ca="1" si="36"/>
        <v>9.4233480123045332E-2</v>
      </c>
      <c r="C2317" s="10">
        <f ca="1">NPV(B2317,Project_FCF!C18:J18)+Project_FCF!B18</f>
        <v>825.05301879987269</v>
      </c>
      <c r="D2317" s="4"/>
      <c r="E2317" s="4"/>
    </row>
    <row r="2318" spans="1:5" x14ac:dyDescent="0.3">
      <c r="A2318" s="9">
        <v>2310</v>
      </c>
      <c r="B2318" s="10">
        <f t="shared" ca="1" si="36"/>
        <v>9.0290742255069542E-2</v>
      </c>
      <c r="C2318" s="10">
        <f ca="1">NPV(B2318,Project_FCF!C18:J18)+Project_FCF!B18</f>
        <v>855.17528903546645</v>
      </c>
      <c r="D2318" s="4"/>
      <c r="E2318" s="4"/>
    </row>
    <row r="2319" spans="1:5" x14ac:dyDescent="0.3">
      <c r="A2319" s="9">
        <v>2311</v>
      </c>
      <c r="B2319" s="10">
        <f t="shared" ca="1" si="36"/>
        <v>6.9479085771236099E-2</v>
      </c>
      <c r="C2319" s="10">
        <f ca="1">NPV(B2319,Project_FCF!C18:J18)+Project_FCF!B18</f>
        <v>1030.70493016308</v>
      </c>
      <c r="D2319" s="4"/>
      <c r="E2319" s="4"/>
    </row>
    <row r="2320" spans="1:5" x14ac:dyDescent="0.3">
      <c r="A2320" s="9">
        <v>2312</v>
      </c>
      <c r="B2320" s="10">
        <f t="shared" ca="1" si="36"/>
        <v>9.1302933153485949E-2</v>
      </c>
      <c r="C2320" s="10">
        <f ca="1">NPV(B2320,Project_FCF!C18:J18)+Project_FCF!B18</f>
        <v>847.35315841660895</v>
      </c>
      <c r="D2320" s="4"/>
      <c r="E2320" s="4"/>
    </row>
    <row r="2321" spans="1:5" x14ac:dyDescent="0.3">
      <c r="A2321" s="9">
        <v>2313</v>
      </c>
      <c r="B2321" s="10">
        <f t="shared" ca="1" si="36"/>
        <v>8.4348473514048783E-2</v>
      </c>
      <c r="C2321" s="10">
        <f ca="1">NPV(B2321,Project_FCF!C18:J18)+Project_FCF!B18</f>
        <v>902.37454272110836</v>
      </c>
      <c r="D2321" s="4"/>
      <c r="E2321" s="4"/>
    </row>
    <row r="2322" spans="1:5" x14ac:dyDescent="0.3">
      <c r="A2322" s="9">
        <v>2314</v>
      </c>
      <c r="B2322" s="10">
        <f t="shared" ca="1" si="36"/>
        <v>8.2013118544620262E-2</v>
      </c>
      <c r="C2322" s="10">
        <f ca="1">NPV(B2322,Project_FCF!C18:J18)+Project_FCF!B18</f>
        <v>921.53880809989823</v>
      </c>
      <c r="D2322" s="4"/>
      <c r="E2322" s="4"/>
    </row>
    <row r="2323" spans="1:5" x14ac:dyDescent="0.3">
      <c r="A2323" s="9">
        <v>2315</v>
      </c>
      <c r="B2323" s="10">
        <f t="shared" ca="1" si="36"/>
        <v>8.3721504362393839E-2</v>
      </c>
      <c r="C2323" s="10">
        <f ca="1">NPV(B2323,Project_FCF!C18:J18)+Project_FCF!B18</f>
        <v>907.48481618732012</v>
      </c>
      <c r="D2323" s="4"/>
      <c r="E2323" s="4"/>
    </row>
    <row r="2324" spans="1:5" x14ac:dyDescent="0.3">
      <c r="A2324" s="9">
        <v>2316</v>
      </c>
      <c r="B2324" s="10">
        <f t="shared" ca="1" si="36"/>
        <v>9.7668022699527512E-2</v>
      </c>
      <c r="C2324" s="10">
        <f ca="1">NPV(B2324,Project_FCF!C18:J18)+Project_FCF!B18</f>
        <v>799.55983192372992</v>
      </c>
      <c r="D2324" s="4"/>
      <c r="E2324" s="4"/>
    </row>
    <row r="2325" spans="1:5" x14ac:dyDescent="0.3">
      <c r="A2325" s="9">
        <v>2317</v>
      </c>
      <c r="B2325" s="10">
        <f t="shared" ca="1" si="36"/>
        <v>7.2701846534171263E-2</v>
      </c>
      <c r="C2325" s="10">
        <f ca="1">NPV(B2325,Project_FCF!C18:J18)+Project_FCF!B18</f>
        <v>1001.5838737790691</v>
      </c>
      <c r="D2325" s="4"/>
      <c r="E2325" s="4"/>
    </row>
    <row r="2326" spans="1:5" x14ac:dyDescent="0.3">
      <c r="A2326" s="9">
        <v>2318</v>
      </c>
      <c r="B2326" s="10">
        <f t="shared" ca="1" si="36"/>
        <v>0.10134756416730398</v>
      </c>
      <c r="C2326" s="10">
        <f ca="1">NPV(B2326,Project_FCF!C18:J18)+Project_FCF!B18</f>
        <v>772.99448051091599</v>
      </c>
      <c r="D2326" s="4"/>
      <c r="E2326" s="4"/>
    </row>
    <row r="2327" spans="1:5" x14ac:dyDescent="0.3">
      <c r="A2327" s="9">
        <v>2319</v>
      </c>
      <c r="B2327" s="10">
        <f t="shared" ca="1" si="36"/>
        <v>9.2481811870827949E-2</v>
      </c>
      <c r="C2327" s="10">
        <f ca="1">NPV(B2327,Project_FCF!C18:J18)+Project_FCF!B18</f>
        <v>838.32082996524082</v>
      </c>
      <c r="D2327" s="4"/>
      <c r="E2327" s="4"/>
    </row>
    <row r="2328" spans="1:5" x14ac:dyDescent="0.3">
      <c r="A2328" s="9">
        <v>2320</v>
      </c>
      <c r="B2328" s="10">
        <f t="shared" ca="1" si="36"/>
        <v>6.7478047172852468E-2</v>
      </c>
      <c r="C2328" s="10">
        <f ca="1">NPV(B2328,Project_FCF!C18:J18)+Project_FCF!B18</f>
        <v>1049.1693670263523</v>
      </c>
      <c r="D2328" s="4"/>
      <c r="E2328" s="4"/>
    </row>
    <row r="2329" spans="1:5" x14ac:dyDescent="0.3">
      <c r="A2329" s="9">
        <v>2321</v>
      </c>
      <c r="B2329" s="10">
        <f t="shared" ca="1" si="36"/>
        <v>9.245054827685599E-2</v>
      </c>
      <c r="C2329" s="10">
        <f ca="1">NPV(B2329,Project_FCF!C18:J18)+Project_FCF!B18</f>
        <v>838.55928941409752</v>
      </c>
      <c r="D2329" s="4"/>
      <c r="E2329" s="4"/>
    </row>
    <row r="2330" spans="1:5" x14ac:dyDescent="0.3">
      <c r="A2330" s="9">
        <v>2322</v>
      </c>
      <c r="B2330" s="10">
        <f t="shared" ca="1" si="36"/>
        <v>6.9287001199629689E-2</v>
      </c>
      <c r="C2330" s="10">
        <f ca="1">NPV(B2330,Project_FCF!C18:J18)+Project_FCF!B18</f>
        <v>1032.464514852189</v>
      </c>
      <c r="D2330" s="4"/>
      <c r="E2330" s="4"/>
    </row>
    <row r="2331" spans="1:5" x14ac:dyDescent="0.3">
      <c r="A2331" s="9">
        <v>2323</v>
      </c>
      <c r="B2331" s="10">
        <f t="shared" ca="1" si="36"/>
        <v>8.282414516873049E-2</v>
      </c>
      <c r="C2331" s="10">
        <f ca="1">NPV(B2331,Project_FCF!C18:J18)+Project_FCF!B18</f>
        <v>914.84321429144302</v>
      </c>
      <c r="D2331" s="4"/>
      <c r="E2331" s="4"/>
    </row>
    <row r="2332" spans="1:5" x14ac:dyDescent="0.3">
      <c r="A2332" s="9">
        <v>2324</v>
      </c>
      <c r="B2332" s="10">
        <f t="shared" ca="1" si="36"/>
        <v>6.8921196821239913E-2</v>
      </c>
      <c r="C2332" s="10">
        <f ca="1">NPV(B2332,Project_FCF!C18:J18)+Project_FCF!B18</f>
        <v>1035.8229751156468</v>
      </c>
      <c r="D2332" s="4"/>
      <c r="E2332" s="4"/>
    </row>
    <row r="2333" spans="1:5" x14ac:dyDescent="0.3">
      <c r="A2333" s="9">
        <v>2325</v>
      </c>
      <c r="B2333" s="10">
        <f t="shared" ca="1" si="36"/>
        <v>7.2442489974593294E-2</v>
      </c>
      <c r="C2333" s="10">
        <f ca="1">NPV(B2333,Project_FCF!C18:J18)+Project_FCF!B18</f>
        <v>1003.8997012987481</v>
      </c>
      <c r="D2333" s="4"/>
      <c r="E2333" s="4"/>
    </row>
    <row r="2334" spans="1:5" x14ac:dyDescent="0.3">
      <c r="A2334" s="9">
        <v>2326</v>
      </c>
      <c r="B2334" s="10">
        <f t="shared" ca="1" si="36"/>
        <v>6.8931010282710453E-2</v>
      </c>
      <c r="C2334" s="10">
        <f ca="1">NPV(B2334,Project_FCF!C18:J18)+Project_FCF!B18</f>
        <v>1035.732748492256</v>
      </c>
      <c r="D2334" s="4"/>
      <c r="E2334" s="4"/>
    </row>
    <row r="2335" spans="1:5" x14ac:dyDescent="0.3">
      <c r="A2335" s="9">
        <v>2327</v>
      </c>
      <c r="B2335" s="10">
        <f t="shared" ca="1" si="36"/>
        <v>8.4780377345318264E-2</v>
      </c>
      <c r="C2335" s="10">
        <f ca="1">NPV(B2335,Project_FCF!C18:J18)+Project_FCF!B18</f>
        <v>898.86890428732249</v>
      </c>
      <c r="D2335" s="4"/>
      <c r="E2335" s="4"/>
    </row>
    <row r="2336" spans="1:5" x14ac:dyDescent="0.3">
      <c r="A2336" s="9">
        <v>2328</v>
      </c>
      <c r="B2336" s="10">
        <f t="shared" ca="1" si="36"/>
        <v>9.7596557686736835E-2</v>
      </c>
      <c r="C2336" s="10">
        <f ca="1">NPV(B2336,Project_FCF!C18:J18)+Project_FCF!B18</f>
        <v>800.08335829109478</v>
      </c>
      <c r="D2336" s="4"/>
      <c r="E2336" s="4"/>
    </row>
    <row r="2337" spans="1:5" x14ac:dyDescent="0.3">
      <c r="A2337" s="9">
        <v>2329</v>
      </c>
      <c r="B2337" s="10">
        <f t="shared" ca="1" si="36"/>
        <v>7.1745710758060008E-2</v>
      </c>
      <c r="C2337" s="10">
        <f ca="1">NPV(B2337,Project_FCF!C18:J18)+Project_FCF!B18</f>
        <v>1010.1452056709554</v>
      </c>
      <c r="D2337" s="4"/>
      <c r="E2337" s="4"/>
    </row>
    <row r="2338" spans="1:5" x14ac:dyDescent="0.3">
      <c r="A2338" s="9">
        <v>2330</v>
      </c>
      <c r="B2338" s="10">
        <f t="shared" ca="1" si="36"/>
        <v>7.2632745669159879E-2</v>
      </c>
      <c r="C2338" s="10">
        <f ca="1">NPV(B2338,Project_FCF!C18:J18)+Project_FCF!B18</f>
        <v>1002.2004142756462</v>
      </c>
      <c r="D2338" s="4"/>
      <c r="E2338" s="4"/>
    </row>
    <row r="2339" spans="1:5" x14ac:dyDescent="0.3">
      <c r="A2339" s="9">
        <v>2331</v>
      </c>
      <c r="B2339" s="10">
        <f t="shared" ca="1" si="36"/>
        <v>8.7925032020848698E-2</v>
      </c>
      <c r="C2339" s="10">
        <f ca="1">NPV(B2339,Project_FCF!C18:J18)+Project_FCF!B18</f>
        <v>873.70177184993781</v>
      </c>
      <c r="D2339" s="4"/>
      <c r="E2339" s="4"/>
    </row>
    <row r="2340" spans="1:5" x14ac:dyDescent="0.3">
      <c r="A2340" s="9">
        <v>2332</v>
      </c>
      <c r="B2340" s="10">
        <f t="shared" ca="1" si="36"/>
        <v>9.8735712281282376E-2</v>
      </c>
      <c r="C2340" s="10">
        <f ca="1">NPV(B2340,Project_FCF!C18:J18)+Project_FCF!B18</f>
        <v>791.77292995254174</v>
      </c>
      <c r="D2340" s="4"/>
      <c r="E2340" s="4"/>
    </row>
    <row r="2341" spans="1:5" x14ac:dyDescent="0.3">
      <c r="A2341" s="9">
        <v>2333</v>
      </c>
      <c r="B2341" s="10">
        <f t="shared" ca="1" si="36"/>
        <v>9.178350627175938E-2</v>
      </c>
      <c r="C2341" s="10">
        <f ca="1">NPV(B2341,Project_FCF!C18:J18)+Project_FCF!B18</f>
        <v>843.66102242684337</v>
      </c>
      <c r="D2341" s="4"/>
      <c r="E2341" s="4"/>
    </row>
    <row r="2342" spans="1:5" x14ac:dyDescent="0.3">
      <c r="A2342" s="9">
        <v>2334</v>
      </c>
      <c r="B2342" s="10">
        <f t="shared" ca="1" si="36"/>
        <v>6.527393760131267E-2</v>
      </c>
      <c r="C2342" s="10">
        <f ca="1">NPV(B2342,Project_FCF!C18:J18)+Project_FCF!B18</f>
        <v>1069.8549302900456</v>
      </c>
      <c r="D2342" s="4"/>
      <c r="E2342" s="4"/>
    </row>
    <row r="2343" spans="1:5" x14ac:dyDescent="0.3">
      <c r="A2343" s="9">
        <v>2335</v>
      </c>
      <c r="B2343" s="10">
        <f t="shared" ca="1" si="36"/>
        <v>6.5172807227175694E-2</v>
      </c>
      <c r="C2343" s="10">
        <f ca="1">NPV(B2343,Project_FCF!C18:J18)+Project_FCF!B18</f>
        <v>1070.8128895498103</v>
      </c>
      <c r="D2343" s="4"/>
      <c r="E2343" s="4"/>
    </row>
    <row r="2344" spans="1:5" x14ac:dyDescent="0.3">
      <c r="A2344" s="9">
        <v>2336</v>
      </c>
      <c r="B2344" s="10">
        <f t="shared" ca="1" si="36"/>
        <v>8.1265049944177353E-2</v>
      </c>
      <c r="C2344" s="10">
        <f ca="1">NPV(B2344,Project_FCF!C18:J18)+Project_FCF!B18</f>
        <v>927.75290767465935</v>
      </c>
      <c r="D2344" s="4"/>
      <c r="E2344" s="4"/>
    </row>
    <row r="2345" spans="1:5" x14ac:dyDescent="0.3">
      <c r="A2345" s="9">
        <v>2337</v>
      </c>
      <c r="B2345" s="10">
        <f t="shared" ca="1" si="36"/>
        <v>6.968563105867559E-2</v>
      </c>
      <c r="C2345" s="10">
        <f ca="1">NPV(B2345,Project_FCF!C18:J18)+Project_FCF!B18</f>
        <v>1028.8159057234793</v>
      </c>
      <c r="D2345" s="4"/>
      <c r="E2345" s="4"/>
    </row>
    <row r="2346" spans="1:5" x14ac:dyDescent="0.3">
      <c r="A2346" s="9">
        <v>2338</v>
      </c>
      <c r="B2346" s="10">
        <f t="shared" ca="1" si="36"/>
        <v>0.10318624237554733</v>
      </c>
      <c r="C2346" s="10">
        <f ca="1">NPV(B2346,Project_FCF!C18:J18)+Project_FCF!B18</f>
        <v>760.00142959458253</v>
      </c>
      <c r="D2346" s="4"/>
      <c r="E2346" s="4"/>
    </row>
    <row r="2347" spans="1:5" x14ac:dyDescent="0.3">
      <c r="A2347" s="9">
        <v>2339</v>
      </c>
      <c r="B2347" s="10">
        <f t="shared" ca="1" si="36"/>
        <v>6.403666587000903E-2</v>
      </c>
      <c r="C2347" s="10">
        <f ca="1">NPV(B2347,Project_FCF!C18:J18)+Project_FCF!B18</f>
        <v>1081.6289410824588</v>
      </c>
      <c r="D2347" s="4"/>
      <c r="E2347" s="4"/>
    </row>
    <row r="2348" spans="1:5" x14ac:dyDescent="0.3">
      <c r="A2348" s="9">
        <v>2340</v>
      </c>
      <c r="B2348" s="10">
        <f t="shared" ca="1" si="36"/>
        <v>9.3564389638070816E-2</v>
      </c>
      <c r="C2348" s="10">
        <f ca="1">NPV(B2348,Project_FCF!C18:J18)+Project_FCF!B18</f>
        <v>830.09950798696991</v>
      </c>
      <c r="D2348" s="4"/>
      <c r="E2348" s="4"/>
    </row>
    <row r="2349" spans="1:5" x14ac:dyDescent="0.3">
      <c r="A2349" s="9">
        <v>2341</v>
      </c>
      <c r="B2349" s="10">
        <f t="shared" ca="1" si="36"/>
        <v>8.8232538773869995E-2</v>
      </c>
      <c r="C2349" s="10">
        <f ca="1">NPV(B2349,Project_FCF!C18:J18)+Project_FCF!B18</f>
        <v>871.2740679424478</v>
      </c>
      <c r="D2349" s="4"/>
      <c r="E2349" s="4"/>
    </row>
    <row r="2350" spans="1:5" x14ac:dyDescent="0.3">
      <c r="A2350" s="9">
        <v>2342</v>
      </c>
      <c r="B2350" s="10">
        <f t="shared" ca="1" si="36"/>
        <v>8.8991188601138319E-2</v>
      </c>
      <c r="C2350" s="10">
        <f ca="1">NPV(B2350,Project_FCF!C18:J18)+Project_FCF!B18</f>
        <v>865.30974822173175</v>
      </c>
      <c r="D2350" s="4"/>
      <c r="E2350" s="4"/>
    </row>
    <row r="2351" spans="1:5" x14ac:dyDescent="0.3">
      <c r="A2351" s="9">
        <v>2343</v>
      </c>
      <c r="B2351" s="10">
        <f t="shared" ca="1" si="36"/>
        <v>8.0420743334307654E-2</v>
      </c>
      <c r="C2351" s="10">
        <f ca="1">NPV(B2351,Project_FCF!C18:J18)+Project_FCF!B18</f>
        <v>934.81087605504604</v>
      </c>
      <c r="D2351" s="4"/>
      <c r="E2351" s="4"/>
    </row>
    <row r="2352" spans="1:5" x14ac:dyDescent="0.3">
      <c r="A2352" s="9">
        <v>2344</v>
      </c>
      <c r="B2352" s="10">
        <f t="shared" ca="1" si="36"/>
        <v>6.894123881944117E-2</v>
      </c>
      <c r="C2352" s="10">
        <f ca="1">NPV(B2352,Project_FCF!C18:J18)+Project_FCF!B18</f>
        <v>1035.638713172061</v>
      </c>
      <c r="D2352" s="4"/>
      <c r="E2352" s="4"/>
    </row>
    <row r="2353" spans="1:5" x14ac:dyDescent="0.3">
      <c r="A2353" s="9">
        <v>2345</v>
      </c>
      <c r="B2353" s="10">
        <f t="shared" ca="1" si="36"/>
        <v>8.0086411409745525E-2</v>
      </c>
      <c r="C2353" s="10">
        <f ca="1">NPV(B2353,Project_FCF!C18:J18)+Project_FCF!B18</f>
        <v>937.61881771491358</v>
      </c>
      <c r="D2353" s="4"/>
      <c r="E2353" s="4"/>
    </row>
    <row r="2354" spans="1:5" x14ac:dyDescent="0.3">
      <c r="A2354" s="9">
        <v>2346</v>
      </c>
      <c r="B2354" s="10">
        <f t="shared" ca="1" si="36"/>
        <v>7.4489607964753263E-2</v>
      </c>
      <c r="C2354" s="10">
        <f ca="1">NPV(B2354,Project_FCF!C18:J18)+Project_FCF!B18</f>
        <v>985.75079209956357</v>
      </c>
      <c r="D2354" s="4"/>
      <c r="E2354" s="4"/>
    </row>
    <row r="2355" spans="1:5" x14ac:dyDescent="0.3">
      <c r="A2355" s="9">
        <v>2347</v>
      </c>
      <c r="B2355" s="10">
        <f t="shared" ca="1" si="36"/>
        <v>8.5555998570845851E-2</v>
      </c>
      <c r="C2355" s="10">
        <f ca="1">NPV(B2355,Project_FCF!C18:J18)+Project_FCF!B18</f>
        <v>892.6033608004002</v>
      </c>
      <c r="D2355" s="4"/>
      <c r="E2355" s="4"/>
    </row>
    <row r="2356" spans="1:5" x14ac:dyDescent="0.3">
      <c r="A2356" s="9">
        <v>2348</v>
      </c>
      <c r="B2356" s="10">
        <f t="shared" ca="1" si="36"/>
        <v>0.10181231200052204</v>
      </c>
      <c r="C2356" s="10">
        <f ca="1">NPV(B2356,Project_FCF!C18:J18)+Project_FCF!B18</f>
        <v>769.69281759954856</v>
      </c>
      <c r="D2356" s="4"/>
      <c r="E2356" s="4"/>
    </row>
    <row r="2357" spans="1:5" x14ac:dyDescent="0.3">
      <c r="A2357" s="9">
        <v>2349</v>
      </c>
      <c r="B2357" s="10">
        <f t="shared" ca="1" si="36"/>
        <v>6.9367860401248496E-2</v>
      </c>
      <c r="C2357" s="10">
        <f ca="1">NPV(B2357,Project_FCF!C18:J18)+Project_FCF!B18</f>
        <v>1031.7234756900455</v>
      </c>
      <c r="D2357" s="4"/>
      <c r="E2357" s="4"/>
    </row>
    <row r="2358" spans="1:5" x14ac:dyDescent="0.3">
      <c r="A2358" s="9">
        <v>2350</v>
      </c>
      <c r="B2358" s="10">
        <f t="shared" ca="1" si="36"/>
        <v>8.1478203006912747E-2</v>
      </c>
      <c r="C2358" s="10">
        <f ca="1">NPV(B2358,Project_FCF!C18:J18)+Project_FCF!B18</f>
        <v>925.97851918708716</v>
      </c>
      <c r="D2358" s="4"/>
      <c r="E2358" s="4"/>
    </row>
    <row r="2359" spans="1:5" x14ac:dyDescent="0.3">
      <c r="A2359" s="9">
        <v>2351</v>
      </c>
      <c r="B2359" s="10">
        <f t="shared" ca="1" si="36"/>
        <v>9.6447656570084861E-2</v>
      </c>
      <c r="C2359" s="10">
        <f ca="1">NPV(B2359,Project_FCF!C18:J18)+Project_FCF!B18</f>
        <v>808.53994026491046</v>
      </c>
      <c r="D2359" s="4"/>
      <c r="E2359" s="4"/>
    </row>
    <row r="2360" spans="1:5" x14ac:dyDescent="0.3">
      <c r="A2360" s="9">
        <v>2352</v>
      </c>
      <c r="B2360" s="10">
        <f t="shared" ca="1" si="36"/>
        <v>7.0585604243378397E-2</v>
      </c>
      <c r="C2360" s="10">
        <f ca="1">NPV(B2360,Project_FCF!C18:J18)+Project_FCF!B18</f>
        <v>1020.6213891733335</v>
      </c>
      <c r="D2360" s="4"/>
      <c r="E2360" s="4"/>
    </row>
    <row r="2361" spans="1:5" x14ac:dyDescent="0.3">
      <c r="A2361" s="9">
        <v>2353</v>
      </c>
      <c r="B2361" s="10">
        <f t="shared" ca="1" si="36"/>
        <v>8.599259347313247E-2</v>
      </c>
      <c r="C2361" s="10">
        <f ca="1">NPV(B2361,Project_FCF!C18:J18)+Project_FCF!B18</f>
        <v>889.0933457431845</v>
      </c>
      <c r="D2361" s="4"/>
      <c r="E2361" s="4"/>
    </row>
    <row r="2362" spans="1:5" x14ac:dyDescent="0.3">
      <c r="A2362" s="9">
        <v>2354</v>
      </c>
      <c r="B2362" s="10">
        <f t="shared" ca="1" si="36"/>
        <v>0.10249566470481358</v>
      </c>
      <c r="C2362" s="10">
        <f ca="1">NPV(B2362,Project_FCF!C18:J18)+Project_FCF!B18</f>
        <v>764.85970486119413</v>
      </c>
      <c r="D2362" s="4"/>
      <c r="E2362" s="4"/>
    </row>
    <row r="2363" spans="1:5" x14ac:dyDescent="0.3">
      <c r="A2363" s="9">
        <v>2355</v>
      </c>
      <c r="B2363" s="10">
        <f t="shared" ca="1" si="36"/>
        <v>8.2653887981637836E-2</v>
      </c>
      <c r="C2363" s="10">
        <f ca="1">NPV(B2363,Project_FCF!C18:J18)+Project_FCF!B18</f>
        <v>916.24524214248709</v>
      </c>
      <c r="D2363" s="4"/>
      <c r="E2363" s="4"/>
    </row>
    <row r="2364" spans="1:5" x14ac:dyDescent="0.3">
      <c r="A2364" s="9">
        <v>2356</v>
      </c>
      <c r="B2364" s="10">
        <f t="shared" ca="1" si="36"/>
        <v>6.4255730630100885E-2</v>
      </c>
      <c r="C2364" s="10">
        <f ca="1">NPV(B2364,Project_FCF!C18:J18)+Project_FCF!B18</f>
        <v>1079.5357154795072</v>
      </c>
      <c r="D2364" s="4"/>
      <c r="E2364" s="4"/>
    </row>
    <row r="2365" spans="1:5" x14ac:dyDescent="0.3">
      <c r="A2365" s="9">
        <v>2357</v>
      </c>
      <c r="B2365" s="10">
        <f t="shared" ca="1" si="36"/>
        <v>7.2995690505114147E-2</v>
      </c>
      <c r="C2365" s="10">
        <f ca="1">NPV(B2365,Project_FCF!C18:J18)+Project_FCF!B18</f>
        <v>998.96590709287352</v>
      </c>
      <c r="D2365" s="4"/>
      <c r="E2365" s="4"/>
    </row>
    <row r="2366" spans="1:5" x14ac:dyDescent="0.3">
      <c r="A2366" s="9">
        <v>2358</v>
      </c>
      <c r="B2366" s="10">
        <f t="shared" ca="1" si="36"/>
        <v>7.2413142065931815E-2</v>
      </c>
      <c r="C2366" s="10">
        <f ca="1">NPV(B2366,Project_FCF!C18:J18)+Project_FCF!B18</f>
        <v>1004.1620555075906</v>
      </c>
      <c r="D2366" s="4"/>
      <c r="E2366" s="4"/>
    </row>
    <row r="2367" spans="1:5" x14ac:dyDescent="0.3">
      <c r="A2367" s="9">
        <v>2359</v>
      </c>
      <c r="B2367" s="10">
        <f t="shared" ca="1" si="36"/>
        <v>8.2651759705081013E-2</v>
      </c>
      <c r="C2367" s="10">
        <f ca="1">NPV(B2367,Project_FCF!C18:J18)+Project_FCF!B18</f>
        <v>916.26277996376007</v>
      </c>
      <c r="D2367" s="4"/>
      <c r="E2367" s="4"/>
    </row>
    <row r="2368" spans="1:5" x14ac:dyDescent="0.3">
      <c r="A2368" s="9">
        <v>2360</v>
      </c>
      <c r="B2368" s="10">
        <f t="shared" ca="1" si="36"/>
        <v>6.6740065441267551E-2</v>
      </c>
      <c r="C2368" s="10">
        <f ca="1">NPV(B2368,Project_FCF!C18:J18)+Project_FCF!B18</f>
        <v>1056.0544420979343</v>
      </c>
      <c r="D2368" s="4"/>
      <c r="E2368" s="4"/>
    </row>
    <row r="2369" spans="1:5" x14ac:dyDescent="0.3">
      <c r="A2369" s="9">
        <v>2361</v>
      </c>
      <c r="B2369" s="10">
        <f t="shared" ca="1" si="36"/>
        <v>0.10166299948000228</v>
      </c>
      <c r="C2369" s="10">
        <f ca="1">NPV(B2369,Project_FCF!C18:J18)+Project_FCF!B18</f>
        <v>770.75226636776961</v>
      </c>
      <c r="D2369" s="4"/>
      <c r="E2369" s="4"/>
    </row>
    <row r="2370" spans="1:5" x14ac:dyDescent="0.3">
      <c r="A2370" s="9">
        <v>2362</v>
      </c>
      <c r="B2370" s="10">
        <f t="shared" ca="1" si="36"/>
        <v>8.6636516873988378E-2</v>
      </c>
      <c r="C2370" s="10">
        <f ca="1">NPV(B2370,Project_FCF!C18:J18)+Project_FCF!B18</f>
        <v>883.93852542240802</v>
      </c>
      <c r="D2370" s="4"/>
      <c r="E2370" s="4"/>
    </row>
    <row r="2371" spans="1:5" x14ac:dyDescent="0.3">
      <c r="A2371" s="9">
        <v>2363</v>
      </c>
      <c r="B2371" s="10">
        <f t="shared" ca="1" si="36"/>
        <v>0.10176756850320806</v>
      </c>
      <c r="C2371" s="10">
        <f ca="1">NPV(B2371,Project_FCF!C18:J18)+Project_FCF!B18</f>
        <v>770.01016686551452</v>
      </c>
      <c r="D2371" s="4"/>
      <c r="E2371" s="4"/>
    </row>
    <row r="2372" spans="1:5" x14ac:dyDescent="0.3">
      <c r="A2372" s="9">
        <v>2364</v>
      </c>
      <c r="B2372" s="10">
        <f t="shared" ca="1" si="36"/>
        <v>7.2559250091294825E-2</v>
      </c>
      <c r="C2372" s="10">
        <f ca="1">NPV(B2372,Project_FCF!C18:J18)+Project_FCF!B18</f>
        <v>1002.8565402647353</v>
      </c>
      <c r="D2372" s="4"/>
      <c r="E2372" s="4"/>
    </row>
    <row r="2373" spans="1:5" x14ac:dyDescent="0.3">
      <c r="A2373" s="9">
        <v>2365</v>
      </c>
      <c r="B2373" s="10">
        <f t="shared" ca="1" si="36"/>
        <v>8.7931803521097085E-2</v>
      </c>
      <c r="C2373" s="10">
        <f ca="1">NPV(B2373,Project_FCF!C18:J18)+Project_FCF!B18</f>
        <v>873.64824890496016</v>
      </c>
      <c r="D2373" s="4"/>
      <c r="E2373" s="4"/>
    </row>
    <row r="2374" spans="1:5" x14ac:dyDescent="0.3">
      <c r="A2374" s="9">
        <v>2366</v>
      </c>
      <c r="B2374" s="10">
        <f t="shared" ca="1" si="36"/>
        <v>7.8150787299070587E-2</v>
      </c>
      <c r="C2374" s="10">
        <f ca="1">NPV(B2374,Project_FCF!C18:J18)+Project_FCF!B18</f>
        <v>954.02290721817735</v>
      </c>
      <c r="D2374" s="4"/>
      <c r="E2374" s="4"/>
    </row>
    <row r="2375" spans="1:5" x14ac:dyDescent="0.3">
      <c r="A2375" s="9">
        <v>2367</v>
      </c>
      <c r="B2375" s="10">
        <f t="shared" ca="1" si="36"/>
        <v>6.5763826737253409E-2</v>
      </c>
      <c r="C2375" s="10">
        <f ca="1">NPV(B2375,Project_FCF!C18:J18)+Project_FCF!B18</f>
        <v>1065.225496687797</v>
      </c>
      <c r="D2375" s="4"/>
      <c r="E2375" s="4"/>
    </row>
    <row r="2376" spans="1:5" x14ac:dyDescent="0.3">
      <c r="A2376" s="9">
        <v>2368</v>
      </c>
      <c r="B2376" s="10">
        <f t="shared" ca="1" si="36"/>
        <v>9.4356299984704184E-2</v>
      </c>
      <c r="C2376" s="10">
        <f ca="1">NPV(B2376,Project_FCF!C18:J18)+Project_FCF!B18</f>
        <v>824.12953869591706</v>
      </c>
      <c r="D2376" s="4"/>
      <c r="E2376" s="4"/>
    </row>
    <row r="2377" spans="1:5" x14ac:dyDescent="0.3">
      <c r="A2377" s="9">
        <v>2369</v>
      </c>
      <c r="B2377" s="10">
        <f t="shared" ref="B2377:B2440" ca="1" si="37">$B$4+RAND()*($B$5-$B$4)</f>
        <v>9.5904816466947929E-2</v>
      </c>
      <c r="C2377" s="10">
        <f ca="1">NPV(B2377,Project_FCF!C18:J18)+Project_FCF!B18</f>
        <v>812.56199887360617</v>
      </c>
      <c r="D2377" s="4"/>
      <c r="E2377" s="4"/>
    </row>
    <row r="2378" spans="1:5" x14ac:dyDescent="0.3">
      <c r="A2378" s="9">
        <v>2370</v>
      </c>
      <c r="B2378" s="10">
        <f t="shared" ca="1" si="37"/>
        <v>8.4585193455820606E-2</v>
      </c>
      <c r="C2378" s="10">
        <f ca="1">NPV(B2378,Project_FCF!C18:J18)+Project_FCF!B18</f>
        <v>900.45167365774068</v>
      </c>
      <c r="D2378" s="4"/>
      <c r="E2378" s="4"/>
    </row>
    <row r="2379" spans="1:5" x14ac:dyDescent="0.3">
      <c r="A2379" s="9">
        <v>2371</v>
      </c>
      <c r="B2379" s="10">
        <f t="shared" ca="1" si="37"/>
        <v>8.4678437370179702E-2</v>
      </c>
      <c r="C2379" s="10">
        <f ca="1">NPV(B2379,Project_FCF!C18:J18)+Project_FCF!B18</f>
        <v>899.69524312925228</v>
      </c>
      <c r="D2379" s="4"/>
      <c r="E2379" s="4"/>
    </row>
    <row r="2380" spans="1:5" x14ac:dyDescent="0.3">
      <c r="A2380" s="9">
        <v>2372</v>
      </c>
      <c r="B2380" s="10">
        <f t="shared" ca="1" si="37"/>
        <v>9.6557424104135953E-2</v>
      </c>
      <c r="C2380" s="10">
        <f ca="1">NPV(B2380,Project_FCF!C18:J18)+Project_FCF!B18</f>
        <v>807.7287097125793</v>
      </c>
      <c r="D2380" s="4"/>
      <c r="E2380" s="4"/>
    </row>
    <row r="2381" spans="1:5" x14ac:dyDescent="0.3">
      <c r="A2381" s="9">
        <v>2373</v>
      </c>
      <c r="B2381" s="10">
        <f t="shared" ca="1" si="37"/>
        <v>9.4705567337109983E-2</v>
      </c>
      <c r="C2381" s="10">
        <f ca="1">NPV(B2381,Project_FCF!C18:J18)+Project_FCF!B18</f>
        <v>821.50824591974788</v>
      </c>
      <c r="D2381" s="4"/>
      <c r="E2381" s="4"/>
    </row>
    <row r="2382" spans="1:5" x14ac:dyDescent="0.3">
      <c r="A2382" s="9">
        <v>2374</v>
      </c>
      <c r="B2382" s="10">
        <f t="shared" ca="1" si="37"/>
        <v>6.5382156835761429E-2</v>
      </c>
      <c r="C2382" s="10">
        <f ca="1">NPV(B2382,Project_FCF!C18:J18)+Project_FCF!B18</f>
        <v>1068.8306873245413</v>
      </c>
      <c r="D2382" s="4"/>
      <c r="E2382" s="4"/>
    </row>
    <row r="2383" spans="1:5" x14ac:dyDescent="0.3">
      <c r="A2383" s="9">
        <v>2375</v>
      </c>
      <c r="B2383" s="10">
        <f t="shared" ca="1" si="37"/>
        <v>9.3328040251043326E-2</v>
      </c>
      <c r="C2383" s="10">
        <f ca="1">NPV(B2383,Project_FCF!C18:J18)+Project_FCF!B18</f>
        <v>831.88845310456372</v>
      </c>
      <c r="D2383" s="4"/>
      <c r="E2383" s="4"/>
    </row>
    <row r="2384" spans="1:5" x14ac:dyDescent="0.3">
      <c r="A2384" s="9">
        <v>2376</v>
      </c>
      <c r="B2384" s="10">
        <f t="shared" ca="1" si="37"/>
        <v>9.5731375733165744E-2</v>
      </c>
      <c r="C2384" s="10">
        <f ca="1">NPV(B2384,Project_FCF!C18:J18)+Project_FCF!B18</f>
        <v>813.85066762566476</v>
      </c>
      <c r="D2384" s="4"/>
      <c r="E2384" s="4"/>
    </row>
    <row r="2385" spans="1:5" x14ac:dyDescent="0.3">
      <c r="A2385" s="9">
        <v>2377</v>
      </c>
      <c r="B2385" s="10">
        <f t="shared" ca="1" si="37"/>
        <v>6.807367814591804E-2</v>
      </c>
      <c r="C2385" s="10">
        <f ca="1">NPV(B2385,Project_FCF!C18:J18)+Project_FCF!B18</f>
        <v>1043.6421260480586</v>
      </c>
      <c r="D2385" s="4"/>
      <c r="E2385" s="4"/>
    </row>
    <row r="2386" spans="1:5" x14ac:dyDescent="0.3">
      <c r="A2386" s="9">
        <v>2378</v>
      </c>
      <c r="B2386" s="10">
        <f t="shared" ca="1" si="37"/>
        <v>9.417151618092065E-2</v>
      </c>
      <c r="C2386" s="10">
        <f ca="1">NPV(B2386,Project_FCF!C18:J18)+Project_FCF!B18</f>
        <v>825.51926119006725</v>
      </c>
      <c r="D2386" s="4"/>
      <c r="E2386" s="4"/>
    </row>
    <row r="2387" spans="1:5" x14ac:dyDescent="0.3">
      <c r="A2387" s="9">
        <v>2379</v>
      </c>
      <c r="B2387" s="10">
        <f t="shared" ca="1" si="37"/>
        <v>9.0093253398501383E-2</v>
      </c>
      <c r="C2387" s="10">
        <f ca="1">NPV(B2387,Project_FCF!C18:J18)+Project_FCF!B18</f>
        <v>856.7087282930429</v>
      </c>
      <c r="D2387" s="4"/>
      <c r="E2387" s="4"/>
    </row>
    <row r="2388" spans="1:5" x14ac:dyDescent="0.3">
      <c r="A2388" s="9">
        <v>2380</v>
      </c>
      <c r="B2388" s="10">
        <f t="shared" ca="1" si="37"/>
        <v>7.0865597325214719E-2</v>
      </c>
      <c r="C2388" s="10">
        <f ca="1">NPV(B2388,Project_FCF!C18:J18)+Project_FCF!B18</f>
        <v>1018.0840193560509</v>
      </c>
      <c r="D2388" s="4"/>
      <c r="E2388" s="4"/>
    </row>
    <row r="2389" spans="1:5" x14ac:dyDescent="0.3">
      <c r="A2389" s="9">
        <v>2381</v>
      </c>
      <c r="B2389" s="10">
        <f t="shared" ca="1" si="37"/>
        <v>9.5007126973361972E-2</v>
      </c>
      <c r="C2389" s="10">
        <f ca="1">NPV(B2389,Project_FCF!C18:J18)+Project_FCF!B18</f>
        <v>819.25075487301092</v>
      </c>
      <c r="D2389" s="4"/>
      <c r="E2389" s="4"/>
    </row>
    <row r="2390" spans="1:5" x14ac:dyDescent="0.3">
      <c r="A2390" s="9">
        <v>2382</v>
      </c>
      <c r="B2390" s="10">
        <f t="shared" ca="1" si="37"/>
        <v>7.3437862091637149E-2</v>
      </c>
      <c r="C2390" s="10">
        <f ca="1">NPV(B2390,Project_FCF!C18:J18)+Project_FCF!B18</f>
        <v>995.03801734639387</v>
      </c>
      <c r="D2390" s="4"/>
      <c r="E2390" s="4"/>
    </row>
    <row r="2391" spans="1:5" x14ac:dyDescent="0.3">
      <c r="A2391" s="9">
        <v>2383</v>
      </c>
      <c r="B2391" s="10">
        <f t="shared" ca="1" si="37"/>
        <v>8.7279855123822692E-2</v>
      </c>
      <c r="C2391" s="10">
        <f ca="1">NPV(B2391,Project_FCF!C18:J18)+Project_FCF!B18</f>
        <v>878.81446064724855</v>
      </c>
      <c r="D2391" s="4"/>
      <c r="E2391" s="4"/>
    </row>
    <row r="2392" spans="1:5" x14ac:dyDescent="0.3">
      <c r="A2392" s="9">
        <v>2384</v>
      </c>
      <c r="B2392" s="10">
        <f t="shared" ca="1" si="37"/>
        <v>7.2638714978127322E-2</v>
      </c>
      <c r="C2392" s="10">
        <f ca="1">NPV(B2392,Project_FCF!C18:J18)+Project_FCF!B18</f>
        <v>1002.1471406899332</v>
      </c>
      <c r="D2392" s="4"/>
      <c r="E2392" s="4"/>
    </row>
    <row r="2393" spans="1:5" x14ac:dyDescent="0.3">
      <c r="A2393" s="9">
        <v>2385</v>
      </c>
      <c r="B2393" s="10">
        <f t="shared" ca="1" si="37"/>
        <v>7.7532026406610985E-2</v>
      </c>
      <c r="C2393" s="10">
        <f ca="1">NPV(B2393,Project_FCF!C18:J18)+Project_FCF!B18</f>
        <v>959.32030064973469</v>
      </c>
      <c r="D2393" s="4"/>
      <c r="E2393" s="4"/>
    </row>
    <row r="2394" spans="1:5" x14ac:dyDescent="0.3">
      <c r="A2394" s="9">
        <v>2386</v>
      </c>
      <c r="B2394" s="10">
        <f t="shared" ca="1" si="37"/>
        <v>0.1012341469481467</v>
      </c>
      <c r="C2394" s="10">
        <f ca="1">NPV(B2394,Project_FCF!C18:J18)+Project_FCF!B18</f>
        <v>773.80202845241297</v>
      </c>
      <c r="D2394" s="4"/>
      <c r="E2394" s="4"/>
    </row>
    <row r="2395" spans="1:5" x14ac:dyDescent="0.3">
      <c r="A2395" s="9">
        <v>2387</v>
      </c>
      <c r="B2395" s="10">
        <f t="shared" ca="1" si="37"/>
        <v>0.10031475226441713</v>
      </c>
      <c r="C2395" s="10">
        <f ca="1">NPV(B2395,Project_FCF!C18:J18)+Project_FCF!B18</f>
        <v>780.3745708864094</v>
      </c>
      <c r="D2395" s="4"/>
      <c r="E2395" s="4"/>
    </row>
    <row r="2396" spans="1:5" x14ac:dyDescent="0.3">
      <c r="A2396" s="9">
        <v>2388</v>
      </c>
      <c r="B2396" s="10">
        <f t="shared" ca="1" si="37"/>
        <v>6.7145378836276207E-2</v>
      </c>
      <c r="C2396" s="10">
        <f ca="1">NPV(B2396,Project_FCF!C18:J18)+Project_FCF!B18</f>
        <v>1052.2679642465944</v>
      </c>
      <c r="D2396" s="4"/>
      <c r="E2396" s="4"/>
    </row>
    <row r="2397" spans="1:5" x14ac:dyDescent="0.3">
      <c r="A2397" s="9">
        <v>2389</v>
      </c>
      <c r="B2397" s="10">
        <f t="shared" ca="1" si="37"/>
        <v>9.234941325294016E-2</v>
      </c>
      <c r="C2397" s="10">
        <f ca="1">NPV(B2397,Project_FCF!C18:J18)+Project_FCF!B18</f>
        <v>839.331085378338</v>
      </c>
      <c r="D2397" s="4"/>
      <c r="E2397" s="4"/>
    </row>
    <row r="2398" spans="1:5" x14ac:dyDescent="0.3">
      <c r="A2398" s="9">
        <v>2390</v>
      </c>
      <c r="B2398" s="10">
        <f t="shared" ca="1" si="37"/>
        <v>7.6398964391913848E-2</v>
      </c>
      <c r="C2398" s="10">
        <f ca="1">NPV(B2398,Project_FCF!C18:J18)+Project_FCF!B18</f>
        <v>969.08871356603663</v>
      </c>
      <c r="D2398" s="4"/>
      <c r="E2398" s="4"/>
    </row>
    <row r="2399" spans="1:5" x14ac:dyDescent="0.3">
      <c r="A2399" s="9">
        <v>2391</v>
      </c>
      <c r="B2399" s="10">
        <f t="shared" ca="1" si="37"/>
        <v>8.1137154962059699E-2</v>
      </c>
      <c r="C2399" s="10">
        <f ca="1">NPV(B2399,Project_FCF!C18:J18)+Project_FCF!B18</f>
        <v>928.81900770931907</v>
      </c>
      <c r="D2399" s="4"/>
      <c r="E2399" s="4"/>
    </row>
    <row r="2400" spans="1:5" x14ac:dyDescent="0.3">
      <c r="A2400" s="9">
        <v>2392</v>
      </c>
      <c r="B2400" s="10">
        <f t="shared" ca="1" si="37"/>
        <v>7.4749775787324474E-2</v>
      </c>
      <c r="C2400" s="10">
        <f ca="1">NPV(B2400,Project_FCF!C18:J18)+Project_FCF!B18</f>
        <v>983.46545264870906</v>
      </c>
      <c r="D2400" s="4"/>
      <c r="E2400" s="4"/>
    </row>
    <row r="2401" spans="1:5" x14ac:dyDescent="0.3">
      <c r="A2401" s="9">
        <v>2393</v>
      </c>
      <c r="B2401" s="10">
        <f t="shared" ca="1" si="37"/>
        <v>6.6160967263538442E-2</v>
      </c>
      <c r="C2401" s="10">
        <f ca="1">NPV(B2401,Project_FCF!C18:J18)+Project_FCF!B18</f>
        <v>1061.4859378021597</v>
      </c>
      <c r="D2401" s="4"/>
      <c r="E2401" s="4"/>
    </row>
    <row r="2402" spans="1:5" x14ac:dyDescent="0.3">
      <c r="A2402" s="9">
        <v>2394</v>
      </c>
      <c r="B2402" s="10">
        <f t="shared" ca="1" si="37"/>
        <v>9.7580940880091727E-2</v>
      </c>
      <c r="C2402" s="10">
        <f ca="1">NPV(B2402,Project_FCF!C18:J18)+Project_FCF!B18</f>
        <v>800.19780008391308</v>
      </c>
      <c r="D2402" s="4"/>
      <c r="E2402" s="4"/>
    </row>
    <row r="2403" spans="1:5" x14ac:dyDescent="0.3">
      <c r="A2403" s="9">
        <v>2395</v>
      </c>
      <c r="B2403" s="10">
        <f t="shared" ca="1" si="37"/>
        <v>9.6692104084641683E-2</v>
      </c>
      <c r="C2403" s="10">
        <f ca="1">NPV(B2403,Project_FCF!C18:J18)+Project_FCF!B18</f>
        <v>806.73431370529579</v>
      </c>
      <c r="D2403" s="4"/>
      <c r="E2403" s="4"/>
    </row>
    <row r="2404" spans="1:5" x14ac:dyDescent="0.3">
      <c r="A2404" s="9">
        <v>2396</v>
      </c>
      <c r="B2404" s="10">
        <f t="shared" ca="1" si="37"/>
        <v>7.7137944638196246E-2</v>
      </c>
      <c r="C2404" s="10">
        <f ca="1">NPV(B2404,Project_FCF!C18:J18)+Project_FCF!B18</f>
        <v>962.70778095214746</v>
      </c>
      <c r="D2404" s="4"/>
      <c r="E2404" s="4"/>
    </row>
    <row r="2405" spans="1:5" x14ac:dyDescent="0.3">
      <c r="A2405" s="9">
        <v>2397</v>
      </c>
      <c r="B2405" s="10">
        <f t="shared" ca="1" si="37"/>
        <v>6.436250429279862E-2</v>
      </c>
      <c r="C2405" s="10">
        <f ca="1">NPV(B2405,Project_FCF!C18:J18)+Project_FCF!B18</f>
        <v>1078.5168052869765</v>
      </c>
      <c r="D2405" s="4"/>
      <c r="E2405" s="4"/>
    </row>
    <row r="2406" spans="1:5" x14ac:dyDescent="0.3">
      <c r="A2406" s="9">
        <v>2398</v>
      </c>
      <c r="B2406" s="10">
        <f t="shared" ca="1" si="37"/>
        <v>8.1007916192726459E-2</v>
      </c>
      <c r="C2406" s="10">
        <f ca="1">NPV(B2406,Project_FCF!C18:J18)+Project_FCF!B18</f>
        <v>929.89740844664379</v>
      </c>
      <c r="D2406" s="4"/>
      <c r="E2406" s="4"/>
    </row>
    <row r="2407" spans="1:5" x14ac:dyDescent="0.3">
      <c r="A2407" s="9">
        <v>2399</v>
      </c>
      <c r="B2407" s="10">
        <f t="shared" ca="1" si="37"/>
        <v>6.4395619144470742E-2</v>
      </c>
      <c r="C2407" s="10">
        <f ca="1">NPV(B2407,Project_FCF!C18:J18)+Project_FCF!B18</f>
        <v>1078.2009783598662</v>
      </c>
      <c r="D2407" s="4"/>
      <c r="E2407" s="4"/>
    </row>
    <row r="2408" spans="1:5" x14ac:dyDescent="0.3">
      <c r="A2408" s="9">
        <v>2400</v>
      </c>
      <c r="B2408" s="10">
        <f t="shared" ca="1" si="37"/>
        <v>0.1007464174213106</v>
      </c>
      <c r="C2408" s="10">
        <f ca="1">NPV(B2408,Project_FCF!C18:J18)+Project_FCF!B18</f>
        <v>777.28285120236501</v>
      </c>
      <c r="D2408" s="4"/>
      <c r="E2408" s="4"/>
    </row>
    <row r="2409" spans="1:5" x14ac:dyDescent="0.3">
      <c r="A2409" s="9">
        <v>2401</v>
      </c>
      <c r="B2409" s="10">
        <f t="shared" ca="1" si="37"/>
        <v>7.9676981109733994E-2</v>
      </c>
      <c r="C2409" s="10">
        <f ca="1">NPV(B2409,Project_FCF!C18:J18)+Project_FCF!B18</f>
        <v>941.06765652356353</v>
      </c>
      <c r="D2409" s="4"/>
      <c r="E2409" s="4"/>
    </row>
    <row r="2410" spans="1:5" x14ac:dyDescent="0.3">
      <c r="A2410" s="9">
        <v>2402</v>
      </c>
      <c r="B2410" s="10">
        <f t="shared" ca="1" si="37"/>
        <v>6.8068648120488032E-2</v>
      </c>
      <c r="C2410" s="10">
        <f ca="1">NPV(B2410,Project_FCF!C18:J18)+Project_FCF!B18</f>
        <v>1043.6886920305749</v>
      </c>
      <c r="D2410" s="4"/>
      <c r="E2410" s="4"/>
    </row>
    <row r="2411" spans="1:5" x14ac:dyDescent="0.3">
      <c r="A2411" s="9">
        <v>2403</v>
      </c>
      <c r="B2411" s="10">
        <f t="shared" ca="1" si="37"/>
        <v>9.3735907019770026E-2</v>
      </c>
      <c r="C2411" s="10">
        <f ca="1">NPV(B2411,Project_FCF!C18:J18)+Project_FCF!B18</f>
        <v>828.80335132950836</v>
      </c>
      <c r="D2411" s="4"/>
      <c r="E2411" s="4"/>
    </row>
    <row r="2412" spans="1:5" x14ac:dyDescent="0.3">
      <c r="A2412" s="9">
        <v>2404</v>
      </c>
      <c r="B2412" s="10">
        <f t="shared" ca="1" si="37"/>
        <v>7.2903436062510471E-2</v>
      </c>
      <c r="C2412" s="10">
        <f ca="1">NPV(B2412,Project_FCF!C18:J18)+Project_FCF!B18</f>
        <v>999.78717367787863</v>
      </c>
      <c r="D2412" s="4"/>
      <c r="E2412" s="4"/>
    </row>
    <row r="2413" spans="1:5" x14ac:dyDescent="0.3">
      <c r="A2413" s="9">
        <v>2405</v>
      </c>
      <c r="B2413" s="10">
        <f t="shared" ca="1" si="37"/>
        <v>8.7816884162908809E-2</v>
      </c>
      <c r="C2413" s="10">
        <f ca="1">NPV(B2413,Project_FCF!C18:J18)+Project_FCF!B18</f>
        <v>874.55697548456988</v>
      </c>
      <c r="D2413" s="4"/>
      <c r="E2413" s="4"/>
    </row>
    <row r="2414" spans="1:5" x14ac:dyDescent="0.3">
      <c r="A2414" s="9">
        <v>2406</v>
      </c>
      <c r="B2414" s="10">
        <f t="shared" ca="1" si="37"/>
        <v>9.1567267028366678E-2</v>
      </c>
      <c r="C2414" s="10">
        <f ca="1">NPV(B2414,Project_FCF!C18:J18)+Project_FCF!B18</f>
        <v>845.32061823460458</v>
      </c>
      <c r="D2414" s="4"/>
      <c r="E2414" s="4"/>
    </row>
    <row r="2415" spans="1:5" x14ac:dyDescent="0.3">
      <c r="A2415" s="9">
        <v>2407</v>
      </c>
      <c r="B2415" s="10">
        <f t="shared" ca="1" si="37"/>
        <v>7.5653534853544091E-2</v>
      </c>
      <c r="C2415" s="10">
        <f ca="1">NPV(B2415,Project_FCF!C18:J18)+Project_FCF!B18</f>
        <v>975.56353870123871</v>
      </c>
      <c r="D2415" s="4"/>
      <c r="E2415" s="4"/>
    </row>
    <row r="2416" spans="1:5" x14ac:dyDescent="0.3">
      <c r="A2416" s="9">
        <v>2408</v>
      </c>
      <c r="B2416" s="10">
        <f t="shared" ca="1" si="37"/>
        <v>8.2569072795902476E-2</v>
      </c>
      <c r="C2416" s="10">
        <f ca="1">NPV(B2416,Project_FCF!C18:J18)+Project_FCF!B18</f>
        <v>916.94438093685517</v>
      </c>
      <c r="D2416" s="4"/>
      <c r="E2416" s="4"/>
    </row>
    <row r="2417" spans="1:5" x14ac:dyDescent="0.3">
      <c r="A2417" s="9">
        <v>2409</v>
      </c>
      <c r="B2417" s="10">
        <f t="shared" ca="1" si="37"/>
        <v>8.7763374278886377E-2</v>
      </c>
      <c r="C2417" s="10">
        <f ca="1">NPV(B2417,Project_FCF!C18:J18)+Project_FCF!B18</f>
        <v>874.98038640090294</v>
      </c>
      <c r="D2417" s="4"/>
      <c r="E2417" s="4"/>
    </row>
    <row r="2418" spans="1:5" x14ac:dyDescent="0.3">
      <c r="A2418" s="9">
        <v>2410</v>
      </c>
      <c r="B2418" s="10">
        <f t="shared" ca="1" si="37"/>
        <v>7.1909410224179321E-2</v>
      </c>
      <c r="C2418" s="10">
        <f ca="1">NPV(B2418,Project_FCF!C18:J18)+Project_FCF!B18</f>
        <v>1008.6747686278386</v>
      </c>
      <c r="D2418" s="4"/>
      <c r="E2418" s="4"/>
    </row>
    <row r="2419" spans="1:5" x14ac:dyDescent="0.3">
      <c r="A2419" s="9">
        <v>2411</v>
      </c>
      <c r="B2419" s="10">
        <f t="shared" ca="1" si="37"/>
        <v>7.9421740763825813E-2</v>
      </c>
      <c r="C2419" s="10">
        <f ca="1">NPV(B2419,Project_FCF!C18:J18)+Project_FCF!B18</f>
        <v>943.2233587376079</v>
      </c>
      <c r="D2419" s="4"/>
      <c r="E2419" s="4"/>
    </row>
    <row r="2420" spans="1:5" x14ac:dyDescent="0.3">
      <c r="A2420" s="9">
        <v>2412</v>
      </c>
      <c r="B2420" s="10">
        <f t="shared" ca="1" si="37"/>
        <v>7.9537941480350816E-2</v>
      </c>
      <c r="C2420" s="10">
        <f ca="1">NPV(B2420,Project_FCF!C18:J18)+Project_FCF!B18</f>
        <v>942.24141162060982</v>
      </c>
      <c r="D2420" s="4"/>
      <c r="E2420" s="4"/>
    </row>
    <row r="2421" spans="1:5" x14ac:dyDescent="0.3">
      <c r="A2421" s="9">
        <v>2413</v>
      </c>
      <c r="B2421" s="10">
        <f t="shared" ca="1" si="37"/>
        <v>7.589868967697827E-2</v>
      </c>
      <c r="C2421" s="10">
        <f ca="1">NPV(B2421,Project_FCF!C18:J18)+Project_FCF!B18</f>
        <v>973.42986559810424</v>
      </c>
      <c r="D2421" s="4"/>
      <c r="E2421" s="4"/>
    </row>
    <row r="2422" spans="1:5" x14ac:dyDescent="0.3">
      <c r="A2422" s="9">
        <v>2414</v>
      </c>
      <c r="B2422" s="10">
        <f t="shared" ca="1" si="37"/>
        <v>6.7721742572829854E-2</v>
      </c>
      <c r="C2422" s="10">
        <f ca="1">NPV(B2422,Project_FCF!C18:J18)+Project_FCF!B18</f>
        <v>1046.9047580539111</v>
      </c>
      <c r="D2422" s="4"/>
      <c r="E2422" s="4"/>
    </row>
    <row r="2423" spans="1:5" x14ac:dyDescent="0.3">
      <c r="A2423" s="9">
        <v>2415</v>
      </c>
      <c r="B2423" s="10">
        <f t="shared" ca="1" si="37"/>
        <v>6.8660431798034535E-2</v>
      </c>
      <c r="C2423" s="10">
        <f ca="1">NPV(B2423,Project_FCF!C18:J18)+Project_FCF!B18</f>
        <v>1038.2231023208885</v>
      </c>
      <c r="D2423" s="4"/>
      <c r="E2423" s="4"/>
    </row>
    <row r="2424" spans="1:5" x14ac:dyDescent="0.3">
      <c r="A2424" s="9">
        <v>2416</v>
      </c>
      <c r="B2424" s="10">
        <f t="shared" ca="1" si="37"/>
        <v>6.7014077589617888E-2</v>
      </c>
      <c r="C2424" s="10">
        <f ca="1">NPV(B2424,Project_FCF!C18:J18)+Project_FCF!B18</f>
        <v>1053.493239913156</v>
      </c>
      <c r="D2424" s="4"/>
      <c r="E2424" s="4"/>
    </row>
    <row r="2425" spans="1:5" x14ac:dyDescent="0.3">
      <c r="A2425" s="9">
        <v>2417</v>
      </c>
      <c r="B2425" s="10">
        <f t="shared" ca="1" si="37"/>
        <v>8.4978370177636556E-2</v>
      </c>
      <c r="C2425" s="10">
        <f ca="1">NPV(B2425,Project_FCF!C18:J18)+Project_FCF!B18</f>
        <v>897.26584873150387</v>
      </c>
      <c r="D2425" s="4"/>
      <c r="E2425" s="4"/>
    </row>
    <row r="2426" spans="1:5" x14ac:dyDescent="0.3">
      <c r="A2426" s="9">
        <v>2418</v>
      </c>
      <c r="B2426" s="10">
        <f t="shared" ca="1" si="37"/>
        <v>8.0493520482886216E-2</v>
      </c>
      <c r="C2426" s="10">
        <f ca="1">NPV(B2426,Project_FCF!C18:J18)+Project_FCF!B18</f>
        <v>934.20063237168824</v>
      </c>
      <c r="D2426" s="4"/>
      <c r="E2426" s="4"/>
    </row>
    <row r="2427" spans="1:5" x14ac:dyDescent="0.3">
      <c r="A2427" s="9">
        <v>2419</v>
      </c>
      <c r="B2427" s="10">
        <f t="shared" ca="1" si="37"/>
        <v>0.10273680435662325</v>
      </c>
      <c r="C2427" s="10">
        <f ca="1">NPV(B2427,Project_FCF!C18:J18)+Project_FCF!B18</f>
        <v>763.16031137791401</v>
      </c>
      <c r="D2427" s="4"/>
      <c r="E2427" s="4"/>
    </row>
    <row r="2428" spans="1:5" x14ac:dyDescent="0.3">
      <c r="A2428" s="9">
        <v>2420</v>
      </c>
      <c r="B2428" s="10">
        <f t="shared" ca="1" si="37"/>
        <v>7.7947391907330715E-2</v>
      </c>
      <c r="C2428" s="10">
        <f ca="1">NPV(B2428,Project_FCF!C18:J18)+Project_FCF!B18</f>
        <v>955.76135673626072</v>
      </c>
      <c r="D2428" s="4"/>
      <c r="E2428" s="4"/>
    </row>
    <row r="2429" spans="1:5" x14ac:dyDescent="0.3">
      <c r="A2429" s="9">
        <v>2421</v>
      </c>
      <c r="B2429" s="10">
        <f t="shared" ca="1" si="37"/>
        <v>0.10179492145410574</v>
      </c>
      <c r="C2429" s="10">
        <f ca="1">NPV(B2429,Project_FCF!C18:J18)+Project_FCF!B18</f>
        <v>769.81614930151068</v>
      </c>
      <c r="D2429" s="4"/>
      <c r="E2429" s="4"/>
    </row>
    <row r="2430" spans="1:5" x14ac:dyDescent="0.3">
      <c r="A2430" s="9">
        <v>2422</v>
      </c>
      <c r="B2430" s="10">
        <f t="shared" ca="1" si="37"/>
        <v>7.1720426401195303E-2</v>
      </c>
      <c r="C2430" s="10">
        <f ca="1">NPV(B2430,Project_FCF!C18:J18)+Project_FCF!B18</f>
        <v>1010.3724954498668</v>
      </c>
      <c r="D2430" s="4"/>
      <c r="E2430" s="4"/>
    </row>
    <row r="2431" spans="1:5" x14ac:dyDescent="0.3">
      <c r="A2431" s="9">
        <v>2423</v>
      </c>
      <c r="B2431" s="10">
        <f t="shared" ca="1" si="37"/>
        <v>7.9427086617377449E-2</v>
      </c>
      <c r="C2431" s="10">
        <f ca="1">NPV(B2431,Project_FCF!C18:J18)+Project_FCF!B18</f>
        <v>943.17816402495259</v>
      </c>
      <c r="D2431" s="4"/>
      <c r="E2431" s="4"/>
    </row>
    <row r="2432" spans="1:5" x14ac:dyDescent="0.3">
      <c r="A2432" s="9">
        <v>2424</v>
      </c>
      <c r="B2432" s="10">
        <f t="shared" ca="1" si="37"/>
        <v>9.6656147613696924E-2</v>
      </c>
      <c r="C2432" s="10">
        <f ca="1">NPV(B2432,Project_FCF!C18:J18)+Project_FCF!B18</f>
        <v>806.99969246069554</v>
      </c>
      <c r="D2432" s="4"/>
      <c r="E2432" s="4"/>
    </row>
    <row r="2433" spans="1:5" x14ac:dyDescent="0.3">
      <c r="A2433" s="9">
        <v>2425</v>
      </c>
      <c r="B2433" s="10">
        <f t="shared" ca="1" si="37"/>
        <v>0.10144836528694763</v>
      </c>
      <c r="C2433" s="10">
        <f ca="1">NPV(B2433,Project_FCF!C18:J18)+Project_FCF!B18</f>
        <v>772.2773574695434</v>
      </c>
      <c r="D2433" s="4"/>
      <c r="E2433" s="4"/>
    </row>
    <row r="2434" spans="1:5" x14ac:dyDescent="0.3">
      <c r="A2434" s="9">
        <v>2426</v>
      </c>
      <c r="B2434" s="10">
        <f t="shared" ca="1" si="37"/>
        <v>6.8263829368069434E-2</v>
      </c>
      <c r="C2434" s="10">
        <f ca="1">NPV(B2434,Project_FCF!C18:J18)+Project_FCF!B18</f>
        <v>1041.8831628343103</v>
      </c>
      <c r="D2434" s="4"/>
      <c r="E2434" s="4"/>
    </row>
    <row r="2435" spans="1:5" x14ac:dyDescent="0.3">
      <c r="A2435" s="9">
        <v>2427</v>
      </c>
      <c r="B2435" s="10">
        <f t="shared" ca="1" si="37"/>
        <v>8.194230536946269E-2</v>
      </c>
      <c r="C2435" s="10">
        <f ca="1">NPV(B2435,Project_FCF!C18:J18)+Project_FCF!B18</f>
        <v>922.12546531969974</v>
      </c>
      <c r="D2435" s="4"/>
      <c r="E2435" s="4"/>
    </row>
    <row r="2436" spans="1:5" x14ac:dyDescent="0.3">
      <c r="A2436" s="9">
        <v>2428</v>
      </c>
      <c r="B2436" s="10">
        <f t="shared" ca="1" si="37"/>
        <v>9.8412628832197258E-2</v>
      </c>
      <c r="C2436" s="10">
        <f ca="1">NPV(B2436,Project_FCF!C18:J18)+Project_FCF!B18</f>
        <v>794.12242379512736</v>
      </c>
      <c r="D2436" s="4"/>
      <c r="E2436" s="4"/>
    </row>
    <row r="2437" spans="1:5" x14ac:dyDescent="0.3">
      <c r="A2437" s="9">
        <v>2429</v>
      </c>
      <c r="B2437" s="10">
        <f t="shared" ca="1" si="37"/>
        <v>8.7571724978129928E-2</v>
      </c>
      <c r="C2437" s="10">
        <f ca="1">NPV(B2437,Project_FCF!C18:J18)+Project_FCF!B18</f>
        <v>876.49832636156998</v>
      </c>
      <c r="D2437" s="4"/>
      <c r="E2437" s="4"/>
    </row>
    <row r="2438" spans="1:5" x14ac:dyDescent="0.3">
      <c r="A2438" s="9">
        <v>2430</v>
      </c>
      <c r="B2438" s="10">
        <f t="shared" ca="1" si="37"/>
        <v>9.3230984755681451E-2</v>
      </c>
      <c r="C2438" s="10">
        <f ca="1">NPV(B2438,Project_FCF!C18:J18)+Project_FCF!B18</f>
        <v>832.62403211065453</v>
      </c>
      <c r="D2438" s="4"/>
      <c r="E2438" s="4"/>
    </row>
    <row r="2439" spans="1:5" x14ac:dyDescent="0.3">
      <c r="A2439" s="9">
        <v>2431</v>
      </c>
      <c r="B2439" s="10">
        <f t="shared" ca="1" si="37"/>
        <v>7.4300671185380113E-2</v>
      </c>
      <c r="C2439" s="10">
        <f ca="1">NPV(B2439,Project_FCF!C18:J18)+Project_FCF!B18</f>
        <v>987.413411264964</v>
      </c>
      <c r="D2439" s="4"/>
      <c r="E2439" s="4"/>
    </row>
    <row r="2440" spans="1:5" x14ac:dyDescent="0.3">
      <c r="A2440" s="9">
        <v>2432</v>
      </c>
      <c r="B2440" s="10">
        <f t="shared" ca="1" si="37"/>
        <v>8.0159902127610205E-2</v>
      </c>
      <c r="C2440" s="10">
        <f ca="1">NPV(B2440,Project_FCF!C18:J18)+Project_FCF!B18</f>
        <v>937.00095449502669</v>
      </c>
      <c r="D2440" s="4"/>
      <c r="E2440" s="4"/>
    </row>
    <row r="2441" spans="1:5" x14ac:dyDescent="0.3">
      <c r="A2441" s="9">
        <v>2433</v>
      </c>
      <c r="B2441" s="10">
        <f t="shared" ref="B2441:B2504" ca="1" si="38">$B$4+RAND()*($B$5-$B$4)</f>
        <v>7.1437762036024949E-2</v>
      </c>
      <c r="C2441" s="10">
        <f ca="1">NPV(B2441,Project_FCF!C18:J18)+Project_FCF!B18</f>
        <v>1012.9166008878026</v>
      </c>
      <c r="D2441" s="4"/>
      <c r="E2441" s="4"/>
    </row>
    <row r="2442" spans="1:5" x14ac:dyDescent="0.3">
      <c r="A2442" s="9">
        <v>2434</v>
      </c>
      <c r="B2442" s="10">
        <f t="shared" ca="1" si="38"/>
        <v>9.0102287521366869E-2</v>
      </c>
      <c r="C2442" s="10">
        <f ca="1">NPV(B2442,Project_FCF!C18:J18)+Project_FCF!B18</f>
        <v>856.63852922008141</v>
      </c>
      <c r="D2442" s="4"/>
      <c r="E2442" s="4"/>
    </row>
    <row r="2443" spans="1:5" x14ac:dyDescent="0.3">
      <c r="A2443" s="9">
        <v>2435</v>
      </c>
      <c r="B2443" s="10">
        <f t="shared" ca="1" si="38"/>
        <v>7.4493747808395711E-2</v>
      </c>
      <c r="C2443" s="10">
        <f ca="1">NPV(B2443,Project_FCF!C18:J18)+Project_FCF!B18</f>
        <v>985.71439010662471</v>
      </c>
      <c r="D2443" s="4"/>
      <c r="E2443" s="4"/>
    </row>
    <row r="2444" spans="1:5" x14ac:dyDescent="0.3">
      <c r="A2444" s="9">
        <v>2436</v>
      </c>
      <c r="B2444" s="10">
        <f t="shared" ca="1" si="38"/>
        <v>9.7722840154437079E-2</v>
      </c>
      <c r="C2444" s="10">
        <f ca="1">NPV(B2444,Project_FCF!C18:J18)+Project_FCF!B18</f>
        <v>799.15845694733889</v>
      </c>
      <c r="D2444" s="4"/>
      <c r="E2444" s="4"/>
    </row>
    <row r="2445" spans="1:5" x14ac:dyDescent="0.3">
      <c r="A2445" s="9">
        <v>2437</v>
      </c>
      <c r="B2445" s="10">
        <f t="shared" ca="1" si="38"/>
        <v>9.6591214044555326E-2</v>
      </c>
      <c r="C2445" s="10">
        <f ca="1">NPV(B2445,Project_FCF!C18:J18)+Project_FCF!B18</f>
        <v>807.47912692937257</v>
      </c>
      <c r="D2445" s="4"/>
      <c r="E2445" s="4"/>
    </row>
    <row r="2446" spans="1:5" x14ac:dyDescent="0.3">
      <c r="A2446" s="9">
        <v>2438</v>
      </c>
      <c r="B2446" s="10">
        <f t="shared" ca="1" si="38"/>
        <v>8.6334598518291047E-2</v>
      </c>
      <c r="C2446" s="10">
        <f ca="1">NPV(B2446,Project_FCF!C18:J18)+Project_FCF!B18</f>
        <v>886.35222206590083</v>
      </c>
      <c r="D2446" s="4"/>
      <c r="E2446" s="4"/>
    </row>
    <row r="2447" spans="1:5" x14ac:dyDescent="0.3">
      <c r="A2447" s="9">
        <v>2439</v>
      </c>
      <c r="B2447" s="10">
        <f t="shared" ca="1" si="38"/>
        <v>6.9586602730181829E-2</v>
      </c>
      <c r="C2447" s="10">
        <f ca="1">NPV(B2447,Project_FCF!C18:J18)+Project_FCF!B18</f>
        <v>1029.7212091270389</v>
      </c>
      <c r="D2447" s="4"/>
      <c r="E2447" s="4"/>
    </row>
    <row r="2448" spans="1:5" x14ac:dyDescent="0.3">
      <c r="A2448" s="9">
        <v>2440</v>
      </c>
      <c r="B2448" s="10">
        <f t="shared" ca="1" si="38"/>
        <v>7.3177485178493179E-2</v>
      </c>
      <c r="C2448" s="10">
        <f ca="1">NPV(B2448,Project_FCF!C18:J18)+Project_FCF!B18</f>
        <v>997.34930993423222</v>
      </c>
      <c r="D2448" s="4"/>
      <c r="E2448" s="4"/>
    </row>
    <row r="2449" spans="1:5" x14ac:dyDescent="0.3">
      <c r="A2449" s="9">
        <v>2441</v>
      </c>
      <c r="B2449" s="10">
        <f t="shared" ca="1" si="38"/>
        <v>9.8426339929807385E-2</v>
      </c>
      <c r="C2449" s="10">
        <f ca="1">NPV(B2449,Project_FCF!C18:J18)+Project_FCF!B18</f>
        <v>794.02259527186379</v>
      </c>
      <c r="D2449" s="4"/>
      <c r="E2449" s="4"/>
    </row>
    <row r="2450" spans="1:5" x14ac:dyDescent="0.3">
      <c r="A2450" s="9">
        <v>2442</v>
      </c>
      <c r="B2450" s="10">
        <f t="shared" ca="1" si="38"/>
        <v>8.6472544694878237E-2</v>
      </c>
      <c r="C2450" s="10">
        <f ca="1">NPV(B2450,Project_FCF!C18:J18)+Project_FCF!B18</f>
        <v>885.24869354923908</v>
      </c>
      <c r="D2450" s="4"/>
      <c r="E2450" s="4"/>
    </row>
    <row r="2451" spans="1:5" x14ac:dyDescent="0.3">
      <c r="A2451" s="9">
        <v>2443</v>
      </c>
      <c r="B2451" s="10">
        <f t="shared" ca="1" si="38"/>
        <v>7.5909197607069878E-2</v>
      </c>
      <c r="C2451" s="10">
        <f ca="1">NPV(B2451,Project_FCF!C18:J18)+Project_FCF!B18</f>
        <v>973.33850443630104</v>
      </c>
      <c r="D2451" s="4"/>
      <c r="E2451" s="4"/>
    </row>
    <row r="2452" spans="1:5" x14ac:dyDescent="0.3">
      <c r="A2452" s="9">
        <v>2444</v>
      </c>
      <c r="B2452" s="10">
        <f t="shared" ca="1" si="38"/>
        <v>0.10066168704277248</v>
      </c>
      <c r="C2452" s="10">
        <f ca="1">NPV(B2452,Project_FCF!C18:J18)+Project_FCF!B18</f>
        <v>777.88889907979524</v>
      </c>
      <c r="D2452" s="4"/>
      <c r="E2452" s="4"/>
    </row>
    <row r="2453" spans="1:5" x14ac:dyDescent="0.3">
      <c r="A2453" s="9">
        <v>2445</v>
      </c>
      <c r="B2453" s="10">
        <f t="shared" ca="1" si="38"/>
        <v>9.891229190497694E-2</v>
      </c>
      <c r="C2453" s="10">
        <f ca="1">NPV(B2453,Project_FCF!C18:J18)+Project_FCF!B18</f>
        <v>790.49132060718216</v>
      </c>
      <c r="D2453" s="4"/>
      <c r="E2453" s="4"/>
    </row>
    <row r="2454" spans="1:5" x14ac:dyDescent="0.3">
      <c r="A2454" s="9">
        <v>2446</v>
      </c>
      <c r="B2454" s="10">
        <f t="shared" ca="1" si="38"/>
        <v>0.10036928538482592</v>
      </c>
      <c r="C2454" s="10">
        <f ca="1">NPV(B2454,Project_FCF!C18:J18)+Project_FCF!B18</f>
        <v>779.98341542818662</v>
      </c>
      <c r="D2454" s="4"/>
      <c r="E2454" s="4"/>
    </row>
    <row r="2455" spans="1:5" x14ac:dyDescent="0.3">
      <c r="A2455" s="9">
        <v>2447</v>
      </c>
      <c r="B2455" s="10">
        <f t="shared" ca="1" si="38"/>
        <v>9.2011822235084695E-2</v>
      </c>
      <c r="C2455" s="10">
        <f ca="1">NPV(B2455,Project_FCF!C18:J18)+Project_FCF!B18</f>
        <v>841.91179144756939</v>
      </c>
      <c r="D2455" s="4"/>
      <c r="E2455" s="4"/>
    </row>
    <row r="2456" spans="1:5" x14ac:dyDescent="0.3">
      <c r="A2456" s="9">
        <v>2448</v>
      </c>
      <c r="B2456" s="10">
        <f t="shared" ca="1" si="38"/>
        <v>6.4492865476313027E-2</v>
      </c>
      <c r="C2456" s="10">
        <f ca="1">NPV(B2456,Project_FCF!C18:J18)+Project_FCF!B18</f>
        <v>1077.2739972157967</v>
      </c>
      <c r="D2456" s="4"/>
      <c r="E2456" s="4"/>
    </row>
    <row r="2457" spans="1:5" x14ac:dyDescent="0.3">
      <c r="A2457" s="9">
        <v>2449</v>
      </c>
      <c r="B2457" s="10">
        <f t="shared" ca="1" si="38"/>
        <v>7.9850444508028251E-2</v>
      </c>
      <c r="C2457" s="10">
        <f ca="1">NPV(B2457,Project_FCF!C18:J18)+Project_FCF!B18</f>
        <v>939.60511696811659</v>
      </c>
      <c r="D2457" s="4"/>
      <c r="E2457" s="4"/>
    </row>
    <row r="2458" spans="1:5" x14ac:dyDescent="0.3">
      <c r="A2458" s="9">
        <v>2450</v>
      </c>
      <c r="B2458" s="10">
        <f t="shared" ca="1" si="38"/>
        <v>8.4183334252600328E-2</v>
      </c>
      <c r="C2458" s="10">
        <f ca="1">NPV(B2458,Project_FCF!C18:J18)+Project_FCF!B18</f>
        <v>903.71809614551535</v>
      </c>
      <c r="D2458" s="4"/>
      <c r="E2458" s="4"/>
    </row>
    <row r="2459" spans="1:5" x14ac:dyDescent="0.3">
      <c r="A2459" s="9">
        <v>2451</v>
      </c>
      <c r="B2459" s="10">
        <f t="shared" ca="1" si="38"/>
        <v>0.10245883103571973</v>
      </c>
      <c r="C2459" s="10">
        <f ca="1">NPV(B2459,Project_FCF!C18:J18)+Project_FCF!B18</f>
        <v>765.11956403723275</v>
      </c>
      <c r="D2459" s="4"/>
      <c r="E2459" s="4"/>
    </row>
    <row r="2460" spans="1:5" x14ac:dyDescent="0.3">
      <c r="A2460" s="9">
        <v>2452</v>
      </c>
      <c r="B2460" s="10">
        <f t="shared" ca="1" si="38"/>
        <v>7.4426278799003681E-2</v>
      </c>
      <c r="C2460" s="10">
        <f ca="1">NPV(B2460,Project_FCF!C18:J18)+Project_FCF!B18</f>
        <v>986.30780089816267</v>
      </c>
      <c r="D2460" s="4"/>
      <c r="E2460" s="4"/>
    </row>
    <row r="2461" spans="1:5" x14ac:dyDescent="0.3">
      <c r="A2461" s="9">
        <v>2453</v>
      </c>
      <c r="B2461" s="10">
        <f t="shared" ca="1" si="38"/>
        <v>8.179592736220638E-2</v>
      </c>
      <c r="C2461" s="10">
        <f ca="1">NPV(B2461,Project_FCF!C18:J18)+Project_FCF!B18</f>
        <v>923.33918946864765</v>
      </c>
      <c r="D2461" s="4"/>
      <c r="E2461" s="4"/>
    </row>
    <row r="2462" spans="1:5" x14ac:dyDescent="0.3">
      <c r="A2462" s="9">
        <v>2454</v>
      </c>
      <c r="B2462" s="10">
        <f t="shared" ca="1" si="38"/>
        <v>7.312155476853377E-2</v>
      </c>
      <c r="C2462" s="10">
        <f ca="1">NPV(B2462,Project_FCF!C18:J18)+Project_FCF!B18</f>
        <v>997.84641698008545</v>
      </c>
      <c r="D2462" s="4"/>
      <c r="E2462" s="4"/>
    </row>
    <row r="2463" spans="1:5" x14ac:dyDescent="0.3">
      <c r="A2463" s="9">
        <v>2455</v>
      </c>
      <c r="B2463" s="10">
        <f t="shared" ca="1" si="38"/>
        <v>9.4929181287185041E-2</v>
      </c>
      <c r="C2463" s="10">
        <f ca="1">NPV(B2463,Project_FCF!C18:J18)+Project_FCF!B18</f>
        <v>819.83375056404816</v>
      </c>
      <c r="D2463" s="4"/>
      <c r="E2463" s="4"/>
    </row>
    <row r="2464" spans="1:5" x14ac:dyDescent="0.3">
      <c r="A2464" s="9">
        <v>2456</v>
      </c>
      <c r="B2464" s="10">
        <f t="shared" ca="1" si="38"/>
        <v>8.8094468095594833E-2</v>
      </c>
      <c r="C2464" s="10">
        <f ca="1">NPV(B2464,Project_FCF!C18:J18)+Project_FCF!B18</f>
        <v>872.36338116618936</v>
      </c>
      <c r="D2464" s="4"/>
      <c r="E2464" s="4"/>
    </row>
    <row r="2465" spans="1:5" x14ac:dyDescent="0.3">
      <c r="A2465" s="9">
        <v>2457</v>
      </c>
      <c r="B2465" s="10">
        <f t="shared" ca="1" si="38"/>
        <v>7.2352028156674394E-2</v>
      </c>
      <c r="C2465" s="10">
        <f ca="1">NPV(B2465,Project_FCF!C18:J18)+Project_FCF!B18</f>
        <v>1004.7085782694517</v>
      </c>
      <c r="D2465" s="4"/>
      <c r="E2465" s="4"/>
    </row>
    <row r="2466" spans="1:5" x14ac:dyDescent="0.3">
      <c r="A2466" s="9">
        <v>2458</v>
      </c>
      <c r="B2466" s="10">
        <f t="shared" ca="1" si="38"/>
        <v>7.8846838613692682E-2</v>
      </c>
      <c r="C2466" s="10">
        <f ca="1">NPV(B2466,Project_FCF!C18:J18)+Project_FCF!B18</f>
        <v>948.09490046783685</v>
      </c>
      <c r="D2466" s="4"/>
      <c r="E2466" s="4"/>
    </row>
    <row r="2467" spans="1:5" x14ac:dyDescent="0.3">
      <c r="A2467" s="9">
        <v>2459</v>
      </c>
      <c r="B2467" s="10">
        <f t="shared" ca="1" si="38"/>
        <v>9.6159763463997072E-2</v>
      </c>
      <c r="C2467" s="10">
        <f ca="1">NPV(B2467,Project_FCF!C18:J18)+Project_FCF!B18</f>
        <v>810.67090107199442</v>
      </c>
      <c r="D2467" s="4"/>
      <c r="E2467" s="4"/>
    </row>
    <row r="2468" spans="1:5" x14ac:dyDescent="0.3">
      <c r="A2468" s="9">
        <v>2460</v>
      </c>
      <c r="B2468" s="10">
        <f t="shared" ca="1" si="38"/>
        <v>7.040839738212526E-2</v>
      </c>
      <c r="C2468" s="10">
        <f ca="1">NPV(B2468,Project_FCF!C18:J18)+Project_FCF!B18</f>
        <v>1022.2302317304795</v>
      </c>
      <c r="D2468" s="4"/>
      <c r="E2468" s="4"/>
    </row>
    <row r="2469" spans="1:5" x14ac:dyDescent="0.3">
      <c r="A2469" s="9">
        <v>2461</v>
      </c>
      <c r="B2469" s="10">
        <f t="shared" ca="1" si="38"/>
        <v>9.7779576632557388E-2</v>
      </c>
      <c r="C2469" s="10">
        <f ca="1">NPV(B2469,Project_FCF!C18:J18)+Project_FCF!B18</f>
        <v>798.74321131430042</v>
      </c>
      <c r="D2469" s="4"/>
      <c r="E2469" s="4"/>
    </row>
    <row r="2470" spans="1:5" x14ac:dyDescent="0.3">
      <c r="A2470" s="9">
        <v>2462</v>
      </c>
      <c r="B2470" s="10">
        <f t="shared" ca="1" si="38"/>
        <v>6.8301824690550017E-2</v>
      </c>
      <c r="C2470" s="10">
        <f ca="1">NPV(B2470,Project_FCF!C18:J18)+Project_FCF!B18</f>
        <v>1041.532015662867</v>
      </c>
      <c r="D2470" s="4"/>
      <c r="E2470" s="4"/>
    </row>
    <row r="2471" spans="1:5" x14ac:dyDescent="0.3">
      <c r="A2471" s="9">
        <v>2463</v>
      </c>
      <c r="B2471" s="10">
        <f t="shared" ca="1" si="38"/>
        <v>7.3002059778796979E-2</v>
      </c>
      <c r="C2471" s="10">
        <f ca="1">NPV(B2471,Project_FCF!C18:J18)+Project_FCF!B18</f>
        <v>998.90922898180156</v>
      </c>
      <c r="D2471" s="4"/>
      <c r="E2471" s="4"/>
    </row>
    <row r="2472" spans="1:5" x14ac:dyDescent="0.3">
      <c r="A2472" s="9">
        <v>2464</v>
      </c>
      <c r="B2472" s="10">
        <f t="shared" ca="1" si="38"/>
        <v>9.1875198753101822E-2</v>
      </c>
      <c r="C2472" s="10">
        <f ca="1">NPV(B2472,Project_FCF!C18:J18)+Project_FCF!B18</f>
        <v>842.95814894071827</v>
      </c>
      <c r="D2472" s="4"/>
      <c r="E2472" s="4"/>
    </row>
    <row r="2473" spans="1:5" x14ac:dyDescent="0.3">
      <c r="A2473" s="9">
        <v>2465</v>
      </c>
      <c r="B2473" s="10">
        <f t="shared" ca="1" si="38"/>
        <v>7.890304224581958E-2</v>
      </c>
      <c r="C2473" s="10">
        <f ca="1">NPV(B2473,Project_FCF!C18:J18)+Project_FCF!B18</f>
        <v>947.61766580698873</v>
      </c>
      <c r="D2473" s="4"/>
      <c r="E2473" s="4"/>
    </row>
    <row r="2474" spans="1:5" x14ac:dyDescent="0.3">
      <c r="A2474" s="9">
        <v>2466</v>
      </c>
      <c r="B2474" s="10">
        <f t="shared" ca="1" si="38"/>
        <v>9.661731130931614E-2</v>
      </c>
      <c r="C2474" s="10">
        <f ca="1">NPV(B2474,Project_FCF!C18:J18)+Project_FCF!B18</f>
        <v>807.28640960924577</v>
      </c>
      <c r="D2474" s="4"/>
      <c r="E2474" s="4"/>
    </row>
    <row r="2475" spans="1:5" x14ac:dyDescent="0.3">
      <c r="A2475" s="9">
        <v>2467</v>
      </c>
      <c r="B2475" s="10">
        <f t="shared" ca="1" si="38"/>
        <v>9.6361050518254804E-2</v>
      </c>
      <c r="C2475" s="10">
        <f ca="1">NPV(B2475,Project_FCF!C18:J18)+Project_FCF!B18</f>
        <v>809.18048771092913</v>
      </c>
      <c r="D2475" s="4"/>
      <c r="E2475" s="4"/>
    </row>
    <row r="2476" spans="1:5" x14ac:dyDescent="0.3">
      <c r="A2476" s="9">
        <v>2468</v>
      </c>
      <c r="B2476" s="10">
        <f t="shared" ca="1" si="38"/>
        <v>9.9279103610031311E-2</v>
      </c>
      <c r="C2476" s="10">
        <f ca="1">NPV(B2476,Project_FCF!C18:J18)+Project_FCF!B18</f>
        <v>787.83463403512815</v>
      </c>
      <c r="D2476" s="4"/>
      <c r="E2476" s="4"/>
    </row>
    <row r="2477" spans="1:5" x14ac:dyDescent="0.3">
      <c r="A2477" s="9">
        <v>2469</v>
      </c>
      <c r="B2477" s="10">
        <f t="shared" ca="1" si="38"/>
        <v>6.4207073410289472E-2</v>
      </c>
      <c r="C2477" s="10">
        <f ca="1">NPV(B2477,Project_FCF!C18:J18)+Project_FCF!B18</f>
        <v>1080.0003288934524</v>
      </c>
      <c r="D2477" s="4"/>
      <c r="E2477" s="4"/>
    </row>
    <row r="2478" spans="1:5" x14ac:dyDescent="0.3">
      <c r="A2478" s="9">
        <v>2470</v>
      </c>
      <c r="B2478" s="10">
        <f t="shared" ca="1" si="38"/>
        <v>8.3894301478557393E-2</v>
      </c>
      <c r="C2478" s="10">
        <f ca="1">NPV(B2478,Project_FCF!C18:J18)+Project_FCF!B18</f>
        <v>906.07385868675055</v>
      </c>
      <c r="D2478" s="4"/>
      <c r="E2478" s="4"/>
    </row>
    <row r="2479" spans="1:5" x14ac:dyDescent="0.3">
      <c r="A2479" s="9">
        <v>2471</v>
      </c>
      <c r="B2479" s="10">
        <f t="shared" ca="1" si="38"/>
        <v>9.4158869023390823E-2</v>
      </c>
      <c r="C2479" s="10">
        <f ca="1">NPV(B2479,Project_FCF!C18:J18)+Project_FCF!B18</f>
        <v>825.61445141443915</v>
      </c>
      <c r="D2479" s="4"/>
      <c r="E2479" s="4"/>
    </row>
    <row r="2480" spans="1:5" x14ac:dyDescent="0.3">
      <c r="A2480" s="9">
        <v>2472</v>
      </c>
      <c r="B2480" s="10">
        <f t="shared" ca="1" si="38"/>
        <v>7.4417520111525415E-2</v>
      </c>
      <c r="C2480" s="10">
        <f ca="1">NPV(B2480,Project_FCF!C18:J18)+Project_FCF!B18</f>
        <v>986.38485972500212</v>
      </c>
      <c r="D2480" s="4"/>
      <c r="E2480" s="4"/>
    </row>
    <row r="2481" spans="1:5" x14ac:dyDescent="0.3">
      <c r="A2481" s="9">
        <v>2473</v>
      </c>
      <c r="B2481" s="10">
        <f t="shared" ca="1" si="38"/>
        <v>0.10371869104017681</v>
      </c>
      <c r="C2481" s="10">
        <f ca="1">NPV(B2481,Project_FCF!C18:J18)+Project_FCF!B18</f>
        <v>756.27330789390476</v>
      </c>
      <c r="D2481" s="4"/>
      <c r="E2481" s="4"/>
    </row>
    <row r="2482" spans="1:5" x14ac:dyDescent="0.3">
      <c r="A2482" s="9">
        <v>2474</v>
      </c>
      <c r="B2482" s="10">
        <f t="shared" ca="1" si="38"/>
        <v>9.1325083120176398E-2</v>
      </c>
      <c r="C2482" s="10">
        <f ca="1">NPV(B2482,Project_FCF!C18:J18)+Project_FCF!B18</f>
        <v>847.18267903724563</v>
      </c>
      <c r="D2482" s="4"/>
      <c r="E2482" s="4"/>
    </row>
    <row r="2483" spans="1:5" x14ac:dyDescent="0.3">
      <c r="A2483" s="9">
        <v>2475</v>
      </c>
      <c r="B2483" s="10">
        <f t="shared" ca="1" si="38"/>
        <v>7.1577522299590274E-2</v>
      </c>
      <c r="C2483" s="10">
        <f ca="1">NPV(B2483,Project_FCF!C18:J18)+Project_FCF!B18</f>
        <v>1011.6579757166919</v>
      </c>
      <c r="D2483" s="4"/>
      <c r="E2483" s="4"/>
    </row>
    <row r="2484" spans="1:5" x14ac:dyDescent="0.3">
      <c r="A2484" s="9">
        <v>2476</v>
      </c>
      <c r="B2484" s="10">
        <f t="shared" ca="1" si="38"/>
        <v>8.6361730383327256E-2</v>
      </c>
      <c r="C2484" s="10">
        <f ca="1">NPV(B2484,Project_FCF!C18:J18)+Project_FCF!B18</f>
        <v>886.13508032761206</v>
      </c>
      <c r="D2484" s="4"/>
      <c r="E2484" s="4"/>
    </row>
    <row r="2485" spans="1:5" x14ac:dyDescent="0.3">
      <c r="A2485" s="9">
        <v>2477</v>
      </c>
      <c r="B2485" s="10">
        <f t="shared" ca="1" si="38"/>
        <v>6.6303731579008165E-2</v>
      </c>
      <c r="C2485" s="10">
        <f ca="1">NPV(B2485,Project_FCF!C18:J18)+Project_FCF!B18</f>
        <v>1060.1445625362612</v>
      </c>
      <c r="D2485" s="4"/>
      <c r="E2485" s="4"/>
    </row>
    <row r="2486" spans="1:5" x14ac:dyDescent="0.3">
      <c r="A2486" s="9">
        <v>2478</v>
      </c>
      <c r="B2486" s="10">
        <f t="shared" ca="1" si="38"/>
        <v>7.1673793821829146E-2</v>
      </c>
      <c r="C2486" s="10">
        <f ca="1">NPV(B2486,Project_FCF!C18:J18)+Project_FCF!B18</f>
        <v>1010.7918125648412</v>
      </c>
      <c r="D2486" s="4"/>
      <c r="E2486" s="4"/>
    </row>
    <row r="2487" spans="1:5" x14ac:dyDescent="0.3">
      <c r="A2487" s="9">
        <v>2479</v>
      </c>
      <c r="B2487" s="10">
        <f t="shared" ca="1" si="38"/>
        <v>0.10316296551565762</v>
      </c>
      <c r="C2487" s="10">
        <f ca="1">NPV(B2487,Project_FCF!C18:J18)+Project_FCF!B18</f>
        <v>760.16476144707462</v>
      </c>
      <c r="D2487" s="4"/>
      <c r="E2487" s="4"/>
    </row>
    <row r="2488" spans="1:5" x14ac:dyDescent="0.3">
      <c r="A2488" s="9">
        <v>2480</v>
      </c>
      <c r="B2488" s="10">
        <f t="shared" ca="1" si="38"/>
        <v>9.2480322377698682E-2</v>
      </c>
      <c r="C2488" s="10">
        <f ca="1">NPV(B2488,Project_FCF!C18:J18)+Project_FCF!B18</f>
        <v>838.33218957674148</v>
      </c>
      <c r="D2488" s="4"/>
      <c r="E2488" s="4"/>
    </row>
    <row r="2489" spans="1:5" x14ac:dyDescent="0.3">
      <c r="A2489" s="9">
        <v>2481</v>
      </c>
      <c r="B2489" s="10">
        <f t="shared" ca="1" si="38"/>
        <v>7.5149778697746833E-2</v>
      </c>
      <c r="C2489" s="10">
        <f ca="1">NPV(B2489,Project_FCF!C18:J18)+Project_FCF!B18</f>
        <v>979.96103887658546</v>
      </c>
      <c r="D2489" s="4"/>
      <c r="E2489" s="4"/>
    </row>
    <row r="2490" spans="1:5" x14ac:dyDescent="0.3">
      <c r="A2490" s="9">
        <v>2482</v>
      </c>
      <c r="B2490" s="10">
        <f t="shared" ca="1" si="38"/>
        <v>6.6790144473876933E-2</v>
      </c>
      <c r="C2490" s="10">
        <f ca="1">NPV(B2490,Project_FCF!C18:J18)+Project_FCF!B18</f>
        <v>1055.5859290711717</v>
      </c>
      <c r="D2490" s="4"/>
      <c r="E2490" s="4"/>
    </row>
    <row r="2491" spans="1:5" x14ac:dyDescent="0.3">
      <c r="A2491" s="9">
        <v>2483</v>
      </c>
      <c r="B2491" s="10">
        <f t="shared" ca="1" si="38"/>
        <v>9.2401839440923547E-2</v>
      </c>
      <c r="C2491" s="10">
        <f ca="1">NPV(B2491,Project_FCF!C18:J18)+Project_FCF!B18</f>
        <v>838.9309268521838</v>
      </c>
      <c r="D2491" s="4"/>
      <c r="E2491" s="4"/>
    </row>
    <row r="2492" spans="1:5" x14ac:dyDescent="0.3">
      <c r="A2492" s="9">
        <v>2484</v>
      </c>
      <c r="B2492" s="10">
        <f t="shared" ca="1" si="38"/>
        <v>8.3105841937111291E-2</v>
      </c>
      <c r="C2492" s="10">
        <f ca="1">NPV(B2492,Project_FCF!C18:J18)+Project_FCF!B18</f>
        <v>912.52765406294839</v>
      </c>
      <c r="D2492" s="4"/>
      <c r="E2492" s="4"/>
    </row>
    <row r="2493" spans="1:5" x14ac:dyDescent="0.3">
      <c r="A2493" s="9">
        <v>2485</v>
      </c>
      <c r="B2493" s="10">
        <f t="shared" ca="1" si="38"/>
        <v>7.3327018526331E-2</v>
      </c>
      <c r="C2493" s="10">
        <f ca="1">NPV(B2493,Project_FCF!C18:J18)+Project_FCF!B18</f>
        <v>996.02135597854499</v>
      </c>
      <c r="D2493" s="4"/>
      <c r="E2493" s="4"/>
    </row>
    <row r="2494" spans="1:5" x14ac:dyDescent="0.3">
      <c r="A2494" s="9">
        <v>2486</v>
      </c>
      <c r="B2494" s="10">
        <f t="shared" ca="1" si="38"/>
        <v>6.9545407956016506E-2</v>
      </c>
      <c r="C2494" s="10">
        <f ca="1">NPV(B2494,Project_FCF!C18:J18)+Project_FCF!B18</f>
        <v>1030.0980182496603</v>
      </c>
      <c r="D2494" s="4"/>
      <c r="E2494" s="4"/>
    </row>
    <row r="2495" spans="1:5" x14ac:dyDescent="0.3">
      <c r="A2495" s="9">
        <v>2487</v>
      </c>
      <c r="B2495" s="10">
        <f t="shared" ca="1" si="38"/>
        <v>0.1030395360090945</v>
      </c>
      <c r="C2495" s="10">
        <f ca="1">NPV(B2495,Project_FCF!C18:J18)+Project_FCF!B18</f>
        <v>761.03134861538206</v>
      </c>
      <c r="D2495" s="4"/>
      <c r="E2495" s="4"/>
    </row>
    <row r="2496" spans="1:5" x14ac:dyDescent="0.3">
      <c r="A2496" s="9">
        <v>2488</v>
      </c>
      <c r="B2496" s="10">
        <f t="shared" ca="1" si="38"/>
        <v>6.4523804487448211E-2</v>
      </c>
      <c r="C2496" s="10">
        <f ca="1">NPV(B2496,Project_FCF!C18:J18)+Project_FCF!B18</f>
        <v>1076.9792299579228</v>
      </c>
      <c r="D2496" s="4"/>
      <c r="E2496" s="4"/>
    </row>
    <row r="2497" spans="1:5" x14ac:dyDescent="0.3">
      <c r="A2497" s="9">
        <v>2489</v>
      </c>
      <c r="B2497" s="10">
        <f t="shared" ca="1" si="38"/>
        <v>0.10075286315608967</v>
      </c>
      <c r="C2497" s="10">
        <f ca="1">NPV(B2497,Project_FCF!C18:J18)+Project_FCF!B18</f>
        <v>777.23676335112646</v>
      </c>
      <c r="D2497" s="4"/>
      <c r="E2497" s="4"/>
    </row>
    <row r="2498" spans="1:5" x14ac:dyDescent="0.3">
      <c r="A2498" s="9">
        <v>2490</v>
      </c>
      <c r="B2498" s="10">
        <f t="shared" ca="1" si="38"/>
        <v>0.10167202735743436</v>
      </c>
      <c r="C2498" s="10">
        <f ca="1">NPV(B2498,Project_FCF!C18:J18)+Project_FCF!B18</f>
        <v>770.68817409488202</v>
      </c>
      <c r="D2498" s="4"/>
      <c r="E2498" s="4"/>
    </row>
    <row r="2499" spans="1:5" x14ac:dyDescent="0.3">
      <c r="A2499" s="9">
        <v>2491</v>
      </c>
      <c r="B2499" s="10">
        <f t="shared" ca="1" si="38"/>
        <v>8.5183596119156768E-2</v>
      </c>
      <c r="C2499" s="10">
        <f ca="1">NPV(B2499,Project_FCF!C18:J18)+Project_FCF!B18</f>
        <v>895.60687419120927</v>
      </c>
      <c r="D2499" s="4"/>
      <c r="E2499" s="4"/>
    </row>
    <row r="2500" spans="1:5" x14ac:dyDescent="0.3">
      <c r="A2500" s="9">
        <v>2492</v>
      </c>
      <c r="B2500" s="10">
        <f t="shared" ca="1" si="38"/>
        <v>9.5990356904854593E-2</v>
      </c>
      <c r="C2500" s="10">
        <f ca="1">NPV(B2500,Project_FCF!C18:J18)+Project_FCF!B18</f>
        <v>811.92707358824168</v>
      </c>
      <c r="D2500" s="4"/>
      <c r="E2500" s="4"/>
    </row>
    <row r="2501" spans="1:5" x14ac:dyDescent="0.3">
      <c r="A2501" s="9">
        <v>2493</v>
      </c>
      <c r="B2501" s="10">
        <f t="shared" ca="1" si="38"/>
        <v>6.8423141343668586E-2</v>
      </c>
      <c r="C2501" s="10">
        <f ca="1">NPV(B2501,Project_FCF!C18:J18)+Project_FCF!B18</f>
        <v>1040.4115431565413</v>
      </c>
      <c r="D2501" s="4"/>
      <c r="E2501" s="4"/>
    </row>
    <row r="2502" spans="1:5" x14ac:dyDescent="0.3">
      <c r="A2502" s="9">
        <v>2494</v>
      </c>
      <c r="B2502" s="10">
        <f t="shared" ca="1" si="38"/>
        <v>6.4854237584859503E-2</v>
      </c>
      <c r="C2502" s="10">
        <f ca="1">NPV(B2502,Project_FCF!C18:J18)+Project_FCF!B18</f>
        <v>1073.8356630549392</v>
      </c>
      <c r="D2502" s="4"/>
      <c r="E2502" s="4"/>
    </row>
    <row r="2503" spans="1:5" x14ac:dyDescent="0.3">
      <c r="A2503" s="9">
        <v>2495</v>
      </c>
      <c r="B2503" s="10">
        <f t="shared" ca="1" si="38"/>
        <v>7.624086649655018E-2</v>
      </c>
      <c r="C2503" s="10">
        <f ca="1">NPV(B2503,Project_FCF!C18:J18)+Project_FCF!B18</f>
        <v>970.45874233509085</v>
      </c>
      <c r="D2503" s="4"/>
      <c r="E2503" s="4"/>
    </row>
    <row r="2504" spans="1:5" x14ac:dyDescent="0.3">
      <c r="A2504" s="9">
        <v>2496</v>
      </c>
      <c r="B2504" s="10">
        <f t="shared" ca="1" si="38"/>
        <v>6.9158510530706985E-2</v>
      </c>
      <c r="C2504" s="10">
        <f ca="1">NPV(B2504,Project_FCF!C18:J18)+Project_FCF!B18</f>
        <v>1033.6430664729171</v>
      </c>
      <c r="D2504" s="4"/>
      <c r="E2504" s="4"/>
    </row>
    <row r="2505" spans="1:5" x14ac:dyDescent="0.3">
      <c r="A2505" s="9">
        <v>2497</v>
      </c>
      <c r="B2505" s="10">
        <f t="shared" ref="B2505:B2568" ca="1" si="39">$B$4+RAND()*($B$5-$B$4)</f>
        <v>9.583355403930989E-2</v>
      </c>
      <c r="C2505" s="10">
        <f ca="1">NPV(B2505,Project_FCF!C18:J18)+Project_FCF!B18</f>
        <v>813.09126921924872</v>
      </c>
      <c r="D2505" s="4"/>
      <c r="E2505" s="4"/>
    </row>
    <row r="2506" spans="1:5" x14ac:dyDescent="0.3">
      <c r="A2506" s="9">
        <v>2498</v>
      </c>
      <c r="B2506" s="10">
        <f t="shared" ca="1" si="39"/>
        <v>0.10158337563068946</v>
      </c>
      <c r="C2506" s="10">
        <f ca="1">NPV(B2506,Project_FCF!C18:J18)+Project_FCF!B18</f>
        <v>771.31774023735625</v>
      </c>
      <c r="D2506" s="4"/>
      <c r="E2506" s="4"/>
    </row>
    <row r="2507" spans="1:5" x14ac:dyDescent="0.3">
      <c r="A2507" s="9">
        <v>2499</v>
      </c>
      <c r="B2507" s="10">
        <f t="shared" ca="1" si="39"/>
        <v>8.3301826452804914E-2</v>
      </c>
      <c r="C2507" s="10">
        <f ca="1">NPV(B2507,Project_FCF!C18:J18)+Project_FCF!B18</f>
        <v>910.91969545893926</v>
      </c>
      <c r="D2507" s="4"/>
      <c r="E2507" s="4"/>
    </row>
    <row r="2508" spans="1:5" x14ac:dyDescent="0.3">
      <c r="A2508" s="9">
        <v>2500</v>
      </c>
      <c r="B2508" s="10">
        <f t="shared" ca="1" si="39"/>
        <v>7.5463832044181278E-2</v>
      </c>
      <c r="C2508" s="10">
        <f ca="1">NPV(B2508,Project_FCF!C18:J18)+Project_FCF!B18</f>
        <v>977.2174593967984</v>
      </c>
      <c r="D2508" s="4"/>
      <c r="E2508" s="4"/>
    </row>
    <row r="2509" spans="1:5" x14ac:dyDescent="0.3">
      <c r="A2509" s="9">
        <v>2501</v>
      </c>
      <c r="B2509" s="10">
        <f t="shared" ca="1" si="39"/>
        <v>7.4087546870917814E-2</v>
      </c>
      <c r="C2509" s="10">
        <f ca="1">NPV(B2509,Project_FCF!C18:J18)+Project_FCF!B18</f>
        <v>989.29189314935479</v>
      </c>
      <c r="D2509" s="4"/>
      <c r="E2509" s="4"/>
    </row>
    <row r="2510" spans="1:5" x14ac:dyDescent="0.3">
      <c r="A2510" s="9">
        <v>2502</v>
      </c>
      <c r="B2510" s="10">
        <f t="shared" ca="1" si="39"/>
        <v>9.7247557228965442E-2</v>
      </c>
      <c r="C2510" s="10">
        <f ca="1">NPV(B2510,Project_FCF!C18:J18)+Project_FCF!B18</f>
        <v>802.64419987999054</v>
      </c>
      <c r="D2510" s="4"/>
      <c r="E2510" s="4"/>
    </row>
    <row r="2511" spans="1:5" x14ac:dyDescent="0.3">
      <c r="A2511" s="9">
        <v>2503</v>
      </c>
      <c r="B2511" s="10">
        <f t="shared" ca="1" si="39"/>
        <v>9.7188079736245186E-2</v>
      </c>
      <c r="C2511" s="10">
        <f ca="1">NPV(B2511,Project_FCF!C18:J18)+Project_FCF!B18</f>
        <v>803.08131978179404</v>
      </c>
      <c r="D2511" s="4"/>
      <c r="E2511" s="4"/>
    </row>
    <row r="2512" spans="1:5" x14ac:dyDescent="0.3">
      <c r="A2512" s="9">
        <v>2504</v>
      </c>
      <c r="B2512" s="10">
        <f t="shared" ca="1" si="39"/>
        <v>6.8554314082453424E-2</v>
      </c>
      <c r="C2512" s="10">
        <f ca="1">NPV(B2512,Project_FCF!C18:J18)+Project_FCF!B18</f>
        <v>1039.2012700156665</v>
      </c>
      <c r="D2512" s="4"/>
      <c r="E2512" s="4"/>
    </row>
    <row r="2513" spans="1:5" x14ac:dyDescent="0.3">
      <c r="A2513" s="9">
        <v>2505</v>
      </c>
      <c r="B2513" s="10">
        <f t="shared" ca="1" si="39"/>
        <v>9.9417206435762545E-2</v>
      </c>
      <c r="C2513" s="10">
        <f ca="1">NPV(B2513,Project_FCF!C18:J18)+Project_FCF!B18</f>
        <v>786.83636699477211</v>
      </c>
      <c r="D2513" s="4"/>
      <c r="E2513" s="4"/>
    </row>
    <row r="2514" spans="1:5" x14ac:dyDescent="0.3">
      <c r="A2514" s="9">
        <v>2506</v>
      </c>
      <c r="B2514" s="10">
        <f t="shared" ca="1" si="39"/>
        <v>9.2504339262890978E-2</v>
      </c>
      <c r="C2514" s="10">
        <f ca="1">NPV(B2514,Project_FCF!C18:J18)+Project_FCF!B18</f>
        <v>838.14904109233612</v>
      </c>
      <c r="D2514" s="4"/>
      <c r="E2514" s="4"/>
    </row>
    <row r="2515" spans="1:5" x14ac:dyDescent="0.3">
      <c r="A2515" s="9">
        <v>2507</v>
      </c>
      <c r="B2515" s="10">
        <f t="shared" ca="1" si="39"/>
        <v>0.10371524583562457</v>
      </c>
      <c r="C2515" s="10">
        <f ca="1">NPV(B2515,Project_FCF!C18:J18)+Project_FCF!B18</f>
        <v>756.2973813082358</v>
      </c>
      <c r="D2515" s="4"/>
      <c r="E2515" s="4"/>
    </row>
    <row r="2516" spans="1:5" x14ac:dyDescent="0.3">
      <c r="A2516" s="9">
        <v>2508</v>
      </c>
      <c r="B2516" s="10">
        <f t="shared" ca="1" si="39"/>
        <v>9.4246719218775601E-2</v>
      </c>
      <c r="C2516" s="10">
        <f ca="1">NPV(B2516,Project_FCF!C18:J18)+Project_FCF!B18</f>
        <v>824.95343164513997</v>
      </c>
      <c r="D2516" s="4"/>
      <c r="E2516" s="4"/>
    </row>
    <row r="2517" spans="1:5" x14ac:dyDescent="0.3">
      <c r="A2517" s="9">
        <v>2509</v>
      </c>
      <c r="B2517" s="10">
        <f t="shared" ca="1" si="39"/>
        <v>8.7011816647558457E-2</v>
      </c>
      <c r="C2517" s="10">
        <f ca="1">NPV(B2517,Project_FCF!C18:J18)+Project_FCF!B18</f>
        <v>880.94617805758708</v>
      </c>
      <c r="D2517" s="4"/>
      <c r="E2517" s="4"/>
    </row>
    <row r="2518" spans="1:5" x14ac:dyDescent="0.3">
      <c r="A2518" s="9">
        <v>2510</v>
      </c>
      <c r="B2518" s="10">
        <f t="shared" ca="1" si="39"/>
        <v>7.4593093188314641E-2</v>
      </c>
      <c r="C2518" s="10">
        <f ca="1">NPV(B2518,Project_FCF!C18:J18)+Project_FCF!B18</f>
        <v>984.84119886917392</v>
      </c>
      <c r="D2518" s="4"/>
      <c r="E2518" s="4"/>
    </row>
    <row r="2519" spans="1:5" x14ac:dyDescent="0.3">
      <c r="A2519" s="9">
        <v>2511</v>
      </c>
      <c r="B2519" s="10">
        <f t="shared" ca="1" si="39"/>
        <v>9.7258111004413755E-2</v>
      </c>
      <c r="C2519" s="10">
        <f ca="1">NPV(B2519,Project_FCF!C18:J18)+Project_FCF!B18</f>
        <v>802.56665783818562</v>
      </c>
      <c r="D2519" s="4"/>
      <c r="E2519" s="4"/>
    </row>
    <row r="2520" spans="1:5" x14ac:dyDescent="0.3">
      <c r="A2520" s="9">
        <v>2512</v>
      </c>
      <c r="B2520" s="10">
        <f t="shared" ca="1" si="39"/>
        <v>9.1918021376402689E-2</v>
      </c>
      <c r="C2520" s="10">
        <f ca="1">NPV(B2520,Project_FCF!C18:J18)+Project_FCF!B18</f>
        <v>842.63006295701939</v>
      </c>
      <c r="D2520" s="4"/>
      <c r="E2520" s="4"/>
    </row>
    <row r="2521" spans="1:5" x14ac:dyDescent="0.3">
      <c r="A2521" s="9">
        <v>2513</v>
      </c>
      <c r="B2521" s="10">
        <f t="shared" ca="1" si="39"/>
        <v>8.1920342487559805E-2</v>
      </c>
      <c r="C2521" s="10">
        <f ca="1">NPV(B2521,Project_FCF!C18:J18)+Project_FCF!B18</f>
        <v>922.30748541438311</v>
      </c>
      <c r="D2521" s="4"/>
      <c r="E2521" s="4"/>
    </row>
    <row r="2522" spans="1:5" x14ac:dyDescent="0.3">
      <c r="A2522" s="9">
        <v>2514</v>
      </c>
      <c r="B2522" s="10">
        <f t="shared" ca="1" si="39"/>
        <v>7.8877670073527389E-2</v>
      </c>
      <c r="C2522" s="10">
        <f ca="1">NPV(B2522,Project_FCF!C18:J18)+Project_FCF!B18</f>
        <v>947.83307885563659</v>
      </c>
      <c r="D2522" s="4"/>
      <c r="E2522" s="4"/>
    </row>
    <row r="2523" spans="1:5" x14ac:dyDescent="0.3">
      <c r="A2523" s="9">
        <v>2515</v>
      </c>
      <c r="B2523" s="10">
        <f t="shared" ca="1" si="39"/>
        <v>6.5588823532312365E-2</v>
      </c>
      <c r="C2523" s="10">
        <f ca="1">NPV(B2523,Project_FCF!C18:J18)+Project_FCF!B18</f>
        <v>1066.8771698609639</v>
      </c>
      <c r="D2523" s="4"/>
      <c r="E2523" s="4"/>
    </row>
    <row r="2524" spans="1:5" x14ac:dyDescent="0.3">
      <c r="A2524" s="9">
        <v>2516</v>
      </c>
      <c r="B2524" s="10">
        <f t="shared" ca="1" si="39"/>
        <v>0.10357131971615419</v>
      </c>
      <c r="C2524" s="10">
        <f ca="1">NPV(B2524,Project_FCF!C18:J18)+Project_FCF!B18</f>
        <v>757.30364091828847</v>
      </c>
      <c r="D2524" s="4"/>
      <c r="E2524" s="4"/>
    </row>
    <row r="2525" spans="1:5" x14ac:dyDescent="0.3">
      <c r="A2525" s="9">
        <v>2517</v>
      </c>
      <c r="B2525" s="10">
        <f t="shared" ca="1" si="39"/>
        <v>6.8264389355834981E-2</v>
      </c>
      <c r="C2525" s="10">
        <f ca="1">NPV(B2525,Project_FCF!C18:J18)+Project_FCF!B18</f>
        <v>1041.8779867306062</v>
      </c>
      <c r="D2525" s="4"/>
      <c r="E2525" s="4"/>
    </row>
    <row r="2526" spans="1:5" x14ac:dyDescent="0.3">
      <c r="A2526" s="9">
        <v>2518</v>
      </c>
      <c r="B2526" s="10">
        <f t="shared" ca="1" si="39"/>
        <v>9.9269133600553103E-2</v>
      </c>
      <c r="C2526" s="10">
        <f ca="1">NPV(B2526,Project_FCF!C18:J18)+Project_FCF!B18</f>
        <v>787.90674308822372</v>
      </c>
      <c r="D2526" s="4"/>
      <c r="E2526" s="4"/>
    </row>
    <row r="2527" spans="1:5" x14ac:dyDescent="0.3">
      <c r="A2527" s="9">
        <v>2519</v>
      </c>
      <c r="B2527" s="10">
        <f t="shared" ca="1" si="39"/>
        <v>6.4499858491149517E-2</v>
      </c>
      <c r="C2527" s="10">
        <f ca="1">NPV(B2527,Project_FCF!C18:J18)+Project_FCF!B18</f>
        <v>1077.2073657659844</v>
      </c>
      <c r="D2527" s="4"/>
      <c r="E2527" s="4"/>
    </row>
    <row r="2528" spans="1:5" x14ac:dyDescent="0.3">
      <c r="A2528" s="9">
        <v>2520</v>
      </c>
      <c r="B2528" s="10">
        <f t="shared" ca="1" si="39"/>
        <v>9.2421994593780393E-2</v>
      </c>
      <c r="C2528" s="10">
        <f ca="1">NPV(B2528,Project_FCF!C18:J18)+Project_FCF!B18</f>
        <v>838.77713037585636</v>
      </c>
      <c r="D2528" s="4"/>
      <c r="E2528" s="4"/>
    </row>
    <row r="2529" spans="1:5" x14ac:dyDescent="0.3">
      <c r="A2529" s="9">
        <v>2521</v>
      </c>
      <c r="B2529" s="10">
        <f t="shared" ca="1" si="39"/>
        <v>9.4231928886580552E-2</v>
      </c>
      <c r="C2529" s="10">
        <f ca="1">NPV(B2529,Project_FCF!C18:J18)+Project_FCF!B18</f>
        <v>825.06468818903909</v>
      </c>
      <c r="D2529" s="4"/>
      <c r="E2529" s="4"/>
    </row>
    <row r="2530" spans="1:5" x14ac:dyDescent="0.3">
      <c r="A2530" s="9">
        <v>2522</v>
      </c>
      <c r="B2530" s="10">
        <f t="shared" ca="1" si="39"/>
        <v>9.2603760326919804E-2</v>
      </c>
      <c r="C2530" s="10">
        <f ca="1">NPV(B2530,Project_FCF!C18:J18)+Project_FCF!B18</f>
        <v>837.39124029714048</v>
      </c>
      <c r="D2530" s="4"/>
      <c r="E2530" s="4"/>
    </row>
    <row r="2531" spans="1:5" x14ac:dyDescent="0.3">
      <c r="A2531" s="9">
        <v>2523</v>
      </c>
      <c r="B2531" s="10">
        <f t="shared" ca="1" si="39"/>
        <v>8.2891434172740308E-2</v>
      </c>
      <c r="C2531" s="10">
        <f ca="1">NPV(B2531,Project_FCF!C18:J18)+Project_FCF!B18</f>
        <v>914.28962609261407</v>
      </c>
      <c r="D2531" s="4"/>
      <c r="E2531" s="4"/>
    </row>
    <row r="2532" spans="1:5" x14ac:dyDescent="0.3">
      <c r="A2532" s="9">
        <v>2524</v>
      </c>
      <c r="B2532" s="10">
        <f t="shared" ca="1" si="39"/>
        <v>7.2230945339277638E-2</v>
      </c>
      <c r="C2532" s="10">
        <f ca="1">NPV(B2532,Project_FCF!C18:J18)+Project_FCF!B18</f>
        <v>1005.7921747255432</v>
      </c>
      <c r="D2532" s="4"/>
      <c r="E2532" s="4"/>
    </row>
    <row r="2533" spans="1:5" x14ac:dyDescent="0.3">
      <c r="A2533" s="9">
        <v>2525</v>
      </c>
      <c r="B2533" s="10">
        <f t="shared" ca="1" si="39"/>
        <v>7.4689326291529343E-2</v>
      </c>
      <c r="C2533" s="10">
        <f ca="1">NPV(B2533,Project_FCF!C18:J18)+Project_FCF!B18</f>
        <v>983.99602338140198</v>
      </c>
      <c r="D2533" s="4"/>
      <c r="E2533" s="4"/>
    </row>
    <row r="2534" spans="1:5" x14ac:dyDescent="0.3">
      <c r="A2534" s="9">
        <v>2526</v>
      </c>
      <c r="B2534" s="10">
        <f t="shared" ca="1" si="39"/>
        <v>7.3611041680962386E-2</v>
      </c>
      <c r="C2534" s="10">
        <f ca="1">NPV(B2534,Project_FCF!C18:J18)+Project_FCF!B18</f>
        <v>993.5034144759984</v>
      </c>
      <c r="D2534" s="4"/>
      <c r="E2534" s="4"/>
    </row>
    <row r="2535" spans="1:5" x14ac:dyDescent="0.3">
      <c r="A2535" s="9">
        <v>2527</v>
      </c>
      <c r="B2535" s="10">
        <f t="shared" ca="1" si="39"/>
        <v>7.2732369049669177E-2</v>
      </c>
      <c r="C2535" s="10">
        <f ca="1">NPV(B2535,Project_FCF!C18:J18)+Project_FCF!B18</f>
        <v>1001.3116505031364</v>
      </c>
      <c r="D2535" s="4"/>
      <c r="E2535" s="4"/>
    </row>
    <row r="2536" spans="1:5" x14ac:dyDescent="0.3">
      <c r="A2536" s="9">
        <v>2528</v>
      </c>
      <c r="B2536" s="10">
        <f t="shared" ca="1" si="39"/>
        <v>6.9646795563750225E-2</v>
      </c>
      <c r="C2536" s="10">
        <f ca="1">NPV(B2536,Project_FCF!C18:J18)+Project_FCF!B18</f>
        <v>1029.1708486700365</v>
      </c>
      <c r="D2536" s="4"/>
      <c r="E2536" s="4"/>
    </row>
    <row r="2537" spans="1:5" x14ac:dyDescent="0.3">
      <c r="A2537" s="9">
        <v>2529</v>
      </c>
      <c r="B2537" s="10">
        <f t="shared" ca="1" si="39"/>
        <v>6.9830440607627303E-2</v>
      </c>
      <c r="C2537" s="10">
        <f ca="1">NPV(B2537,Project_FCF!C18:J18)+Project_FCF!B18</f>
        <v>1027.4933723411816</v>
      </c>
      <c r="D2537" s="4"/>
      <c r="E2537" s="4"/>
    </row>
    <row r="2538" spans="1:5" x14ac:dyDescent="0.3">
      <c r="A2538" s="9">
        <v>2530</v>
      </c>
      <c r="B2538" s="10">
        <f t="shared" ca="1" si="39"/>
        <v>8.0719088198679387E-2</v>
      </c>
      <c r="C2538" s="10">
        <f ca="1">NPV(B2538,Project_FCF!C18:J18)+Project_FCF!B18</f>
        <v>932.31146244399679</v>
      </c>
      <c r="D2538" s="4"/>
      <c r="E2538" s="4"/>
    </row>
    <row r="2539" spans="1:5" x14ac:dyDescent="0.3">
      <c r="A2539" s="9">
        <v>2531</v>
      </c>
      <c r="B2539" s="10">
        <f t="shared" ca="1" si="39"/>
        <v>8.0721482134026523E-2</v>
      </c>
      <c r="C2539" s="10">
        <f ca="1">NPV(B2539,Project_FCF!C18:J18)+Project_FCF!B18</f>
        <v>932.29143093945845</v>
      </c>
      <c r="D2539" s="4"/>
      <c r="E2539" s="4"/>
    </row>
    <row r="2540" spans="1:5" x14ac:dyDescent="0.3">
      <c r="A2540" s="9">
        <v>2532</v>
      </c>
      <c r="B2540" s="10">
        <f t="shared" ca="1" si="39"/>
        <v>9.3461441787814778E-2</v>
      </c>
      <c r="C2540" s="10">
        <f ca="1">NPV(B2540,Project_FCF!C18:J18)+Project_FCF!B18</f>
        <v>830.87832070793706</v>
      </c>
      <c r="D2540" s="4"/>
      <c r="E2540" s="4"/>
    </row>
    <row r="2541" spans="1:5" x14ac:dyDescent="0.3">
      <c r="A2541" s="9">
        <v>2533</v>
      </c>
      <c r="B2541" s="10">
        <f t="shared" ca="1" si="39"/>
        <v>6.8163381090556682E-2</v>
      </c>
      <c r="C2541" s="10">
        <f ca="1">NPV(B2541,Project_FCF!C18:J18)+Project_FCF!B18</f>
        <v>1042.8120081316677</v>
      </c>
      <c r="D2541" s="4"/>
      <c r="E2541" s="4"/>
    </row>
    <row r="2542" spans="1:5" x14ac:dyDescent="0.3">
      <c r="A2542" s="9">
        <v>2534</v>
      </c>
      <c r="B2542" s="10">
        <f t="shared" ca="1" si="39"/>
        <v>8.518793914038067E-2</v>
      </c>
      <c r="C2542" s="10">
        <f ca="1">NPV(B2542,Project_FCF!C18:J18)+Project_FCF!B18</f>
        <v>895.57179577745387</v>
      </c>
      <c r="D2542" s="4"/>
      <c r="E2542" s="4"/>
    </row>
    <row r="2543" spans="1:5" x14ac:dyDescent="0.3">
      <c r="A2543" s="9">
        <v>2535</v>
      </c>
      <c r="B2543" s="10">
        <f t="shared" ca="1" si="39"/>
        <v>7.2504516464862542E-2</v>
      </c>
      <c r="C2543" s="10">
        <f ca="1">NPV(B2543,Project_FCF!C18:J18)+Project_FCF!B18</f>
        <v>1003.3454213081238</v>
      </c>
      <c r="D2543" s="4"/>
      <c r="E2543" s="4"/>
    </row>
    <row r="2544" spans="1:5" x14ac:dyDescent="0.3">
      <c r="A2544" s="9">
        <v>2536</v>
      </c>
      <c r="B2544" s="10">
        <f t="shared" ca="1" si="39"/>
        <v>9.4286955637165396E-2</v>
      </c>
      <c r="C2544" s="10">
        <f ca="1">NPV(B2544,Project_FCF!C18:J18)+Project_FCF!B18</f>
        <v>824.65082844961876</v>
      </c>
      <c r="D2544" s="4"/>
      <c r="E2544" s="4"/>
    </row>
    <row r="2545" spans="1:5" x14ac:dyDescent="0.3">
      <c r="A2545" s="9">
        <v>2537</v>
      </c>
      <c r="B2545" s="10">
        <f t="shared" ca="1" si="39"/>
        <v>9.6315576794382379E-2</v>
      </c>
      <c r="C2545" s="10">
        <f ca="1">NPV(B2545,Project_FCF!C18:J18)+Project_FCF!B18</f>
        <v>809.51698948195758</v>
      </c>
      <c r="D2545" s="4"/>
      <c r="E2545" s="4"/>
    </row>
    <row r="2546" spans="1:5" x14ac:dyDescent="0.3">
      <c r="A2546" s="9">
        <v>2538</v>
      </c>
      <c r="B2546" s="10">
        <f t="shared" ca="1" si="39"/>
        <v>9.9527520616264853E-2</v>
      </c>
      <c r="C2546" s="10">
        <f ca="1">NPV(B2546,Project_FCF!C18:J18)+Project_FCF!B18</f>
        <v>786.03973820081342</v>
      </c>
      <c r="D2546" s="4"/>
      <c r="E2546" s="4"/>
    </row>
    <row r="2547" spans="1:5" x14ac:dyDescent="0.3">
      <c r="A2547" s="9">
        <v>2539</v>
      </c>
      <c r="B2547" s="10">
        <f t="shared" ca="1" si="39"/>
        <v>8.370476580157972E-2</v>
      </c>
      <c r="C2547" s="10">
        <f ca="1">NPV(B2547,Project_FCF!C18:J18)+Project_FCF!B18</f>
        <v>907.62159570312633</v>
      </c>
      <c r="D2547" s="4"/>
      <c r="E2547" s="4"/>
    </row>
    <row r="2548" spans="1:5" x14ac:dyDescent="0.3">
      <c r="A2548" s="9">
        <v>2540</v>
      </c>
      <c r="B2548" s="10">
        <f t="shared" ca="1" si="39"/>
        <v>6.8832916069293676E-2</v>
      </c>
      <c r="C2548" s="10">
        <f ca="1">NPV(B2548,Project_FCF!C18:J18)+Project_FCF!B18</f>
        <v>1036.6349633785578</v>
      </c>
      <c r="D2548" s="4"/>
      <c r="E2548" s="4"/>
    </row>
    <row r="2549" spans="1:5" x14ac:dyDescent="0.3">
      <c r="A2549" s="9">
        <v>2541</v>
      </c>
      <c r="B2549" s="10">
        <f t="shared" ca="1" si="39"/>
        <v>7.6883486586561453E-2</v>
      </c>
      <c r="C2549" s="10">
        <f ca="1">NPV(B2549,Project_FCF!C18:J18)+Project_FCF!B18</f>
        <v>964.90072952255173</v>
      </c>
      <c r="D2549" s="4"/>
      <c r="E2549" s="4"/>
    </row>
    <row r="2550" spans="1:5" x14ac:dyDescent="0.3">
      <c r="A2550" s="9">
        <v>2542</v>
      </c>
      <c r="B2550" s="10">
        <f t="shared" ca="1" si="39"/>
        <v>6.9017332924723229E-2</v>
      </c>
      <c r="C2550" s="10">
        <f ca="1">NPV(B2550,Project_FCF!C18:J18)+Project_FCF!B18</f>
        <v>1034.9393901199385</v>
      </c>
      <c r="D2550" s="4"/>
      <c r="E2550" s="4"/>
    </row>
    <row r="2551" spans="1:5" x14ac:dyDescent="0.3">
      <c r="A2551" s="9">
        <v>2543</v>
      </c>
      <c r="B2551" s="10">
        <f t="shared" ca="1" si="39"/>
        <v>7.6641569191016459E-2</v>
      </c>
      <c r="C2551" s="10">
        <f ca="1">NPV(B2551,Project_FCF!C18:J18)+Project_FCF!B18</f>
        <v>966.98972887111427</v>
      </c>
      <c r="D2551" s="4"/>
      <c r="E2551" s="4"/>
    </row>
    <row r="2552" spans="1:5" x14ac:dyDescent="0.3">
      <c r="A2552" s="9">
        <v>2544</v>
      </c>
      <c r="B2552" s="10">
        <f t="shared" ca="1" si="39"/>
        <v>8.6963829577941909E-2</v>
      </c>
      <c r="C2552" s="10">
        <f ca="1">NPV(B2552,Project_FCF!C18:J18)+Project_FCF!B18</f>
        <v>881.32829605028087</v>
      </c>
      <c r="D2552" s="4"/>
      <c r="E2552" s="4"/>
    </row>
    <row r="2553" spans="1:5" x14ac:dyDescent="0.3">
      <c r="A2553" s="9">
        <v>2545</v>
      </c>
      <c r="B2553" s="10">
        <f t="shared" ca="1" si="39"/>
        <v>6.4528178886039816E-2</v>
      </c>
      <c r="C2553" s="10">
        <f ca="1">NPV(B2553,Project_FCF!C18:J18)+Project_FCF!B18</f>
        <v>1076.9375594086985</v>
      </c>
      <c r="D2553" s="4"/>
      <c r="E2553" s="4"/>
    </row>
    <row r="2554" spans="1:5" x14ac:dyDescent="0.3">
      <c r="A2554" s="9">
        <v>2546</v>
      </c>
      <c r="B2554" s="10">
        <f t="shared" ca="1" si="39"/>
        <v>8.1073069081391946E-2</v>
      </c>
      <c r="C2554" s="10">
        <f ca="1">NPV(B2554,Project_FCF!C18:J18)+Project_FCF!B18</f>
        <v>929.35361819399236</v>
      </c>
      <c r="D2554" s="4"/>
      <c r="E2554" s="4"/>
    </row>
    <row r="2555" spans="1:5" x14ac:dyDescent="0.3">
      <c r="A2555" s="9">
        <v>2547</v>
      </c>
      <c r="B2555" s="10">
        <f t="shared" ca="1" si="39"/>
        <v>6.468868551453566E-2</v>
      </c>
      <c r="C2555" s="10">
        <f ca="1">NPV(B2555,Project_FCF!C18:J18)+Project_FCF!B18</f>
        <v>1075.4095898842329</v>
      </c>
      <c r="D2555" s="4"/>
      <c r="E2555" s="4"/>
    </row>
    <row r="2556" spans="1:5" x14ac:dyDescent="0.3">
      <c r="A2556" s="9">
        <v>2548</v>
      </c>
      <c r="B2556" s="10">
        <f t="shared" ca="1" si="39"/>
        <v>8.7243966978041904E-2</v>
      </c>
      <c r="C2556" s="10">
        <f ca="1">NPV(B2556,Project_FCF!C18:J18)+Project_FCF!B18</f>
        <v>879.09961904949137</v>
      </c>
      <c r="D2556" s="4"/>
      <c r="E2556" s="4"/>
    </row>
    <row r="2557" spans="1:5" x14ac:dyDescent="0.3">
      <c r="A2557" s="9">
        <v>2549</v>
      </c>
      <c r="B2557" s="10">
        <f t="shared" ca="1" si="39"/>
        <v>8.3731247379680115E-2</v>
      </c>
      <c r="C2557" s="10">
        <f ca="1">NPV(B2557,Project_FCF!C18:J18)+Project_FCF!B18</f>
        <v>907.40520924666362</v>
      </c>
      <c r="D2557" s="4"/>
      <c r="E2557" s="4"/>
    </row>
    <row r="2558" spans="1:5" x14ac:dyDescent="0.3">
      <c r="A2558" s="9">
        <v>2550</v>
      </c>
      <c r="B2558" s="10">
        <f t="shared" ca="1" si="39"/>
        <v>9.3459131056821201E-2</v>
      </c>
      <c r="C2558" s="10">
        <f ca="1">NPV(B2558,Project_FCF!C18:J18)+Project_FCF!B18</f>
        <v>830.89580886413773</v>
      </c>
      <c r="D2558" s="4"/>
      <c r="E2558" s="4"/>
    </row>
    <row r="2559" spans="1:5" x14ac:dyDescent="0.3">
      <c r="A2559" s="9">
        <v>2551</v>
      </c>
      <c r="B2559" s="10">
        <f t="shared" ca="1" si="39"/>
        <v>6.7025541021759436E-2</v>
      </c>
      <c r="C2559" s="10">
        <f ca="1">NPV(B2559,Project_FCF!C18:J18)+Project_FCF!B18</f>
        <v>1053.3862139326629</v>
      </c>
      <c r="D2559" s="4"/>
      <c r="E2559" s="4"/>
    </row>
    <row r="2560" spans="1:5" x14ac:dyDescent="0.3">
      <c r="A2560" s="9">
        <v>2552</v>
      </c>
      <c r="B2560" s="10">
        <f t="shared" ca="1" si="39"/>
        <v>8.656490065877144E-2</v>
      </c>
      <c r="C2560" s="10">
        <f ca="1">NPV(B2560,Project_FCF!C18:J18)+Project_FCF!B18</f>
        <v>884.51054389627052</v>
      </c>
      <c r="D2560" s="4"/>
      <c r="E2560" s="4"/>
    </row>
    <row r="2561" spans="1:5" x14ac:dyDescent="0.3">
      <c r="A2561" s="9">
        <v>2553</v>
      </c>
      <c r="B2561" s="10">
        <f t="shared" ca="1" si="39"/>
        <v>9.0036323720193087E-2</v>
      </c>
      <c r="C2561" s="10">
        <f ca="1">NPV(B2561,Project_FCF!C18:J18)+Project_FCF!B18</f>
        <v>857.15121134575088</v>
      </c>
      <c r="D2561" s="4"/>
      <c r="E2561" s="4"/>
    </row>
    <row r="2562" spans="1:5" x14ac:dyDescent="0.3">
      <c r="A2562" s="9">
        <v>2554</v>
      </c>
      <c r="B2562" s="10">
        <f t="shared" ca="1" si="39"/>
        <v>8.4412590413149496E-2</v>
      </c>
      <c r="C2562" s="10">
        <f ca="1">NPV(B2562,Project_FCF!C18:J18)+Project_FCF!B18</f>
        <v>901.85336774285634</v>
      </c>
      <c r="D2562" s="4"/>
      <c r="E2562" s="4"/>
    </row>
    <row r="2563" spans="1:5" x14ac:dyDescent="0.3">
      <c r="A2563" s="9">
        <v>2555</v>
      </c>
      <c r="B2563" s="10">
        <f t="shared" ca="1" si="39"/>
        <v>8.4379254649258079E-2</v>
      </c>
      <c r="C2563" s="10">
        <f ca="1">NPV(B2563,Project_FCF!C18:J18)+Project_FCF!B18</f>
        <v>902.12430493216243</v>
      </c>
      <c r="D2563" s="4"/>
      <c r="E2563" s="4"/>
    </row>
    <row r="2564" spans="1:5" x14ac:dyDescent="0.3">
      <c r="A2564" s="9">
        <v>2556</v>
      </c>
      <c r="B2564" s="10">
        <f t="shared" ca="1" si="39"/>
        <v>6.9186149714879658E-2</v>
      </c>
      <c r="C2564" s="10">
        <f ca="1">NPV(B2564,Project_FCF!C18:J18)+Project_FCF!B18</f>
        <v>1033.3894495616094</v>
      </c>
      <c r="D2564" s="4"/>
      <c r="E2564" s="4"/>
    </row>
    <row r="2565" spans="1:5" x14ac:dyDescent="0.3">
      <c r="A2565" s="9">
        <v>2557</v>
      </c>
      <c r="B2565" s="10">
        <f t="shared" ca="1" si="39"/>
        <v>6.9191675746120382E-2</v>
      </c>
      <c r="C2565" s="10">
        <f ca="1">NPV(B2565,Project_FCF!C18:J18)+Project_FCF!B18</f>
        <v>1033.3387495045413</v>
      </c>
      <c r="D2565" s="4"/>
      <c r="E2565" s="4"/>
    </row>
    <row r="2566" spans="1:5" x14ac:dyDescent="0.3">
      <c r="A2566" s="9">
        <v>2558</v>
      </c>
      <c r="B2566" s="10">
        <f t="shared" ca="1" si="39"/>
        <v>8.9759500066109624E-2</v>
      </c>
      <c r="C2566" s="10">
        <f ca="1">NPV(B2566,Project_FCF!C18:J18)+Project_FCF!B18</f>
        <v>859.30563244605833</v>
      </c>
      <c r="D2566" s="4"/>
      <c r="E2566" s="4"/>
    </row>
    <row r="2567" spans="1:5" x14ac:dyDescent="0.3">
      <c r="A2567" s="9">
        <v>2559</v>
      </c>
      <c r="B2567" s="10">
        <f t="shared" ca="1" si="39"/>
        <v>9.7543940510125243E-2</v>
      </c>
      <c r="C2567" s="10">
        <f ca="1">NPV(B2567,Project_FCF!C18:J18)+Project_FCF!B18</f>
        <v>800.46899873097641</v>
      </c>
      <c r="D2567" s="4"/>
      <c r="E2567" s="4"/>
    </row>
    <row r="2568" spans="1:5" x14ac:dyDescent="0.3">
      <c r="A2568" s="9">
        <v>2560</v>
      </c>
      <c r="B2568" s="10">
        <f t="shared" ca="1" si="39"/>
        <v>7.4104647214411012E-2</v>
      </c>
      <c r="C2568" s="10">
        <f ca="1">NPV(B2568,Project_FCF!C18:J18)+Project_FCF!B18</f>
        <v>989.14105228366975</v>
      </c>
      <c r="D2568" s="4"/>
      <c r="E2568" s="4"/>
    </row>
    <row r="2569" spans="1:5" x14ac:dyDescent="0.3">
      <c r="A2569" s="9">
        <v>2561</v>
      </c>
      <c r="B2569" s="10">
        <f t="shared" ref="B2569:B2632" ca="1" si="40">$B$4+RAND()*($B$5-$B$4)</f>
        <v>7.2911600667549398E-2</v>
      </c>
      <c r="C2569" s="10">
        <f ca="1">NPV(B2569,Project_FCF!C18:J18)+Project_FCF!B18</f>
        <v>999.71446635100483</v>
      </c>
      <c r="D2569" s="4"/>
      <c r="E2569" s="4"/>
    </row>
    <row r="2570" spans="1:5" x14ac:dyDescent="0.3">
      <c r="A2570" s="9">
        <v>2562</v>
      </c>
      <c r="B2570" s="10">
        <f t="shared" ca="1" si="40"/>
        <v>8.2142378703218735E-2</v>
      </c>
      <c r="C2570" s="10">
        <f ca="1">NPV(B2570,Project_FCF!C18:J18)+Project_FCF!B18</f>
        <v>920.46879089431422</v>
      </c>
      <c r="D2570" s="4"/>
      <c r="E2570" s="4"/>
    </row>
    <row r="2571" spans="1:5" x14ac:dyDescent="0.3">
      <c r="A2571" s="9">
        <v>2563</v>
      </c>
      <c r="B2571" s="10">
        <f t="shared" ca="1" si="40"/>
        <v>8.4858945905220251E-2</v>
      </c>
      <c r="C2571" s="10">
        <f ca="1">NPV(B2571,Project_FCF!C18:J18)+Project_FCF!B18</f>
        <v>898.23247122286625</v>
      </c>
      <c r="D2571" s="4"/>
      <c r="E2571" s="4"/>
    </row>
    <row r="2572" spans="1:5" x14ac:dyDescent="0.3">
      <c r="A2572" s="9">
        <v>2564</v>
      </c>
      <c r="B2572" s="10">
        <f t="shared" ca="1" si="40"/>
        <v>9.063670089535486E-2</v>
      </c>
      <c r="C2572" s="10">
        <f ca="1">NPV(B2572,Project_FCF!C18:J18)+Project_FCF!B18</f>
        <v>852.4947540543219</v>
      </c>
      <c r="D2572" s="4"/>
      <c r="E2572" s="4"/>
    </row>
    <row r="2573" spans="1:5" x14ac:dyDescent="0.3">
      <c r="A2573" s="9">
        <v>2565</v>
      </c>
      <c r="B2573" s="10">
        <f t="shared" ca="1" si="40"/>
        <v>7.7535101328097863E-2</v>
      </c>
      <c r="C2573" s="10">
        <f ca="1">NPV(B2573,Project_FCF!C18:J18)+Project_FCF!B18</f>
        <v>959.29391077043442</v>
      </c>
      <c r="D2573" s="4"/>
      <c r="E2573" s="4"/>
    </row>
    <row r="2574" spans="1:5" x14ac:dyDescent="0.3">
      <c r="A2574" s="9">
        <v>2566</v>
      </c>
      <c r="B2574" s="10">
        <f t="shared" ca="1" si="40"/>
        <v>9.8227779909391105E-2</v>
      </c>
      <c r="C2574" s="10">
        <f ca="1">NPV(B2574,Project_FCF!C18:J18)+Project_FCF!B18</f>
        <v>795.46932293812165</v>
      </c>
      <c r="D2574" s="4"/>
      <c r="E2574" s="4"/>
    </row>
    <row r="2575" spans="1:5" x14ac:dyDescent="0.3">
      <c r="A2575" s="9">
        <v>2567</v>
      </c>
      <c r="B2575" s="10">
        <f t="shared" ca="1" si="40"/>
        <v>8.97422451392349E-2</v>
      </c>
      <c r="C2575" s="10">
        <f ca="1">NPV(B2575,Project_FCF!C18:J18)+Project_FCF!B18</f>
        <v>859.44007669017628</v>
      </c>
      <c r="D2575" s="4"/>
      <c r="E2575" s="4"/>
    </row>
    <row r="2576" spans="1:5" x14ac:dyDescent="0.3">
      <c r="A2576" s="9">
        <v>2568</v>
      </c>
      <c r="B2576" s="10">
        <f t="shared" ca="1" si="40"/>
        <v>8.1296390283394526E-2</v>
      </c>
      <c r="C2576" s="10">
        <f ca="1">NPV(B2576,Project_FCF!C18:J18)+Project_FCF!B18</f>
        <v>927.4918275118207</v>
      </c>
      <c r="D2576" s="4"/>
      <c r="E2576" s="4"/>
    </row>
    <row r="2577" spans="1:5" x14ac:dyDescent="0.3">
      <c r="A2577" s="9">
        <v>2569</v>
      </c>
      <c r="B2577" s="10">
        <f t="shared" ca="1" si="40"/>
        <v>0.10081270457730776</v>
      </c>
      <c r="C2577" s="10">
        <f ca="1">NPV(B2577,Project_FCF!C18:J18)+Project_FCF!B18</f>
        <v>776.80899942506608</v>
      </c>
      <c r="D2577" s="4"/>
      <c r="E2577" s="4"/>
    </row>
    <row r="2578" spans="1:5" x14ac:dyDescent="0.3">
      <c r="A2578" s="9">
        <v>2570</v>
      </c>
      <c r="B2578" s="10">
        <f t="shared" ca="1" si="40"/>
        <v>7.62942439336705E-2</v>
      </c>
      <c r="C2578" s="10">
        <f ca="1">NPV(B2578,Project_FCF!C18:J18)+Project_FCF!B18</f>
        <v>969.99599639169446</v>
      </c>
      <c r="D2578" s="4"/>
      <c r="E2578" s="4"/>
    </row>
    <row r="2579" spans="1:5" x14ac:dyDescent="0.3">
      <c r="A2579" s="9">
        <v>2571</v>
      </c>
      <c r="B2579" s="10">
        <f t="shared" ca="1" si="40"/>
        <v>9.2198604137900111E-2</v>
      </c>
      <c r="C2579" s="10">
        <f ca="1">NPV(B2579,Project_FCF!C18:J18)+Project_FCF!B18</f>
        <v>840.48309805025065</v>
      </c>
      <c r="D2579" s="4"/>
      <c r="E2579" s="4"/>
    </row>
    <row r="2580" spans="1:5" x14ac:dyDescent="0.3">
      <c r="A2580" s="9">
        <v>2572</v>
      </c>
      <c r="B2580" s="10">
        <f t="shared" ca="1" si="40"/>
        <v>7.5531981450843375E-2</v>
      </c>
      <c r="C2580" s="10">
        <f ca="1">NPV(B2580,Project_FCF!C18:J18)+Project_FCF!B18</f>
        <v>976.6230117479779</v>
      </c>
      <c r="D2580" s="4"/>
      <c r="E2580" s="4"/>
    </row>
    <row r="2581" spans="1:5" x14ac:dyDescent="0.3">
      <c r="A2581" s="9">
        <v>2573</v>
      </c>
      <c r="B2581" s="10">
        <f t="shared" ca="1" si="40"/>
        <v>6.4279413438470032E-2</v>
      </c>
      <c r="C2581" s="10">
        <f ca="1">NPV(B2581,Project_FCF!C18:J18)+Project_FCF!B18</f>
        <v>1079.3096414212519</v>
      </c>
      <c r="D2581" s="4"/>
      <c r="E2581" s="4"/>
    </row>
    <row r="2582" spans="1:5" x14ac:dyDescent="0.3">
      <c r="A2582" s="9">
        <v>2574</v>
      </c>
      <c r="B2582" s="10">
        <f t="shared" ca="1" si="40"/>
        <v>9.7135821898180458E-2</v>
      </c>
      <c r="C2582" s="10">
        <f ca="1">NPV(B2582,Project_FCF!C18:J18)+Project_FCF!B18</f>
        <v>803.46554733613652</v>
      </c>
      <c r="D2582" s="4"/>
      <c r="E2582" s="4"/>
    </row>
    <row r="2583" spans="1:5" x14ac:dyDescent="0.3">
      <c r="A2583" s="9">
        <v>2575</v>
      </c>
      <c r="B2583" s="10">
        <f t="shared" ca="1" si="40"/>
        <v>8.9003875880857869E-2</v>
      </c>
      <c r="C2583" s="10">
        <f ca="1">NPV(B2583,Project_FCF!C18:J18)+Project_FCF!B18</f>
        <v>865.21030624847458</v>
      </c>
      <c r="D2583" s="4"/>
      <c r="E2583" s="4"/>
    </row>
    <row r="2584" spans="1:5" x14ac:dyDescent="0.3">
      <c r="A2584" s="9">
        <v>2576</v>
      </c>
      <c r="B2584" s="10">
        <f t="shared" ca="1" si="40"/>
        <v>9.694423891795334E-2</v>
      </c>
      <c r="C2584" s="10">
        <f ca="1">NPV(B2584,Project_FCF!C18:J18)+Project_FCF!B18</f>
        <v>804.87550748765216</v>
      </c>
      <c r="D2584" s="4"/>
      <c r="E2584" s="4"/>
    </row>
    <row r="2585" spans="1:5" x14ac:dyDescent="0.3">
      <c r="A2585" s="9">
        <v>2577</v>
      </c>
      <c r="B2585" s="10">
        <f t="shared" ca="1" si="40"/>
        <v>0.10010553984482393</v>
      </c>
      <c r="C2585" s="10">
        <f ca="1">NPV(B2585,Project_FCF!C18:J18)+Project_FCF!B18</f>
        <v>781.87674934487677</v>
      </c>
      <c r="D2585" s="4"/>
      <c r="E2585" s="4"/>
    </row>
    <row r="2586" spans="1:5" x14ac:dyDescent="0.3">
      <c r="A2586" s="9">
        <v>2578</v>
      </c>
      <c r="B2586" s="10">
        <f t="shared" ca="1" si="40"/>
        <v>0.10234343322194395</v>
      </c>
      <c r="C2586" s="10">
        <f ca="1">NPV(B2586,Project_FCF!C18:J18)+Project_FCF!B18</f>
        <v>765.93416872426315</v>
      </c>
      <c r="D2586" s="4"/>
      <c r="E2586" s="4"/>
    </row>
    <row r="2587" spans="1:5" x14ac:dyDescent="0.3">
      <c r="A2587" s="9">
        <v>2579</v>
      </c>
      <c r="B2587" s="10">
        <f t="shared" ca="1" si="40"/>
        <v>9.7805268930354045E-2</v>
      </c>
      <c r="C2587" s="10">
        <f ca="1">NPV(B2587,Project_FCF!C18:J18)+Project_FCF!B18</f>
        <v>798.55523367131059</v>
      </c>
      <c r="D2587" s="4"/>
      <c r="E2587" s="4"/>
    </row>
    <row r="2588" spans="1:5" x14ac:dyDescent="0.3">
      <c r="A2588" s="9">
        <v>2580</v>
      </c>
      <c r="B2588" s="10">
        <f t="shared" ca="1" si="40"/>
        <v>7.7823690772283946E-2</v>
      </c>
      <c r="C2588" s="10">
        <f ca="1">NPV(B2588,Project_FCF!C18:J18)+Project_FCF!B18</f>
        <v>956.82002523870096</v>
      </c>
      <c r="D2588" s="4"/>
      <c r="E2588" s="4"/>
    </row>
    <row r="2589" spans="1:5" x14ac:dyDescent="0.3">
      <c r="A2589" s="9">
        <v>2581</v>
      </c>
      <c r="B2589" s="10">
        <f t="shared" ca="1" si="40"/>
        <v>8.4482414429283573E-2</v>
      </c>
      <c r="C2589" s="10">
        <f ca="1">NPV(B2589,Project_FCF!C18:J18)+Project_FCF!B18</f>
        <v>901.28610275253527</v>
      </c>
      <c r="D2589" s="4"/>
      <c r="E2589" s="4"/>
    </row>
    <row r="2590" spans="1:5" x14ac:dyDescent="0.3">
      <c r="A2590" s="9">
        <v>2582</v>
      </c>
      <c r="B2590" s="10">
        <f t="shared" ca="1" si="40"/>
        <v>8.644195915745502E-2</v>
      </c>
      <c r="C2590" s="10">
        <f ca="1">NPV(B2590,Project_FCF!C18:J18)+Project_FCF!B18</f>
        <v>885.49326520205568</v>
      </c>
      <c r="D2590" s="4"/>
      <c r="E2590" s="4"/>
    </row>
    <row r="2591" spans="1:5" x14ac:dyDescent="0.3">
      <c r="A2591" s="9">
        <v>2583</v>
      </c>
      <c r="B2591" s="10">
        <f t="shared" ca="1" si="40"/>
        <v>8.2810003184465589E-2</v>
      </c>
      <c r="C2591" s="10">
        <f ca="1">NPV(B2591,Project_FCF!C18:J18)+Project_FCF!B18</f>
        <v>914.95959823595126</v>
      </c>
      <c r="D2591" s="4"/>
      <c r="E2591" s="4"/>
    </row>
    <row r="2592" spans="1:5" x14ac:dyDescent="0.3">
      <c r="A2592" s="9">
        <v>2584</v>
      </c>
      <c r="B2592" s="10">
        <f t="shared" ca="1" si="40"/>
        <v>9.1077595544833467E-2</v>
      </c>
      <c r="C2592" s="10">
        <f ca="1">NPV(B2592,Project_FCF!C18:J18)+Project_FCF!B18</f>
        <v>849.08917616908457</v>
      </c>
      <c r="D2592" s="4"/>
      <c r="E2592" s="4"/>
    </row>
    <row r="2593" spans="1:5" x14ac:dyDescent="0.3">
      <c r="A2593" s="9">
        <v>2585</v>
      </c>
      <c r="B2593" s="10">
        <f t="shared" ca="1" si="40"/>
        <v>7.4572632804804084E-2</v>
      </c>
      <c r="C2593" s="10">
        <f ca="1">NPV(B2593,Project_FCF!C18:J18)+Project_FCF!B18</f>
        <v>985.02097771868557</v>
      </c>
      <c r="D2593" s="4"/>
      <c r="E2593" s="4"/>
    </row>
    <row r="2594" spans="1:5" x14ac:dyDescent="0.3">
      <c r="A2594" s="9">
        <v>2586</v>
      </c>
      <c r="B2594" s="10">
        <f t="shared" ca="1" si="40"/>
        <v>9.4293024966204481E-2</v>
      </c>
      <c r="C2594" s="10">
        <f ca="1">NPV(B2594,Project_FCF!C18:J18)+Project_FCF!B18</f>
        <v>824.6051915383614</v>
      </c>
      <c r="D2594" s="4"/>
      <c r="E2594" s="4"/>
    </row>
    <row r="2595" spans="1:5" x14ac:dyDescent="0.3">
      <c r="A2595" s="9">
        <v>2587</v>
      </c>
      <c r="B2595" s="10">
        <f t="shared" ca="1" si="40"/>
        <v>0.10093985635298122</v>
      </c>
      <c r="C2595" s="10">
        <f ca="1">NPV(B2595,Project_FCF!C18:J18)+Project_FCF!B18</f>
        <v>775.90074105020767</v>
      </c>
      <c r="D2595" s="4"/>
      <c r="E2595" s="4"/>
    </row>
    <row r="2596" spans="1:5" x14ac:dyDescent="0.3">
      <c r="A2596" s="9">
        <v>2588</v>
      </c>
      <c r="B2596" s="10">
        <f t="shared" ca="1" si="40"/>
        <v>8.4438130005695805E-2</v>
      </c>
      <c r="C2596" s="10">
        <f ca="1">NPV(B2596,Project_FCF!C18:J18)+Project_FCF!B18</f>
        <v>901.64584240885165</v>
      </c>
      <c r="D2596" s="4"/>
      <c r="E2596" s="4"/>
    </row>
    <row r="2597" spans="1:5" x14ac:dyDescent="0.3">
      <c r="A2597" s="9">
        <v>2589</v>
      </c>
      <c r="B2597" s="10">
        <f t="shared" ca="1" si="40"/>
        <v>6.4984907919797455E-2</v>
      </c>
      <c r="C2597" s="10">
        <f ca="1">NPV(B2597,Project_FCF!C18:J18)+Project_FCF!B18</f>
        <v>1072.5948466569332</v>
      </c>
      <c r="D2597" s="4"/>
      <c r="E2597" s="4"/>
    </row>
    <row r="2598" spans="1:5" x14ac:dyDescent="0.3">
      <c r="A2598" s="9">
        <v>2590</v>
      </c>
      <c r="B2598" s="10">
        <f t="shared" ca="1" si="40"/>
        <v>9.3844996142830567E-2</v>
      </c>
      <c r="C2598" s="10">
        <f ca="1">NPV(B2598,Project_FCF!C18:J18)+Project_FCF!B18</f>
        <v>827.97986954179896</v>
      </c>
      <c r="D2598" s="4"/>
      <c r="E2598" s="4"/>
    </row>
    <row r="2599" spans="1:5" x14ac:dyDescent="0.3">
      <c r="A2599" s="9">
        <v>2591</v>
      </c>
      <c r="B2599" s="10">
        <f t="shared" ca="1" si="40"/>
        <v>8.3158092851917054E-2</v>
      </c>
      <c r="C2599" s="10">
        <f ca="1">NPV(B2599,Project_FCF!C18:J18)+Project_FCF!B18</f>
        <v>912.09871658918223</v>
      </c>
      <c r="D2599" s="4"/>
      <c r="E2599" s="4"/>
    </row>
    <row r="2600" spans="1:5" x14ac:dyDescent="0.3">
      <c r="A2600" s="9">
        <v>2592</v>
      </c>
      <c r="B2600" s="10">
        <f t="shared" ca="1" si="40"/>
        <v>8.3267653899513794E-2</v>
      </c>
      <c r="C2600" s="10">
        <f ca="1">NPV(B2600,Project_FCF!C18:J18)+Project_FCF!B18</f>
        <v>911.19988531226613</v>
      </c>
      <c r="D2600" s="4"/>
      <c r="E2600" s="4"/>
    </row>
    <row r="2601" spans="1:5" x14ac:dyDescent="0.3">
      <c r="A2601" s="9">
        <v>2593</v>
      </c>
      <c r="B2601" s="10">
        <f t="shared" ca="1" si="40"/>
        <v>9.5371169333954675E-2</v>
      </c>
      <c r="C2601" s="10">
        <f ca="1">NPV(B2601,Project_FCF!C18:J18)+Project_FCF!B18</f>
        <v>816.53259216167157</v>
      </c>
      <c r="D2601" s="4"/>
      <c r="E2601" s="4"/>
    </row>
    <row r="2602" spans="1:5" x14ac:dyDescent="0.3">
      <c r="A2602" s="9">
        <v>2594</v>
      </c>
      <c r="B2602" s="10">
        <f t="shared" ca="1" si="40"/>
        <v>0.10170156333833813</v>
      </c>
      <c r="C2602" s="10">
        <f ca="1">NPV(B2602,Project_FCF!C18:J18)+Project_FCF!B18</f>
        <v>770.47851850076177</v>
      </c>
      <c r="D2602" s="4"/>
      <c r="E2602" s="4"/>
    </row>
    <row r="2603" spans="1:5" x14ac:dyDescent="0.3">
      <c r="A2603" s="9">
        <v>2595</v>
      </c>
      <c r="B2603" s="10">
        <f t="shared" ca="1" si="40"/>
        <v>8.762953742010883E-2</v>
      </c>
      <c r="C2603" s="10">
        <f ca="1">NPV(B2603,Project_FCF!C18:J18)+Project_FCF!B18</f>
        <v>876.04018707224895</v>
      </c>
      <c r="D2603" s="4"/>
      <c r="E2603" s="4"/>
    </row>
    <row r="2604" spans="1:5" x14ac:dyDescent="0.3">
      <c r="A2604" s="9">
        <v>2596</v>
      </c>
      <c r="B2604" s="10">
        <f t="shared" ca="1" si="40"/>
        <v>0.10115010993316523</v>
      </c>
      <c r="C2604" s="10">
        <f ca="1">NPV(B2604,Project_FCF!C18:J18)+Project_FCF!B18</f>
        <v>774.40084350992629</v>
      </c>
      <c r="D2604" s="4"/>
      <c r="E2604" s="4"/>
    </row>
    <row r="2605" spans="1:5" x14ac:dyDescent="0.3">
      <c r="A2605" s="9">
        <v>2597</v>
      </c>
      <c r="B2605" s="10">
        <f t="shared" ca="1" si="40"/>
        <v>7.4291103448709594E-2</v>
      </c>
      <c r="C2605" s="10">
        <f ca="1">NPV(B2605,Project_FCF!C18:J18)+Project_FCF!B18</f>
        <v>987.49767290369437</v>
      </c>
      <c r="D2605" s="4"/>
      <c r="E2605" s="4"/>
    </row>
    <row r="2606" spans="1:5" x14ac:dyDescent="0.3">
      <c r="A2606" s="9">
        <v>2598</v>
      </c>
      <c r="B2606" s="10">
        <f t="shared" ca="1" si="40"/>
        <v>6.6917202821525856E-2</v>
      </c>
      <c r="C2606" s="10">
        <f ca="1">NPV(B2606,Project_FCF!C18:J18)+Project_FCF!B18</f>
        <v>1054.3980860792708</v>
      </c>
      <c r="D2606" s="4"/>
      <c r="E2606" s="4"/>
    </row>
    <row r="2607" spans="1:5" x14ac:dyDescent="0.3">
      <c r="A2607" s="9">
        <v>2599</v>
      </c>
      <c r="B2607" s="10">
        <f t="shared" ca="1" si="40"/>
        <v>9.055458578471752E-2</v>
      </c>
      <c r="C2607" s="10">
        <f ca="1">NPV(B2607,Project_FCF!C18:J18)+Project_FCF!B18</f>
        <v>853.13033428508174</v>
      </c>
      <c r="D2607" s="4"/>
      <c r="E2607" s="4"/>
    </row>
    <row r="2608" spans="1:5" x14ac:dyDescent="0.3">
      <c r="A2608" s="9">
        <v>2600</v>
      </c>
      <c r="B2608" s="10">
        <f t="shared" ca="1" si="40"/>
        <v>8.9598046356134747E-2</v>
      </c>
      <c r="C2608" s="10">
        <f ca="1">NPV(B2608,Project_FCF!C18:J18)+Project_FCF!B18</f>
        <v>860.56433533857921</v>
      </c>
      <c r="D2608" s="4"/>
      <c r="E2608" s="4"/>
    </row>
    <row r="2609" spans="1:5" x14ac:dyDescent="0.3">
      <c r="A2609" s="9">
        <v>2601</v>
      </c>
      <c r="B2609" s="10">
        <f t="shared" ca="1" si="40"/>
        <v>8.3819978199543357E-2</v>
      </c>
      <c r="C2609" s="10">
        <f ca="1">NPV(B2609,Project_FCF!C18:J18)+Project_FCF!B18</f>
        <v>906.68050162857776</v>
      </c>
      <c r="D2609" s="4"/>
      <c r="E2609" s="4"/>
    </row>
    <row r="2610" spans="1:5" x14ac:dyDescent="0.3">
      <c r="A2610" s="9">
        <v>2602</v>
      </c>
      <c r="B2610" s="10">
        <f t="shared" ca="1" si="40"/>
        <v>9.6060672846709355E-2</v>
      </c>
      <c r="C2610" s="10">
        <f ca="1">NPV(B2610,Project_FCF!C18:J18)+Project_FCF!B18</f>
        <v>811.40546975077882</v>
      </c>
      <c r="D2610" s="4"/>
      <c r="E2610" s="4"/>
    </row>
    <row r="2611" spans="1:5" x14ac:dyDescent="0.3">
      <c r="A2611" s="9">
        <v>2603</v>
      </c>
      <c r="B2611" s="10">
        <f t="shared" ca="1" si="40"/>
        <v>8.2227931461658882E-2</v>
      </c>
      <c r="C2611" s="10">
        <f ca="1">NPV(B2611,Project_FCF!C18:J18)+Project_FCF!B18</f>
        <v>919.76118658588734</v>
      </c>
      <c r="D2611" s="4"/>
      <c r="E2611" s="4"/>
    </row>
    <row r="2612" spans="1:5" x14ac:dyDescent="0.3">
      <c r="A2612" s="9">
        <v>2604</v>
      </c>
      <c r="B2612" s="10">
        <f t="shared" ca="1" si="40"/>
        <v>9.1589047326768036E-2</v>
      </c>
      <c r="C2612" s="10">
        <f ca="1">NPV(B2612,Project_FCF!C18:J18)+Project_FCF!B18</f>
        <v>845.15333102248292</v>
      </c>
      <c r="D2612" s="4"/>
      <c r="E2612" s="4"/>
    </row>
    <row r="2613" spans="1:5" x14ac:dyDescent="0.3">
      <c r="A2613" s="9">
        <v>2605</v>
      </c>
      <c r="B2613" s="10">
        <f t="shared" ca="1" si="40"/>
        <v>0.10391862300818128</v>
      </c>
      <c r="C2613" s="10">
        <f ca="1">NPV(B2613,Project_FCF!C18:J18)+Project_FCF!B18</f>
        <v>754.87737951086137</v>
      </c>
      <c r="D2613" s="4"/>
      <c r="E2613" s="4"/>
    </row>
    <row r="2614" spans="1:5" x14ac:dyDescent="0.3">
      <c r="A2614" s="9">
        <v>2606</v>
      </c>
      <c r="B2614" s="10">
        <f t="shared" ca="1" si="40"/>
        <v>8.5363773828801282E-2</v>
      </c>
      <c r="C2614" s="10">
        <f ca="1">NPV(B2614,Project_FCF!C18:J18)+Project_FCF!B18</f>
        <v>894.1525957391359</v>
      </c>
      <c r="D2614" s="4"/>
      <c r="E2614" s="4"/>
    </row>
    <row r="2615" spans="1:5" x14ac:dyDescent="0.3">
      <c r="A2615" s="9">
        <v>2607</v>
      </c>
      <c r="B2615" s="10">
        <f t="shared" ca="1" si="40"/>
        <v>6.4818828669397796E-2</v>
      </c>
      <c r="C2615" s="10">
        <f ca="1">NPV(B2615,Project_FCF!C18:J18)+Project_FCF!B18</f>
        <v>1074.1721237302627</v>
      </c>
      <c r="D2615" s="4"/>
      <c r="E2615" s="4"/>
    </row>
    <row r="2616" spans="1:5" x14ac:dyDescent="0.3">
      <c r="A2616" s="9">
        <v>2608</v>
      </c>
      <c r="B2616" s="10">
        <f t="shared" ca="1" si="40"/>
        <v>9.2245170946226335E-2</v>
      </c>
      <c r="C2616" s="10">
        <f ca="1">NPV(B2616,Project_FCF!C18:J18)+Project_FCF!B18</f>
        <v>840.12723449357009</v>
      </c>
      <c r="D2616" s="4"/>
      <c r="E2616" s="4"/>
    </row>
    <row r="2617" spans="1:5" x14ac:dyDescent="0.3">
      <c r="A2617" s="9">
        <v>2609</v>
      </c>
      <c r="B2617" s="10">
        <f t="shared" ca="1" si="40"/>
        <v>9.5760619224858456E-2</v>
      </c>
      <c r="C2617" s="10">
        <f ca="1">NPV(B2617,Project_FCF!C18:J18)+Project_FCF!B18</f>
        <v>813.63326546870098</v>
      </c>
      <c r="D2617" s="4"/>
      <c r="E2617" s="4"/>
    </row>
    <row r="2618" spans="1:5" x14ac:dyDescent="0.3">
      <c r="A2618" s="9">
        <v>2610</v>
      </c>
      <c r="B2618" s="10">
        <f t="shared" ca="1" si="40"/>
        <v>6.9165143562940651E-2</v>
      </c>
      <c r="C2618" s="10">
        <f ca="1">NPV(B2618,Project_FCF!C18:J18)+Project_FCF!B18</f>
        <v>1033.5821966898195</v>
      </c>
      <c r="D2618" s="4"/>
      <c r="E2618" s="4"/>
    </row>
    <row r="2619" spans="1:5" x14ac:dyDescent="0.3">
      <c r="A2619" s="9">
        <v>2611</v>
      </c>
      <c r="B2619" s="10">
        <f t="shared" ca="1" si="40"/>
        <v>0.10299895430160493</v>
      </c>
      <c r="C2619" s="10">
        <f ca="1">NPV(B2619,Project_FCF!C18:J18)+Project_FCF!B18</f>
        <v>761.31645007240695</v>
      </c>
      <c r="D2619" s="4"/>
      <c r="E2619" s="4"/>
    </row>
    <row r="2620" spans="1:5" x14ac:dyDescent="0.3">
      <c r="A2620" s="9">
        <v>2612</v>
      </c>
      <c r="B2620" s="10">
        <f t="shared" ca="1" si="40"/>
        <v>7.5813130431976739E-2</v>
      </c>
      <c r="C2620" s="10">
        <f ca="1">NPV(B2620,Project_FCF!C18:J18)+Project_FCF!B18</f>
        <v>974.17404529323289</v>
      </c>
      <c r="D2620" s="4"/>
      <c r="E2620" s="4"/>
    </row>
    <row r="2621" spans="1:5" x14ac:dyDescent="0.3">
      <c r="A2621" s="9">
        <v>2613</v>
      </c>
      <c r="B2621" s="10">
        <f t="shared" ca="1" si="40"/>
        <v>6.5201123958978452E-2</v>
      </c>
      <c r="C2621" s="10">
        <f ca="1">NPV(B2621,Project_FCF!C18:J18)+Project_FCF!B18</f>
        <v>1070.5445799818783</v>
      </c>
      <c r="D2621" s="4"/>
      <c r="E2621" s="4"/>
    </row>
    <row r="2622" spans="1:5" x14ac:dyDescent="0.3">
      <c r="A2622" s="9">
        <v>2614</v>
      </c>
      <c r="B2622" s="10">
        <f t="shared" ca="1" si="40"/>
        <v>8.6945667465749124E-2</v>
      </c>
      <c r="C2622" s="10">
        <f ca="1">NPV(B2622,Project_FCF!C18:J18)+Project_FCF!B18</f>
        <v>881.47295750579678</v>
      </c>
      <c r="D2622" s="4"/>
      <c r="E2622" s="4"/>
    </row>
    <row r="2623" spans="1:5" x14ac:dyDescent="0.3">
      <c r="A2623" s="9">
        <v>2615</v>
      </c>
      <c r="B2623" s="10">
        <f t="shared" ca="1" si="40"/>
        <v>6.6139094630759593E-2</v>
      </c>
      <c r="C2623" s="10">
        <f ca="1">NPV(B2623,Project_FCF!C18:J18)+Project_FCF!B18</f>
        <v>1061.6915836319479</v>
      </c>
      <c r="D2623" s="4"/>
      <c r="E2623" s="4"/>
    </row>
    <row r="2624" spans="1:5" x14ac:dyDescent="0.3">
      <c r="A2624" s="9">
        <v>2616</v>
      </c>
      <c r="B2624" s="10">
        <f t="shared" ca="1" si="40"/>
        <v>7.8188396093879203E-2</v>
      </c>
      <c r="C2624" s="10">
        <f ca="1">NPV(B2624,Project_FCF!C18:J18)+Project_FCF!B18</f>
        <v>953.70176763260315</v>
      </c>
      <c r="D2624" s="4"/>
      <c r="E2624" s="4"/>
    </row>
    <row r="2625" spans="1:5" x14ac:dyDescent="0.3">
      <c r="A2625" s="9">
        <v>2617</v>
      </c>
      <c r="B2625" s="10">
        <f t="shared" ca="1" si="40"/>
        <v>8.0004439246294468E-2</v>
      </c>
      <c r="C2625" s="10">
        <f ca="1">NPV(B2625,Project_FCF!C18:J18)+Project_FCF!B18</f>
        <v>938.30841309381685</v>
      </c>
      <c r="D2625" s="4"/>
      <c r="E2625" s="4"/>
    </row>
    <row r="2626" spans="1:5" x14ac:dyDescent="0.3">
      <c r="A2626" s="9">
        <v>2618</v>
      </c>
      <c r="B2626" s="10">
        <f t="shared" ca="1" si="40"/>
        <v>8.0870081017868384E-2</v>
      </c>
      <c r="C2626" s="10">
        <f ca="1">NPV(B2626,Project_FCF!C18:J18)+Project_FCF!B18</f>
        <v>931.0487588677845</v>
      </c>
      <c r="D2626" s="4"/>
      <c r="E2626" s="4"/>
    </row>
    <row r="2627" spans="1:5" x14ac:dyDescent="0.3">
      <c r="A2627" s="9">
        <v>2619</v>
      </c>
      <c r="B2627" s="10">
        <f t="shared" ca="1" si="40"/>
        <v>9.2958321950540934E-2</v>
      </c>
      <c r="C2627" s="10">
        <f ca="1">NPV(B2627,Project_FCF!C18:J18)+Project_FCF!B18</f>
        <v>834.6935240400835</v>
      </c>
      <c r="D2627" s="4"/>
      <c r="E2627" s="4"/>
    </row>
    <row r="2628" spans="1:5" x14ac:dyDescent="0.3">
      <c r="A2628" s="9">
        <v>2620</v>
      </c>
      <c r="B2628" s="10">
        <f t="shared" ca="1" si="40"/>
        <v>7.0274913778395939E-2</v>
      </c>
      <c r="C2628" s="10">
        <f ca="1">NPV(B2628,Project_FCF!C18:J18)+Project_FCF!B18</f>
        <v>1023.4436271883351</v>
      </c>
      <c r="D2628" s="4"/>
      <c r="E2628" s="4"/>
    </row>
    <row r="2629" spans="1:5" x14ac:dyDescent="0.3">
      <c r="A2629" s="9">
        <v>2621</v>
      </c>
      <c r="B2629" s="10">
        <f t="shared" ca="1" si="40"/>
        <v>9.8556158158162377E-2</v>
      </c>
      <c r="C2629" s="10">
        <f ca="1">NPV(B2629,Project_FCF!C18:J18)+Project_FCF!B18</f>
        <v>793.07793534115763</v>
      </c>
      <c r="D2629" s="4"/>
      <c r="E2629" s="4"/>
    </row>
    <row r="2630" spans="1:5" x14ac:dyDescent="0.3">
      <c r="A2630" s="9">
        <v>2622</v>
      </c>
      <c r="B2630" s="10">
        <f t="shared" ca="1" si="40"/>
        <v>8.8224395483676582E-2</v>
      </c>
      <c r="C2630" s="10">
        <f ca="1">NPV(B2630,Project_FCF!C18:J18)+Project_FCF!B18</f>
        <v>871.33828185255766</v>
      </c>
      <c r="D2630" s="4"/>
      <c r="E2630" s="4"/>
    </row>
    <row r="2631" spans="1:5" x14ac:dyDescent="0.3">
      <c r="A2631" s="9">
        <v>2623</v>
      </c>
      <c r="B2631" s="10">
        <f t="shared" ca="1" si="40"/>
        <v>0.10207785918465168</v>
      </c>
      <c r="C2631" s="10">
        <f ca="1">NPV(B2631,Project_FCF!C18:J18)+Project_FCF!B18</f>
        <v>767.81165317361069</v>
      </c>
      <c r="D2631" s="4"/>
      <c r="E2631" s="4"/>
    </row>
    <row r="2632" spans="1:5" x14ac:dyDescent="0.3">
      <c r="A2632" s="9">
        <v>2624</v>
      </c>
      <c r="B2632" s="10">
        <f t="shared" ca="1" si="40"/>
        <v>7.969086676826645E-2</v>
      </c>
      <c r="C2632" s="10">
        <f ca="1">NPV(B2632,Project_FCF!C18:J18)+Project_FCF!B18</f>
        <v>940.95050673573974</v>
      </c>
      <c r="D2632" s="4"/>
      <c r="E2632" s="4"/>
    </row>
    <row r="2633" spans="1:5" x14ac:dyDescent="0.3">
      <c r="A2633" s="9">
        <v>2625</v>
      </c>
      <c r="B2633" s="10">
        <f t="shared" ref="B2633:B2696" ca="1" si="41">$B$4+RAND()*($B$5-$B$4)</f>
        <v>8.6073766754441616E-2</v>
      </c>
      <c r="C2633" s="10">
        <f ca="1">NPV(B2633,Project_FCF!C18:J18)+Project_FCF!B18</f>
        <v>888.44208343666287</v>
      </c>
      <c r="D2633" s="4"/>
      <c r="E2633" s="4"/>
    </row>
    <row r="2634" spans="1:5" x14ac:dyDescent="0.3">
      <c r="A2634" s="9">
        <v>2626</v>
      </c>
      <c r="B2634" s="10">
        <f t="shared" ca="1" si="41"/>
        <v>8.2730973925807083E-2</v>
      </c>
      <c r="C2634" s="10">
        <f ca="1">NPV(B2634,Project_FCF!C18:J18)+Project_FCF!B18</f>
        <v>915.61022336945916</v>
      </c>
      <c r="D2634" s="4"/>
      <c r="E2634" s="4"/>
    </row>
    <row r="2635" spans="1:5" x14ac:dyDescent="0.3">
      <c r="A2635" s="9">
        <v>2627</v>
      </c>
      <c r="B2635" s="10">
        <f t="shared" ca="1" si="41"/>
        <v>6.9828067128260007E-2</v>
      </c>
      <c r="C2635" s="10">
        <f ca="1">NPV(B2635,Project_FCF!C18:J18)+Project_FCF!B18</f>
        <v>1027.5150367318597</v>
      </c>
      <c r="D2635" s="4"/>
      <c r="E2635" s="4"/>
    </row>
    <row r="2636" spans="1:5" x14ac:dyDescent="0.3">
      <c r="A2636" s="9">
        <v>2628</v>
      </c>
      <c r="B2636" s="10">
        <f t="shared" ca="1" si="41"/>
        <v>0.10017214907666255</v>
      </c>
      <c r="C2636" s="10">
        <f ca="1">NPV(B2636,Project_FCF!C18:J18)+Project_FCF!B18</f>
        <v>781.39821946658481</v>
      </c>
      <c r="D2636" s="4"/>
      <c r="E2636" s="4"/>
    </row>
    <row r="2637" spans="1:5" x14ac:dyDescent="0.3">
      <c r="A2637" s="9">
        <v>2629</v>
      </c>
      <c r="B2637" s="10">
        <f t="shared" ca="1" si="41"/>
        <v>7.6997582867593645E-2</v>
      </c>
      <c r="C2637" s="10">
        <f ca="1">NPV(B2637,Project_FCF!C18:J18)+Project_FCF!B18</f>
        <v>963.91688484759516</v>
      </c>
      <c r="D2637" s="4"/>
      <c r="E2637" s="4"/>
    </row>
    <row r="2638" spans="1:5" x14ac:dyDescent="0.3">
      <c r="A2638" s="9">
        <v>2630</v>
      </c>
      <c r="B2638" s="10">
        <f t="shared" ca="1" si="41"/>
        <v>7.6533045510358208E-2</v>
      </c>
      <c r="C2638" s="10">
        <f ca="1">NPV(B2638,Project_FCF!C18:J18)+Project_FCF!B18</f>
        <v>967.92815961940983</v>
      </c>
      <c r="D2638" s="4"/>
      <c r="E2638" s="4"/>
    </row>
    <row r="2639" spans="1:5" x14ac:dyDescent="0.3">
      <c r="A2639" s="9">
        <v>2631</v>
      </c>
      <c r="B2639" s="10">
        <f t="shared" ca="1" si="41"/>
        <v>9.8219112737387454E-2</v>
      </c>
      <c r="C2639" s="10">
        <f ca="1">NPV(B2639,Project_FCF!C18:J18)+Project_FCF!B18</f>
        <v>795.53252375892498</v>
      </c>
      <c r="D2639" s="4"/>
      <c r="E2639" s="4"/>
    </row>
    <row r="2640" spans="1:5" x14ac:dyDescent="0.3">
      <c r="A2640" s="9">
        <v>2632</v>
      </c>
      <c r="B2640" s="10">
        <f t="shared" ca="1" si="41"/>
        <v>0.10144111846566513</v>
      </c>
      <c r="C2640" s="10">
        <f ca="1">NPV(B2640,Project_FCF!C18:J18)+Project_FCF!B18</f>
        <v>772.32889436066125</v>
      </c>
      <c r="D2640" s="4"/>
      <c r="E2640" s="4"/>
    </row>
    <row r="2641" spans="1:5" x14ac:dyDescent="0.3">
      <c r="A2641" s="9">
        <v>2633</v>
      </c>
      <c r="B2641" s="10">
        <f t="shared" ca="1" si="41"/>
        <v>7.2998998887504038E-2</v>
      </c>
      <c r="C2641" s="10">
        <f ca="1">NPV(B2641,Project_FCF!C18:J18)+Project_FCF!B18</f>
        <v>998.93646650504934</v>
      </c>
      <c r="D2641" s="4"/>
      <c r="E2641" s="4"/>
    </row>
    <row r="2642" spans="1:5" x14ac:dyDescent="0.3">
      <c r="A2642" s="9">
        <v>2634</v>
      </c>
      <c r="B2642" s="10">
        <f t="shared" ca="1" si="41"/>
        <v>8.8764023590866922E-2</v>
      </c>
      <c r="C2642" s="10">
        <f ca="1">NPV(B2642,Project_FCF!C18:J18)+Project_FCF!B18</f>
        <v>867.09193156509969</v>
      </c>
      <c r="D2642" s="4"/>
      <c r="E2642" s="4"/>
    </row>
    <row r="2643" spans="1:5" x14ac:dyDescent="0.3">
      <c r="A2643" s="9">
        <v>2635</v>
      </c>
      <c r="B2643" s="10">
        <f t="shared" ca="1" si="41"/>
        <v>8.2386882589489771E-2</v>
      </c>
      <c r="C2643" s="10">
        <f ca="1">NPV(B2643,Project_FCF!C18:J18)+Project_FCF!B18</f>
        <v>918.44777923903962</v>
      </c>
      <c r="D2643" s="4"/>
      <c r="E2643" s="4"/>
    </row>
    <row r="2644" spans="1:5" x14ac:dyDescent="0.3">
      <c r="A2644" s="9">
        <v>2636</v>
      </c>
      <c r="B2644" s="10">
        <f t="shared" ca="1" si="41"/>
        <v>8.5732497870765742E-2</v>
      </c>
      <c r="C2644" s="10">
        <f ca="1">NPV(B2644,Project_FCF!C18:J18)+Project_FCF!B18</f>
        <v>891.18293388605707</v>
      </c>
      <c r="D2644" s="4"/>
      <c r="E2644" s="4"/>
    </row>
    <row r="2645" spans="1:5" x14ac:dyDescent="0.3">
      <c r="A2645" s="9">
        <v>2637</v>
      </c>
      <c r="B2645" s="10">
        <f t="shared" ca="1" si="41"/>
        <v>9.7309858408250627E-2</v>
      </c>
      <c r="C2645" s="10">
        <f ca="1">NPV(B2645,Project_FCF!C18:J18)+Project_FCF!B18</f>
        <v>802.18654503294442</v>
      </c>
      <c r="D2645" s="4"/>
      <c r="E2645" s="4"/>
    </row>
    <row r="2646" spans="1:5" x14ac:dyDescent="0.3">
      <c r="A2646" s="9">
        <v>2638</v>
      </c>
      <c r="B2646" s="10">
        <f t="shared" ca="1" si="41"/>
        <v>7.0398868492628247E-2</v>
      </c>
      <c r="C2646" s="10">
        <f ca="1">NPV(B2646,Project_FCF!C18:J18)+Project_FCF!B18</f>
        <v>1022.3168083609603</v>
      </c>
      <c r="D2646" s="4"/>
      <c r="E2646" s="4"/>
    </row>
    <row r="2647" spans="1:5" x14ac:dyDescent="0.3">
      <c r="A2647" s="9">
        <v>2639</v>
      </c>
      <c r="B2647" s="10">
        <f t="shared" ca="1" si="41"/>
        <v>8.5461896159164261E-2</v>
      </c>
      <c r="C2647" s="10">
        <f ca="1">NPV(B2647,Project_FCF!C18:J18)+Project_FCF!B18</f>
        <v>893.36148523750921</v>
      </c>
      <c r="D2647" s="4"/>
      <c r="E2647" s="4"/>
    </row>
    <row r="2648" spans="1:5" x14ac:dyDescent="0.3">
      <c r="A2648" s="9">
        <v>2640</v>
      </c>
      <c r="B2648" s="10">
        <f t="shared" ca="1" si="41"/>
        <v>8.0305853733548579E-2</v>
      </c>
      <c r="C2648" s="10">
        <f ca="1">NPV(B2648,Project_FCF!C18:J18)+Project_FCF!B18</f>
        <v>935.77495477490129</v>
      </c>
      <c r="D2648" s="4"/>
      <c r="E2648" s="4"/>
    </row>
    <row r="2649" spans="1:5" x14ac:dyDescent="0.3">
      <c r="A2649" s="9">
        <v>2641</v>
      </c>
      <c r="B2649" s="10">
        <f t="shared" ca="1" si="41"/>
        <v>9.2682992641124534E-2</v>
      </c>
      <c r="C2649" s="10">
        <f ca="1">NPV(B2649,Project_FCF!C18:J18)+Project_FCF!B18</f>
        <v>836.78774337103505</v>
      </c>
      <c r="D2649" s="4"/>
      <c r="E2649" s="4"/>
    </row>
    <row r="2650" spans="1:5" x14ac:dyDescent="0.3">
      <c r="A2650" s="9">
        <v>2642</v>
      </c>
      <c r="B2650" s="10">
        <f t="shared" ca="1" si="41"/>
        <v>9.9757771608922435E-2</v>
      </c>
      <c r="C2650" s="10">
        <f ca="1">NPV(B2650,Project_FCF!C18:J18)+Project_FCF!B18</f>
        <v>784.37919110469511</v>
      </c>
      <c r="D2650" s="4"/>
      <c r="E2650" s="4"/>
    </row>
    <row r="2651" spans="1:5" x14ac:dyDescent="0.3">
      <c r="A2651" s="9">
        <v>2643</v>
      </c>
      <c r="B2651" s="10">
        <f t="shared" ca="1" si="41"/>
        <v>9.4816778318257314E-2</v>
      </c>
      <c r="C2651" s="10">
        <f ca="1">NPV(B2651,Project_FCF!C18:J18)+Project_FCF!B18</f>
        <v>820.67509544710583</v>
      </c>
      <c r="D2651" s="4"/>
      <c r="E2651" s="4"/>
    </row>
    <row r="2652" spans="1:5" x14ac:dyDescent="0.3">
      <c r="A2652" s="9">
        <v>2644</v>
      </c>
      <c r="B2652" s="10">
        <f t="shared" ca="1" si="41"/>
        <v>7.7875098185333197E-2</v>
      </c>
      <c r="C2652" s="10">
        <f ca="1">NPV(B2652,Project_FCF!C18:J18)+Project_FCF!B18</f>
        <v>956.37993978943291</v>
      </c>
      <c r="D2652" s="4"/>
      <c r="E2652" s="4"/>
    </row>
    <row r="2653" spans="1:5" x14ac:dyDescent="0.3">
      <c r="A2653" s="9">
        <v>2645</v>
      </c>
      <c r="B2653" s="10">
        <f t="shared" ca="1" si="41"/>
        <v>7.9706151979362691E-2</v>
      </c>
      <c r="C2653" s="10">
        <f ca="1">NPV(B2653,Project_FCF!C18:J18)+Project_FCF!B18</f>
        <v>940.82156421960303</v>
      </c>
      <c r="D2653" s="4"/>
      <c r="E2653" s="4"/>
    </row>
    <row r="2654" spans="1:5" x14ac:dyDescent="0.3">
      <c r="A2654" s="9">
        <v>2646</v>
      </c>
      <c r="B2654" s="10">
        <f t="shared" ca="1" si="41"/>
        <v>6.5336799529237224E-2</v>
      </c>
      <c r="C2654" s="10">
        <f ca="1">NPV(B2654,Project_FCF!C18:J18)+Project_FCF!B18</f>
        <v>1069.2598635105637</v>
      </c>
      <c r="D2654" s="4"/>
      <c r="E2654" s="4"/>
    </row>
    <row r="2655" spans="1:5" x14ac:dyDescent="0.3">
      <c r="A2655" s="9">
        <v>2647</v>
      </c>
      <c r="B2655" s="10">
        <f t="shared" ca="1" si="41"/>
        <v>9.129004215877079E-2</v>
      </c>
      <c r="C2655" s="10">
        <f ca="1">NPV(B2655,Project_FCF!C18:J18)+Project_FCF!B18</f>
        <v>847.45238885343338</v>
      </c>
      <c r="D2655" s="4"/>
      <c r="E2655" s="4"/>
    </row>
    <row r="2656" spans="1:5" x14ac:dyDescent="0.3">
      <c r="A2656" s="9">
        <v>2648</v>
      </c>
      <c r="B2656" s="10">
        <f t="shared" ca="1" si="41"/>
        <v>0.10156021586347105</v>
      </c>
      <c r="C2656" s="10">
        <f ca="1">NPV(B2656,Project_FCF!C18:J18)+Project_FCF!B18</f>
        <v>771.48228221612794</v>
      </c>
      <c r="D2656" s="4"/>
      <c r="E2656" s="4"/>
    </row>
    <row r="2657" spans="1:5" x14ac:dyDescent="0.3">
      <c r="A2657" s="9">
        <v>2649</v>
      </c>
      <c r="B2657" s="10">
        <f t="shared" ca="1" si="41"/>
        <v>9.0998581780225671E-2</v>
      </c>
      <c r="C2657" s="10">
        <f ca="1">NPV(B2657,Project_FCF!C18:J18)+Project_FCF!B18</f>
        <v>849.69863134888305</v>
      </c>
      <c r="D2657" s="4"/>
      <c r="E2657" s="4"/>
    </row>
    <row r="2658" spans="1:5" x14ac:dyDescent="0.3">
      <c r="A2658" s="9">
        <v>2650</v>
      </c>
      <c r="B2658" s="10">
        <f t="shared" ca="1" si="41"/>
        <v>8.6249303281425882E-2</v>
      </c>
      <c r="C2658" s="10">
        <f ca="1">NPV(B2658,Project_FCF!C18:J18)+Project_FCF!B18</f>
        <v>887.03515965469364</v>
      </c>
      <c r="D2658" s="4"/>
      <c r="E2658" s="4"/>
    </row>
    <row r="2659" spans="1:5" x14ac:dyDescent="0.3">
      <c r="A2659" s="9">
        <v>2651</v>
      </c>
      <c r="B2659" s="10">
        <f t="shared" ca="1" si="41"/>
        <v>7.9130284067432374E-2</v>
      </c>
      <c r="C2659" s="10">
        <f ca="1">NPV(B2659,Project_FCF!C18:J18)+Project_FCF!B18</f>
        <v>945.69028946373851</v>
      </c>
      <c r="D2659" s="4"/>
      <c r="E2659" s="4"/>
    </row>
    <row r="2660" spans="1:5" x14ac:dyDescent="0.3">
      <c r="A2660" s="9">
        <v>2652</v>
      </c>
      <c r="B2660" s="10">
        <f t="shared" ca="1" si="41"/>
        <v>8.1443385000669513E-2</v>
      </c>
      <c r="C2660" s="10">
        <f ca="1">NPV(B2660,Project_FCF!C18:J18)+Project_FCF!B18</f>
        <v>926.26815608580091</v>
      </c>
      <c r="D2660" s="4"/>
      <c r="E2660" s="4"/>
    </row>
    <row r="2661" spans="1:5" x14ac:dyDescent="0.3">
      <c r="A2661" s="9">
        <v>2653</v>
      </c>
      <c r="B2661" s="10">
        <f t="shared" ca="1" si="41"/>
        <v>9.1549636933993053E-2</v>
      </c>
      <c r="C2661" s="10">
        <f ca="1">NPV(B2661,Project_FCF!C18:J18)+Project_FCF!B18</f>
        <v>845.45605004205913</v>
      </c>
      <c r="D2661" s="4"/>
      <c r="E2661" s="4"/>
    </row>
    <row r="2662" spans="1:5" x14ac:dyDescent="0.3">
      <c r="A2662" s="9">
        <v>2654</v>
      </c>
      <c r="B2662" s="10">
        <f t="shared" ca="1" si="41"/>
        <v>6.7025603083554736E-2</v>
      </c>
      <c r="C2662" s="10">
        <f ca="1">NPV(B2662,Project_FCF!C18:J18)+Project_FCF!B18</f>
        <v>1053.3856345323513</v>
      </c>
      <c r="D2662" s="4"/>
      <c r="E2662" s="4"/>
    </row>
    <row r="2663" spans="1:5" x14ac:dyDescent="0.3">
      <c r="A2663" s="9">
        <v>2655</v>
      </c>
      <c r="B2663" s="10">
        <f t="shared" ca="1" si="41"/>
        <v>8.579856618125084E-2</v>
      </c>
      <c r="C2663" s="10">
        <f ca="1">NPV(B2663,Project_FCF!C18:J18)+Project_FCF!B18</f>
        <v>890.65173968981708</v>
      </c>
      <c r="D2663" s="4"/>
      <c r="E2663" s="4"/>
    </row>
    <row r="2664" spans="1:5" x14ac:dyDescent="0.3">
      <c r="A2664" s="9">
        <v>2656</v>
      </c>
      <c r="B2664" s="10">
        <f t="shared" ca="1" si="41"/>
        <v>9.1403061672976654E-2</v>
      </c>
      <c r="C2664" s="10">
        <f ca="1">NPV(B2664,Project_FCF!C18:J18)+Project_FCF!B18</f>
        <v>846.58274516128154</v>
      </c>
      <c r="D2664" s="4"/>
      <c r="E2664" s="4"/>
    </row>
    <row r="2665" spans="1:5" x14ac:dyDescent="0.3">
      <c r="A2665" s="9">
        <v>2657</v>
      </c>
      <c r="B2665" s="10">
        <f t="shared" ca="1" si="41"/>
        <v>7.6172217831001185E-2</v>
      </c>
      <c r="C2665" s="10">
        <f ca="1">NPV(B2665,Project_FCF!C18:J18)+Project_FCF!B18</f>
        <v>971.0541690513287</v>
      </c>
      <c r="D2665" s="4"/>
      <c r="E2665" s="4"/>
    </row>
    <row r="2666" spans="1:5" x14ac:dyDescent="0.3">
      <c r="A2666" s="9">
        <v>2658</v>
      </c>
      <c r="B2666" s="10">
        <f t="shared" ca="1" si="41"/>
        <v>9.2939012719118183E-2</v>
      </c>
      <c r="C2666" s="10">
        <f ca="1">NPV(B2666,Project_FCF!C18:J18)+Project_FCF!B18</f>
        <v>834.8402473806027</v>
      </c>
      <c r="D2666" s="4"/>
      <c r="E2666" s="4"/>
    </row>
    <row r="2667" spans="1:5" x14ac:dyDescent="0.3">
      <c r="A2667" s="9">
        <v>2659</v>
      </c>
      <c r="B2667" s="10">
        <f t="shared" ca="1" si="41"/>
        <v>9.0792512914195642E-2</v>
      </c>
      <c r="C2667" s="10">
        <f ca="1">NPV(B2667,Project_FCF!C18:J18)+Project_FCF!B18</f>
        <v>851.28987720007513</v>
      </c>
      <c r="D2667" s="4"/>
      <c r="E2667" s="4"/>
    </row>
    <row r="2668" spans="1:5" x14ac:dyDescent="0.3">
      <c r="A2668" s="9">
        <v>2660</v>
      </c>
      <c r="B2668" s="10">
        <f t="shared" ca="1" si="41"/>
        <v>7.0618212918477766E-2</v>
      </c>
      <c r="C2668" s="10">
        <f ca="1">NPV(B2668,Project_FCF!C18:J18)+Project_FCF!B18</f>
        <v>1020.3255875673947</v>
      </c>
      <c r="D2668" s="4"/>
      <c r="E2668" s="4"/>
    </row>
    <row r="2669" spans="1:5" x14ac:dyDescent="0.3">
      <c r="A2669" s="9">
        <v>2661</v>
      </c>
      <c r="B2669" s="10">
        <f t="shared" ca="1" si="41"/>
        <v>7.3817355304053214E-2</v>
      </c>
      <c r="C2669" s="10">
        <f ca="1">NPV(B2669,Project_FCF!C18:J18)+Project_FCF!B18</f>
        <v>991.67797189470252</v>
      </c>
      <c r="D2669" s="4"/>
      <c r="E2669" s="4"/>
    </row>
    <row r="2670" spans="1:5" x14ac:dyDescent="0.3">
      <c r="A2670" s="9">
        <v>2662</v>
      </c>
      <c r="B2670" s="10">
        <f t="shared" ca="1" si="41"/>
        <v>7.8992850446997553E-2</v>
      </c>
      <c r="C2670" s="10">
        <f ca="1">NPV(B2670,Project_FCF!C18:J18)+Project_FCF!B18</f>
        <v>946.85553154386935</v>
      </c>
      <c r="D2670" s="4"/>
      <c r="E2670" s="4"/>
    </row>
    <row r="2671" spans="1:5" x14ac:dyDescent="0.3">
      <c r="A2671" s="9">
        <v>2663</v>
      </c>
      <c r="B2671" s="10">
        <f t="shared" ca="1" si="41"/>
        <v>9.1611760939785097E-2</v>
      </c>
      <c r="C2671" s="10">
        <f ca="1">NPV(B2671,Project_FCF!C18:J18)+Project_FCF!B18</f>
        <v>844.9789057681885</v>
      </c>
      <c r="D2671" s="4"/>
      <c r="E2671" s="4"/>
    </row>
    <row r="2672" spans="1:5" x14ac:dyDescent="0.3">
      <c r="A2672" s="9">
        <v>2664</v>
      </c>
      <c r="B2672" s="10">
        <f t="shared" ca="1" si="41"/>
        <v>0.10250348216357824</v>
      </c>
      <c r="C2672" s="10">
        <f ca="1">NPV(B2672,Project_FCF!C18:J18)+Project_FCF!B18</f>
        <v>764.80456273341679</v>
      </c>
      <c r="D2672" s="4"/>
      <c r="E2672" s="4"/>
    </row>
    <row r="2673" spans="1:5" x14ac:dyDescent="0.3">
      <c r="A2673" s="9">
        <v>2665</v>
      </c>
      <c r="B2673" s="10">
        <f t="shared" ca="1" si="41"/>
        <v>8.8067125732904164E-2</v>
      </c>
      <c r="C2673" s="10">
        <f ca="1">NPV(B2673,Project_FCF!C18:J18)+Project_FCF!B18</f>
        <v>872.57924013712295</v>
      </c>
      <c r="D2673" s="4"/>
      <c r="E2673" s="4"/>
    </row>
    <row r="2674" spans="1:5" x14ac:dyDescent="0.3">
      <c r="A2674" s="9">
        <v>2666</v>
      </c>
      <c r="B2674" s="10">
        <f t="shared" ca="1" si="41"/>
        <v>9.1857990004012666E-2</v>
      </c>
      <c r="C2674" s="10">
        <f ca="1">NPV(B2674,Project_FCF!C18:J18)+Project_FCF!B18</f>
        <v>843.09002498552036</v>
      </c>
      <c r="D2674" s="4"/>
      <c r="E2674" s="4"/>
    </row>
    <row r="2675" spans="1:5" x14ac:dyDescent="0.3">
      <c r="A2675" s="9">
        <v>2667</v>
      </c>
      <c r="B2675" s="10">
        <f t="shared" ca="1" si="41"/>
        <v>6.7106644885803493E-2</v>
      </c>
      <c r="C2675" s="10">
        <f ca="1">NPV(B2675,Project_FCF!C18:J18)+Project_FCF!B18</f>
        <v>1052.629286596677</v>
      </c>
      <c r="D2675" s="4"/>
      <c r="E2675" s="4"/>
    </row>
    <row r="2676" spans="1:5" x14ac:dyDescent="0.3">
      <c r="A2676" s="9">
        <v>2668</v>
      </c>
      <c r="B2676" s="10">
        <f t="shared" ca="1" si="41"/>
        <v>6.4076271331062334E-2</v>
      </c>
      <c r="C2676" s="10">
        <f ca="1">NPV(B2676,Project_FCF!C18:J18)+Project_FCF!B18</f>
        <v>1081.2502252648931</v>
      </c>
      <c r="D2676" s="4"/>
      <c r="E2676" s="4"/>
    </row>
    <row r="2677" spans="1:5" x14ac:dyDescent="0.3">
      <c r="A2677" s="9">
        <v>2669</v>
      </c>
      <c r="B2677" s="10">
        <f t="shared" ca="1" si="41"/>
        <v>7.6342150894842614E-2</v>
      </c>
      <c r="C2677" s="10">
        <f ca="1">NPV(B2677,Project_FCF!C18:J18)+Project_FCF!B18</f>
        <v>969.58084342855432</v>
      </c>
      <c r="D2677" s="4"/>
      <c r="E2677" s="4"/>
    </row>
    <row r="2678" spans="1:5" x14ac:dyDescent="0.3">
      <c r="A2678" s="9">
        <v>2670</v>
      </c>
      <c r="B2678" s="10">
        <f t="shared" ca="1" si="41"/>
        <v>6.440004210895979E-2</v>
      </c>
      <c r="C2678" s="10">
        <f ca="1">NPV(B2678,Project_FCF!C18:J18)+Project_FCF!B18</f>
        <v>1078.1588015292932</v>
      </c>
      <c r="D2678" s="4"/>
      <c r="E2678" s="4"/>
    </row>
    <row r="2679" spans="1:5" x14ac:dyDescent="0.3">
      <c r="A2679" s="9">
        <v>2671</v>
      </c>
      <c r="B2679" s="10">
        <f t="shared" ca="1" si="41"/>
        <v>7.6251688858009717E-2</v>
      </c>
      <c r="C2679" s="10">
        <f ca="1">NPV(B2679,Project_FCF!C18:J18)+Project_FCF!B18</f>
        <v>970.36490392841802</v>
      </c>
      <c r="D2679" s="4"/>
      <c r="E2679" s="4"/>
    </row>
    <row r="2680" spans="1:5" x14ac:dyDescent="0.3">
      <c r="A2680" s="9">
        <v>2672</v>
      </c>
      <c r="B2680" s="10">
        <f t="shared" ca="1" si="41"/>
        <v>8.5133348452240409E-2</v>
      </c>
      <c r="C2680" s="10">
        <f ca="1">NPV(B2680,Project_FCF!C18:J18)+Project_FCF!B18</f>
        <v>896.01281014613869</v>
      </c>
      <c r="D2680" s="4"/>
      <c r="E2680" s="4"/>
    </row>
    <row r="2681" spans="1:5" x14ac:dyDescent="0.3">
      <c r="A2681" s="9">
        <v>2673</v>
      </c>
      <c r="B2681" s="10">
        <f t="shared" ca="1" si="41"/>
        <v>8.7965400979845454E-2</v>
      </c>
      <c r="C2681" s="10">
        <f ca="1">NPV(B2681,Project_FCF!C18:J18)+Project_FCF!B18</f>
        <v>873.38273179623911</v>
      </c>
      <c r="D2681" s="4"/>
      <c r="E2681" s="4"/>
    </row>
    <row r="2682" spans="1:5" x14ac:dyDescent="0.3">
      <c r="A2682" s="9">
        <v>2674</v>
      </c>
      <c r="B2682" s="10">
        <f t="shared" ca="1" si="41"/>
        <v>8.0155829114030838E-2</v>
      </c>
      <c r="C2682" s="10">
        <f ca="1">NPV(B2682,Project_FCF!C18:J18)+Project_FCF!B18</f>
        <v>937.03518836556009</v>
      </c>
      <c r="D2682" s="4"/>
      <c r="E2682" s="4"/>
    </row>
    <row r="2683" spans="1:5" x14ac:dyDescent="0.3">
      <c r="A2683" s="9">
        <v>2675</v>
      </c>
      <c r="B2683" s="10">
        <f t="shared" ca="1" si="41"/>
        <v>6.6147160351677392E-2</v>
      </c>
      <c r="C2683" s="10">
        <f ca="1">NPV(B2683,Project_FCF!C18:J18)+Project_FCF!B18</f>
        <v>1061.6157457474178</v>
      </c>
      <c r="D2683" s="4"/>
      <c r="E2683" s="4"/>
    </row>
    <row r="2684" spans="1:5" x14ac:dyDescent="0.3">
      <c r="A2684" s="9">
        <v>2676</v>
      </c>
      <c r="B2684" s="10">
        <f t="shared" ca="1" si="41"/>
        <v>8.3605959211091596E-2</v>
      </c>
      <c r="C2684" s="10">
        <f ca="1">NPV(B2684,Project_FCF!C18:J18)+Project_FCF!B18</f>
        <v>908.42936501153463</v>
      </c>
      <c r="D2684" s="4"/>
      <c r="E2684" s="4"/>
    </row>
    <row r="2685" spans="1:5" x14ac:dyDescent="0.3">
      <c r="A2685" s="9">
        <v>2677</v>
      </c>
      <c r="B2685" s="10">
        <f t="shared" ca="1" si="41"/>
        <v>8.6690768428764733E-2</v>
      </c>
      <c r="C2685" s="10">
        <f ca="1">NPV(B2685,Project_FCF!C18:J18)+Project_FCF!B18</f>
        <v>883.50541826546714</v>
      </c>
      <c r="D2685" s="4"/>
      <c r="E2685" s="4"/>
    </row>
    <row r="2686" spans="1:5" x14ac:dyDescent="0.3">
      <c r="A2686" s="9">
        <v>2678</v>
      </c>
      <c r="B2686" s="10">
        <f t="shared" ca="1" si="41"/>
        <v>9.6639829881102701E-2</v>
      </c>
      <c r="C2686" s="10">
        <f ca="1">NPV(B2686,Project_FCF!C18:J18)+Project_FCF!B18</f>
        <v>807.12015095819834</v>
      </c>
      <c r="D2686" s="4"/>
      <c r="E2686" s="4"/>
    </row>
    <row r="2687" spans="1:5" x14ac:dyDescent="0.3">
      <c r="A2687" s="9">
        <v>2679</v>
      </c>
      <c r="B2687" s="10">
        <f t="shared" ca="1" si="41"/>
        <v>7.455725804713878E-2</v>
      </c>
      <c r="C2687" s="10">
        <f ca="1">NPV(B2687,Project_FCF!C18:J18)+Project_FCF!B18</f>
        <v>985.15609013915673</v>
      </c>
      <c r="D2687" s="4"/>
      <c r="E2687" s="4"/>
    </row>
    <row r="2688" spans="1:5" x14ac:dyDescent="0.3">
      <c r="A2688" s="9">
        <v>2680</v>
      </c>
      <c r="B2688" s="10">
        <f t="shared" ca="1" si="41"/>
        <v>9.6565568247708872E-2</v>
      </c>
      <c r="C2688" s="10">
        <f ca="1">NPV(B2688,Project_FCF!C18:J18)+Project_FCF!B18</f>
        <v>807.66854857236626</v>
      </c>
      <c r="D2688" s="4"/>
      <c r="E2688" s="4"/>
    </row>
    <row r="2689" spans="1:5" x14ac:dyDescent="0.3">
      <c r="A2689" s="9">
        <v>2681</v>
      </c>
      <c r="B2689" s="10">
        <f t="shared" ca="1" si="41"/>
        <v>8.5470970775630539E-2</v>
      </c>
      <c r="C2689" s="10">
        <f ca="1">NPV(B2689,Project_FCF!C18:J18)+Project_FCF!B18</f>
        <v>893.28835217198753</v>
      </c>
      <c r="D2689" s="4"/>
      <c r="E2689" s="4"/>
    </row>
    <row r="2690" spans="1:5" x14ac:dyDescent="0.3">
      <c r="A2690" s="9">
        <v>2682</v>
      </c>
      <c r="B2690" s="10">
        <f t="shared" ca="1" si="41"/>
        <v>0.10365874488933241</v>
      </c>
      <c r="C2690" s="10">
        <f ca="1">NPV(B2690,Project_FCF!C18:J18)+Project_FCF!B18</f>
        <v>756.69227406394316</v>
      </c>
      <c r="D2690" s="4"/>
      <c r="E2690" s="4"/>
    </row>
    <row r="2691" spans="1:5" x14ac:dyDescent="0.3">
      <c r="A2691" s="9">
        <v>2683</v>
      </c>
      <c r="B2691" s="10">
        <f t="shared" ca="1" si="41"/>
        <v>8.4754862239440704E-2</v>
      </c>
      <c r="C2691" s="10">
        <f ca="1">NPV(B2691,Project_FCF!C18:J18)+Project_FCF!B18</f>
        <v>899.07567064665614</v>
      </c>
      <c r="D2691" s="4"/>
      <c r="E2691" s="4"/>
    </row>
    <row r="2692" spans="1:5" x14ac:dyDescent="0.3">
      <c r="A2692" s="9">
        <v>2684</v>
      </c>
      <c r="B2692" s="10">
        <f t="shared" ca="1" si="41"/>
        <v>6.9308741940228777E-2</v>
      </c>
      <c r="C2692" s="10">
        <f ca="1">NPV(B2692,Project_FCF!C18:J18)+Project_FCF!B18</f>
        <v>1032.2652231626514</v>
      </c>
      <c r="D2692" s="4"/>
      <c r="E2692" s="4"/>
    </row>
    <row r="2693" spans="1:5" x14ac:dyDescent="0.3">
      <c r="A2693" s="9">
        <v>2685</v>
      </c>
      <c r="B2693" s="10">
        <f t="shared" ca="1" si="41"/>
        <v>0.10269375214736189</v>
      </c>
      <c r="C2693" s="10">
        <f ca="1">NPV(B2693,Project_FCF!C18:J18)+Project_FCF!B18</f>
        <v>763.46348216806473</v>
      </c>
      <c r="D2693" s="4"/>
      <c r="E2693" s="4"/>
    </row>
    <row r="2694" spans="1:5" x14ac:dyDescent="0.3">
      <c r="A2694" s="9">
        <v>2686</v>
      </c>
      <c r="B2694" s="10">
        <f t="shared" ca="1" si="41"/>
        <v>9.8388495188575675E-2</v>
      </c>
      <c r="C2694" s="10">
        <f ca="1">NPV(B2694,Project_FCF!C18:J18)+Project_FCF!B18</f>
        <v>794.29816325913657</v>
      </c>
      <c r="D2694" s="4"/>
      <c r="E2694" s="4"/>
    </row>
    <row r="2695" spans="1:5" x14ac:dyDescent="0.3">
      <c r="A2695" s="9">
        <v>2687</v>
      </c>
      <c r="B2695" s="10">
        <f t="shared" ca="1" si="41"/>
        <v>0.10218505010331953</v>
      </c>
      <c r="C2695" s="10">
        <f ca="1">NPV(B2695,Project_FCF!C18:J18)+Project_FCF!B18</f>
        <v>767.05339811236809</v>
      </c>
      <c r="D2695" s="4"/>
      <c r="E2695" s="4"/>
    </row>
    <row r="2696" spans="1:5" x14ac:dyDescent="0.3">
      <c r="A2696" s="9">
        <v>2688</v>
      </c>
      <c r="B2696" s="10">
        <f t="shared" ca="1" si="41"/>
        <v>7.7342983365433229E-2</v>
      </c>
      <c r="C2696" s="10">
        <f ca="1">NPV(B2696,Project_FCF!C18:J18)+Project_FCF!B18</f>
        <v>960.94396536562749</v>
      </c>
      <c r="D2696" s="4"/>
      <c r="E2696" s="4"/>
    </row>
    <row r="2697" spans="1:5" x14ac:dyDescent="0.3">
      <c r="A2697" s="9">
        <v>2689</v>
      </c>
      <c r="B2697" s="10">
        <f t="shared" ref="B2697:B2760" ca="1" si="42">$B$4+RAND()*($B$5-$B$4)</f>
        <v>7.3983128951727886E-2</v>
      </c>
      <c r="C2697" s="10">
        <f ca="1">NPV(B2697,Project_FCF!C18:J18)+Project_FCF!B18</f>
        <v>990.21340338233381</v>
      </c>
      <c r="D2697" s="4"/>
      <c r="E2697" s="4"/>
    </row>
    <row r="2698" spans="1:5" x14ac:dyDescent="0.3">
      <c r="A2698" s="9">
        <v>2690</v>
      </c>
      <c r="B2698" s="10">
        <f t="shared" ca="1" si="42"/>
        <v>7.1033904367257497E-2</v>
      </c>
      <c r="C2698" s="10">
        <f ca="1">NPV(B2698,Project_FCF!C18:J18)+Project_FCF!B18</f>
        <v>1016.5615176648741</v>
      </c>
      <c r="D2698" s="4"/>
      <c r="E2698" s="4"/>
    </row>
    <row r="2699" spans="1:5" x14ac:dyDescent="0.3">
      <c r="A2699" s="9">
        <v>2691</v>
      </c>
      <c r="B2699" s="10">
        <f t="shared" ca="1" si="42"/>
        <v>0.10064707038715778</v>
      </c>
      <c r="C2699" s="10">
        <f ca="1">NPV(B2699,Project_FCF!C18:J18)+Project_FCF!B18</f>
        <v>777.9934874345779</v>
      </c>
      <c r="D2699" s="4"/>
      <c r="E2699" s="4"/>
    </row>
    <row r="2700" spans="1:5" x14ac:dyDescent="0.3">
      <c r="A2700" s="9">
        <v>2692</v>
      </c>
      <c r="B2700" s="10">
        <f t="shared" ca="1" si="42"/>
        <v>7.6828164084851214E-2</v>
      </c>
      <c r="C2700" s="10">
        <f ca="1">NPV(B2700,Project_FCF!C18:J18)+Project_FCF!B18</f>
        <v>965.37809391354176</v>
      </c>
      <c r="D2700" s="4"/>
      <c r="E2700" s="4"/>
    </row>
    <row r="2701" spans="1:5" x14ac:dyDescent="0.3">
      <c r="A2701" s="9">
        <v>2693</v>
      </c>
      <c r="B2701" s="10">
        <f t="shared" ca="1" si="42"/>
        <v>7.9114795788711417E-2</v>
      </c>
      <c r="C2701" s="10">
        <f ca="1">NPV(B2701,Project_FCF!C18:J18)+Project_FCF!B18</f>
        <v>945.8215444426171</v>
      </c>
      <c r="D2701" s="4"/>
      <c r="E2701" s="4"/>
    </row>
    <row r="2702" spans="1:5" x14ac:dyDescent="0.3">
      <c r="A2702" s="9">
        <v>2694</v>
      </c>
      <c r="B2702" s="10">
        <f t="shared" ca="1" si="42"/>
        <v>9.2745919409694275E-2</v>
      </c>
      <c r="C2702" s="10">
        <f ca="1">NPV(B2702,Project_FCF!C18:J18)+Project_FCF!B18</f>
        <v>836.30870938124349</v>
      </c>
      <c r="D2702" s="4"/>
      <c r="E2702" s="4"/>
    </row>
    <row r="2703" spans="1:5" x14ac:dyDescent="0.3">
      <c r="A2703" s="9">
        <v>2695</v>
      </c>
      <c r="B2703" s="10">
        <f t="shared" ca="1" si="42"/>
        <v>9.5718224297294152E-2</v>
      </c>
      <c r="C2703" s="10">
        <f ca="1">NPV(B2703,Project_FCF!C18:J18)+Project_FCF!B18</f>
        <v>813.94845429867587</v>
      </c>
      <c r="D2703" s="4"/>
      <c r="E2703" s="4"/>
    </row>
    <row r="2704" spans="1:5" x14ac:dyDescent="0.3">
      <c r="A2704" s="9">
        <v>2696</v>
      </c>
      <c r="B2704" s="10">
        <f t="shared" ca="1" si="42"/>
        <v>8.7293989362088389E-2</v>
      </c>
      <c r="C2704" s="10">
        <f ca="1">NPV(B2704,Project_FCF!C18:J18)+Project_FCF!B18</f>
        <v>878.70217558900595</v>
      </c>
      <c r="D2704" s="4"/>
      <c r="E2704" s="4"/>
    </row>
    <row r="2705" spans="1:5" x14ac:dyDescent="0.3">
      <c r="A2705" s="9">
        <v>2697</v>
      </c>
      <c r="B2705" s="10">
        <f t="shared" ca="1" si="42"/>
        <v>8.4204262468771038E-2</v>
      </c>
      <c r="C2705" s="10">
        <f ca="1">NPV(B2705,Project_FCF!C18:J18)+Project_FCF!B18</f>
        <v>903.54772958783724</v>
      </c>
      <c r="D2705" s="4"/>
      <c r="E2705" s="4"/>
    </row>
    <row r="2706" spans="1:5" x14ac:dyDescent="0.3">
      <c r="A2706" s="9">
        <v>2698</v>
      </c>
      <c r="B2706" s="10">
        <f t="shared" ca="1" si="42"/>
        <v>7.8689889435134774E-2</v>
      </c>
      <c r="C2706" s="10">
        <f ca="1">NPV(B2706,Project_FCF!C18:J18)+Project_FCF!B18</f>
        <v>949.42871286607328</v>
      </c>
      <c r="D2706" s="4"/>
      <c r="E2706" s="4"/>
    </row>
    <row r="2707" spans="1:5" x14ac:dyDescent="0.3">
      <c r="A2707" s="9">
        <v>2699</v>
      </c>
      <c r="B2707" s="10">
        <f t="shared" ca="1" si="42"/>
        <v>8.2132745491591955E-2</v>
      </c>
      <c r="C2707" s="10">
        <f ca="1">NPV(B2707,Project_FCF!C18:J18)+Project_FCF!B18</f>
        <v>920.54849694989571</v>
      </c>
      <c r="D2707" s="4"/>
      <c r="E2707" s="4"/>
    </row>
    <row r="2708" spans="1:5" x14ac:dyDescent="0.3">
      <c r="A2708" s="9">
        <v>2700</v>
      </c>
      <c r="B2708" s="10">
        <f t="shared" ca="1" si="42"/>
        <v>9.9112428571974831E-2</v>
      </c>
      <c r="C2708" s="10">
        <f ca="1">NPV(B2708,Project_FCF!C18:J18)+Project_FCF!B18</f>
        <v>789.04086228955111</v>
      </c>
      <c r="D2708" s="4"/>
      <c r="E2708" s="4"/>
    </row>
    <row r="2709" spans="1:5" x14ac:dyDescent="0.3">
      <c r="A2709" s="9">
        <v>2701</v>
      </c>
      <c r="B2709" s="10">
        <f t="shared" ca="1" si="42"/>
        <v>7.9016859244398177E-2</v>
      </c>
      <c r="C2709" s="10">
        <f ca="1">NPV(B2709,Project_FCF!C18:J18)+Project_FCF!B18</f>
        <v>946.65187921722509</v>
      </c>
      <c r="D2709" s="4"/>
      <c r="E2709" s="4"/>
    </row>
    <row r="2710" spans="1:5" x14ac:dyDescent="0.3">
      <c r="A2710" s="9">
        <v>2702</v>
      </c>
      <c r="B2710" s="10">
        <f t="shared" ca="1" si="42"/>
        <v>7.5012555081543808E-2</v>
      </c>
      <c r="C2710" s="10">
        <f ca="1">NPV(B2710,Project_FCF!C18:J18)+Project_FCF!B18</f>
        <v>981.16198974598115</v>
      </c>
      <c r="D2710" s="4"/>
      <c r="E2710" s="4"/>
    </row>
    <row r="2711" spans="1:5" x14ac:dyDescent="0.3">
      <c r="A2711" s="9">
        <v>2703</v>
      </c>
      <c r="B2711" s="10">
        <f t="shared" ca="1" si="42"/>
        <v>9.978439344146757E-2</v>
      </c>
      <c r="C2711" s="10">
        <f ca="1">NPV(B2711,Project_FCF!C18:J18)+Project_FCF!B18</f>
        <v>784.18738875378608</v>
      </c>
      <c r="D2711" s="4"/>
      <c r="E2711" s="4"/>
    </row>
    <row r="2712" spans="1:5" x14ac:dyDescent="0.3">
      <c r="A2712" s="9">
        <v>2704</v>
      </c>
      <c r="B2712" s="10">
        <f t="shared" ca="1" si="42"/>
        <v>6.456982925472482E-2</v>
      </c>
      <c r="C2712" s="10">
        <f ca="1">NPV(B2712,Project_FCF!C18:J18)+Project_FCF!B18</f>
        <v>1076.5408714680573</v>
      </c>
      <c r="D2712" s="4"/>
      <c r="E2712" s="4"/>
    </row>
    <row r="2713" spans="1:5" x14ac:dyDescent="0.3">
      <c r="A2713" s="9">
        <v>2705</v>
      </c>
      <c r="B2713" s="10">
        <f t="shared" ca="1" si="42"/>
        <v>6.8155781746048305E-2</v>
      </c>
      <c r="C2713" s="10">
        <f ca="1">NPV(B2713,Project_FCF!C18:J18)+Project_FCF!B18</f>
        <v>1042.8823098223661</v>
      </c>
      <c r="D2713" s="4"/>
      <c r="E2713" s="4"/>
    </row>
    <row r="2714" spans="1:5" x14ac:dyDescent="0.3">
      <c r="A2714" s="9">
        <v>2706</v>
      </c>
      <c r="B2714" s="10">
        <f t="shared" ca="1" si="42"/>
        <v>6.8188821788551235E-2</v>
      </c>
      <c r="C2714" s="10">
        <f ca="1">NPV(B2714,Project_FCF!C18:J18)+Project_FCF!B18</f>
        <v>1042.5766869946206</v>
      </c>
      <c r="D2714" s="4"/>
      <c r="E2714" s="4"/>
    </row>
    <row r="2715" spans="1:5" x14ac:dyDescent="0.3">
      <c r="A2715" s="9">
        <v>2707</v>
      </c>
      <c r="B2715" s="10">
        <f t="shared" ca="1" si="42"/>
        <v>9.7020490655874508E-2</v>
      </c>
      <c r="C2715" s="10">
        <f ca="1">NPV(B2715,Project_FCF!C18:J18)+Project_FCF!B18</f>
        <v>804.31407842847329</v>
      </c>
      <c r="D2715" s="4"/>
      <c r="E2715" s="4"/>
    </row>
    <row r="2716" spans="1:5" x14ac:dyDescent="0.3">
      <c r="A2716" s="9">
        <v>2708</v>
      </c>
      <c r="B2716" s="10">
        <f t="shared" ca="1" si="42"/>
        <v>7.2254997464008361E-2</v>
      </c>
      <c r="C2716" s="10">
        <f ca="1">NPV(B2716,Project_FCF!C18:J18)+Project_FCF!B18</f>
        <v>1005.5768433850656</v>
      </c>
      <c r="D2716" s="4"/>
      <c r="E2716" s="4"/>
    </row>
    <row r="2717" spans="1:5" x14ac:dyDescent="0.3">
      <c r="A2717" s="9">
        <v>2709</v>
      </c>
      <c r="B2717" s="10">
        <f t="shared" ca="1" si="42"/>
        <v>0.10279998441784183</v>
      </c>
      <c r="C2717" s="10">
        <f ca="1">NPV(B2717,Project_FCF!C18:J18)+Project_FCF!B18</f>
        <v>762.71558467375689</v>
      </c>
      <c r="D2717" s="4"/>
      <c r="E2717" s="4"/>
    </row>
    <row r="2718" spans="1:5" x14ac:dyDescent="0.3">
      <c r="A2718" s="9">
        <v>2710</v>
      </c>
      <c r="B2718" s="10">
        <f t="shared" ca="1" si="42"/>
        <v>8.1693188962717267E-2</v>
      </c>
      <c r="C2718" s="10">
        <f ca="1">NPV(B2718,Project_FCF!C18:J18)+Project_FCF!B18</f>
        <v>924.19190806008987</v>
      </c>
      <c r="D2718" s="4"/>
      <c r="E2718" s="4"/>
    </row>
    <row r="2719" spans="1:5" x14ac:dyDescent="0.3">
      <c r="A2719" s="9">
        <v>2711</v>
      </c>
      <c r="B2719" s="10">
        <f t="shared" ca="1" si="42"/>
        <v>0.10117473797655141</v>
      </c>
      <c r="C2719" s="10">
        <f ca="1">NPV(B2719,Project_FCF!C18:J18)+Project_FCF!B18</f>
        <v>774.22531319611721</v>
      </c>
      <c r="D2719" s="4"/>
      <c r="E2719" s="4"/>
    </row>
    <row r="2720" spans="1:5" x14ac:dyDescent="0.3">
      <c r="A2720" s="9">
        <v>2712</v>
      </c>
      <c r="B2720" s="10">
        <f t="shared" ca="1" si="42"/>
        <v>9.878114282327996E-2</v>
      </c>
      <c r="C2720" s="10">
        <f ca="1">NPV(B2720,Project_FCF!C18:J18)+Project_FCF!B18</f>
        <v>791.4430282322262</v>
      </c>
      <c r="D2720" s="4"/>
      <c r="E2720" s="4"/>
    </row>
    <row r="2721" spans="1:5" x14ac:dyDescent="0.3">
      <c r="A2721" s="9">
        <v>2713</v>
      </c>
      <c r="B2721" s="10">
        <f t="shared" ca="1" si="42"/>
        <v>7.4441777617573909E-2</v>
      </c>
      <c r="C2721" s="10">
        <f ca="1">NPV(B2721,Project_FCF!C18:J18)+Project_FCF!B18</f>
        <v>986.17145569369859</v>
      </c>
      <c r="D2721" s="4"/>
      <c r="E2721" s="4"/>
    </row>
    <row r="2722" spans="1:5" x14ac:dyDescent="0.3">
      <c r="A2722" s="9">
        <v>2714</v>
      </c>
      <c r="B2722" s="10">
        <f t="shared" ca="1" si="42"/>
        <v>8.4833593256907286E-2</v>
      </c>
      <c r="C2722" s="10">
        <f ca="1">NPV(B2722,Project_FCF!C18:J18)+Project_FCF!B18</f>
        <v>898.43779345169901</v>
      </c>
      <c r="D2722" s="4"/>
      <c r="E2722" s="4"/>
    </row>
    <row r="2723" spans="1:5" x14ac:dyDescent="0.3">
      <c r="A2723" s="9">
        <v>2715</v>
      </c>
      <c r="B2723" s="10">
        <f t="shared" ca="1" si="42"/>
        <v>9.4817725104157785E-2</v>
      </c>
      <c r="C2723" s="10">
        <f ca="1">NPV(B2723,Project_FCF!C18:J18)+Project_FCF!B18</f>
        <v>820.66800559478747</v>
      </c>
      <c r="D2723" s="4"/>
      <c r="E2723" s="4"/>
    </row>
    <row r="2724" spans="1:5" x14ac:dyDescent="0.3">
      <c r="A2724" s="9">
        <v>2716</v>
      </c>
      <c r="B2724" s="10">
        <f t="shared" ca="1" si="42"/>
        <v>7.4911696473725767E-2</v>
      </c>
      <c r="C2724" s="10">
        <f ca="1">NPV(B2724,Project_FCF!C18:J18)+Project_FCF!B18</f>
        <v>982.04552151938128</v>
      </c>
      <c r="D2724" s="4"/>
      <c r="E2724" s="4"/>
    </row>
    <row r="2725" spans="1:5" x14ac:dyDescent="0.3">
      <c r="A2725" s="9">
        <v>2717</v>
      </c>
      <c r="B2725" s="10">
        <f t="shared" ca="1" si="42"/>
        <v>8.0795080557580362E-2</v>
      </c>
      <c r="C2725" s="10">
        <f ca="1">NPV(B2725,Project_FCF!C18:J18)+Project_FCF!B18</f>
        <v>931.67577408510556</v>
      </c>
      <c r="D2725" s="4"/>
      <c r="E2725" s="4"/>
    </row>
    <row r="2726" spans="1:5" x14ac:dyDescent="0.3">
      <c r="A2726" s="9">
        <v>2718</v>
      </c>
      <c r="B2726" s="10">
        <f t="shared" ca="1" si="42"/>
        <v>9.780166324880038E-2</v>
      </c>
      <c r="C2726" s="10">
        <f ca="1">NPV(B2726,Project_FCF!C18:J18)+Project_FCF!B18</f>
        <v>798.58161236331193</v>
      </c>
      <c r="D2726" s="4"/>
      <c r="E2726" s="4"/>
    </row>
    <row r="2727" spans="1:5" x14ac:dyDescent="0.3">
      <c r="A2727" s="9">
        <v>2719</v>
      </c>
      <c r="B2727" s="10">
        <f t="shared" ca="1" si="42"/>
        <v>7.3525273083777529E-2</v>
      </c>
      <c r="C2727" s="10">
        <f ca="1">NPV(B2727,Project_FCF!C18:J18)+Project_FCF!B18</f>
        <v>994.26317331903965</v>
      </c>
      <c r="D2727" s="4"/>
      <c r="E2727" s="4"/>
    </row>
    <row r="2728" spans="1:5" x14ac:dyDescent="0.3">
      <c r="A2728" s="9">
        <v>2720</v>
      </c>
      <c r="B2728" s="10">
        <f t="shared" ca="1" si="42"/>
        <v>8.8739885152730458E-2</v>
      </c>
      <c r="C2728" s="10">
        <f ca="1">NPV(B2728,Project_FCF!C18:J18)+Project_FCF!B18</f>
        <v>867.28149270656559</v>
      </c>
      <c r="D2728" s="4"/>
      <c r="E2728" s="4"/>
    </row>
    <row r="2729" spans="1:5" x14ac:dyDescent="0.3">
      <c r="A2729" s="9">
        <v>2721</v>
      </c>
      <c r="B2729" s="10">
        <f t="shared" ca="1" si="42"/>
        <v>7.6485965374785192E-2</v>
      </c>
      <c r="C2729" s="10">
        <f ca="1">NPV(B2729,Project_FCF!C18:J18)+Project_FCF!B18</f>
        <v>968.33552561555234</v>
      </c>
      <c r="D2729" s="4"/>
      <c r="E2729" s="4"/>
    </row>
    <row r="2730" spans="1:5" x14ac:dyDescent="0.3">
      <c r="A2730" s="9">
        <v>2722</v>
      </c>
      <c r="B2730" s="10">
        <f t="shared" ca="1" si="42"/>
        <v>6.4499175826127783E-2</v>
      </c>
      <c r="C2730" s="10">
        <f ca="1">NPV(B2730,Project_FCF!C18:J18)+Project_FCF!B18</f>
        <v>1077.2138702282107</v>
      </c>
      <c r="D2730" s="4"/>
      <c r="E2730" s="4"/>
    </row>
    <row r="2731" spans="1:5" x14ac:dyDescent="0.3">
      <c r="A2731" s="9">
        <v>2723</v>
      </c>
      <c r="B2731" s="10">
        <f t="shared" ca="1" si="42"/>
        <v>8.2624519616405434E-2</v>
      </c>
      <c r="C2731" s="10">
        <f ca="1">NPV(B2731,Project_FCF!C18:J18)+Project_FCF!B18</f>
        <v>916.48727492634953</v>
      </c>
      <c r="D2731" s="4"/>
      <c r="E2731" s="4"/>
    </row>
    <row r="2732" spans="1:5" x14ac:dyDescent="0.3">
      <c r="A2732" s="9">
        <v>2724</v>
      </c>
      <c r="B2732" s="10">
        <f t="shared" ca="1" si="42"/>
        <v>6.8743955995050995E-2</v>
      </c>
      <c r="C2732" s="10">
        <f ca="1">NPV(B2732,Project_FCF!C18:J18)+Project_FCF!B18</f>
        <v>1037.4537830774475</v>
      </c>
      <c r="D2732" s="4"/>
      <c r="E2732" s="4"/>
    </row>
    <row r="2733" spans="1:5" x14ac:dyDescent="0.3">
      <c r="A2733" s="9">
        <v>2725</v>
      </c>
      <c r="B2733" s="10">
        <f t="shared" ca="1" si="42"/>
        <v>8.4165055771831421E-2</v>
      </c>
      <c r="C2733" s="10">
        <f ca="1">NPV(B2733,Project_FCF!C18:J18)+Project_FCF!B18</f>
        <v>903.86691554290746</v>
      </c>
      <c r="D2733" s="4"/>
      <c r="E2733" s="4"/>
    </row>
    <row r="2734" spans="1:5" x14ac:dyDescent="0.3">
      <c r="A2734" s="9">
        <v>2726</v>
      </c>
      <c r="B2734" s="10">
        <f t="shared" ca="1" si="42"/>
        <v>6.7703019285279845E-2</v>
      </c>
      <c r="C2734" s="10">
        <f ca="1">NPV(B2734,Project_FCF!C18:J18)+Project_FCF!B18</f>
        <v>1047.0785920330002</v>
      </c>
      <c r="D2734" s="4"/>
      <c r="E2734" s="4"/>
    </row>
    <row r="2735" spans="1:5" x14ac:dyDescent="0.3">
      <c r="A2735" s="9">
        <v>2727</v>
      </c>
      <c r="B2735" s="10">
        <f t="shared" ca="1" si="42"/>
        <v>9.7317825815139675E-2</v>
      </c>
      <c r="C2735" s="10">
        <f ca="1">NPV(B2735,Project_FCF!C18:J18)+Project_FCF!B18</f>
        <v>802.12803371819678</v>
      </c>
      <c r="D2735" s="4"/>
      <c r="E2735" s="4"/>
    </row>
    <row r="2736" spans="1:5" x14ac:dyDescent="0.3">
      <c r="A2736" s="9">
        <v>2728</v>
      </c>
      <c r="B2736" s="10">
        <f t="shared" ca="1" si="42"/>
        <v>7.5990814233601378E-2</v>
      </c>
      <c r="C2736" s="10">
        <f ca="1">NPV(B2736,Project_FCF!C18:J18)+Project_FCF!B18</f>
        <v>972.6291496530946</v>
      </c>
      <c r="D2736" s="4"/>
      <c r="E2736" s="4"/>
    </row>
    <row r="2737" spans="1:5" x14ac:dyDescent="0.3">
      <c r="A2737" s="9">
        <v>2729</v>
      </c>
      <c r="B2737" s="10">
        <f t="shared" ca="1" si="42"/>
        <v>8.0774981586357167E-2</v>
      </c>
      <c r="C2737" s="10">
        <f ca="1">NPV(B2737,Project_FCF!C18:J18)+Project_FCF!B18</f>
        <v>931.84386794119882</v>
      </c>
      <c r="D2737" s="4"/>
      <c r="E2737" s="4"/>
    </row>
    <row r="2738" spans="1:5" x14ac:dyDescent="0.3">
      <c r="A2738" s="9">
        <v>2730</v>
      </c>
      <c r="B2738" s="10">
        <f t="shared" ca="1" si="42"/>
        <v>7.7058102825433766E-2</v>
      </c>
      <c r="C2738" s="10">
        <f ca="1">NPV(B2738,Project_FCF!C18:J18)+Project_FCF!B18</f>
        <v>963.3953882032713</v>
      </c>
      <c r="D2738" s="4"/>
      <c r="E2738" s="4"/>
    </row>
    <row r="2739" spans="1:5" x14ac:dyDescent="0.3">
      <c r="A2739" s="9">
        <v>2731</v>
      </c>
      <c r="B2739" s="10">
        <f t="shared" ca="1" si="42"/>
        <v>8.3027709591957738E-2</v>
      </c>
      <c r="C2739" s="10">
        <f ca="1">NPV(B2739,Project_FCF!C18:J18)+Project_FCF!B18</f>
        <v>913.16938807924362</v>
      </c>
      <c r="D2739" s="4"/>
      <c r="E2739" s="4"/>
    </row>
    <row r="2740" spans="1:5" x14ac:dyDescent="0.3">
      <c r="A2740" s="9">
        <v>2732</v>
      </c>
      <c r="B2740" s="10">
        <f t="shared" ca="1" si="42"/>
        <v>7.7615371862498922E-2</v>
      </c>
      <c r="C2740" s="10">
        <f ca="1">NPV(B2740,Project_FCF!C18:J18)+Project_FCF!B18</f>
        <v>958.60523403358798</v>
      </c>
      <c r="D2740" s="4"/>
      <c r="E2740" s="4"/>
    </row>
    <row r="2741" spans="1:5" x14ac:dyDescent="0.3">
      <c r="A2741" s="9">
        <v>2733</v>
      </c>
      <c r="B2741" s="10">
        <f t="shared" ca="1" si="42"/>
        <v>0.10024197007400451</v>
      </c>
      <c r="C2741" s="10">
        <f ca="1">NPV(B2741,Project_FCF!C18:J18)+Project_FCF!B18</f>
        <v>780.89688162999983</v>
      </c>
      <c r="D2741" s="4"/>
      <c r="E2741" s="4"/>
    </row>
    <row r="2742" spans="1:5" x14ac:dyDescent="0.3">
      <c r="A2742" s="9">
        <v>2734</v>
      </c>
      <c r="B2742" s="10">
        <f t="shared" ca="1" si="42"/>
        <v>9.0403768426490255E-2</v>
      </c>
      <c r="C2742" s="10">
        <f ca="1">NPV(B2742,Project_FCF!C18:J18)+Project_FCF!B18</f>
        <v>854.29874571490245</v>
      </c>
      <c r="D2742" s="4"/>
      <c r="E2742" s="4"/>
    </row>
    <row r="2743" spans="1:5" x14ac:dyDescent="0.3">
      <c r="A2743" s="9">
        <v>2735</v>
      </c>
      <c r="B2743" s="10">
        <f t="shared" ca="1" si="42"/>
        <v>6.4382208682559644E-2</v>
      </c>
      <c r="C2743" s="10">
        <f ca="1">NPV(B2743,Project_FCF!C18:J18)+Project_FCF!B18</f>
        <v>1078.328868042563</v>
      </c>
      <c r="D2743" s="4"/>
      <c r="E2743" s="4"/>
    </row>
    <row r="2744" spans="1:5" x14ac:dyDescent="0.3">
      <c r="A2744" s="9">
        <v>2736</v>
      </c>
      <c r="B2744" s="10">
        <f t="shared" ca="1" si="42"/>
        <v>6.7801352387166169E-2</v>
      </c>
      <c r="C2744" s="10">
        <f ca="1">NPV(B2744,Project_FCF!C18:J18)+Project_FCF!B18</f>
        <v>1046.1659233051173</v>
      </c>
      <c r="D2744" s="4"/>
      <c r="E2744" s="4"/>
    </row>
    <row r="2745" spans="1:5" x14ac:dyDescent="0.3">
      <c r="A2745" s="9">
        <v>2737</v>
      </c>
      <c r="B2745" s="10">
        <f t="shared" ca="1" si="42"/>
        <v>9.0392128560125712E-2</v>
      </c>
      <c r="C2745" s="10">
        <f ca="1">NPV(B2745,Project_FCF!C18:J18)+Project_FCF!B18</f>
        <v>854.38897955743687</v>
      </c>
      <c r="D2745" s="4"/>
      <c r="E2745" s="4"/>
    </row>
    <row r="2746" spans="1:5" x14ac:dyDescent="0.3">
      <c r="A2746" s="9">
        <v>2738</v>
      </c>
      <c r="B2746" s="10">
        <f t="shared" ca="1" si="42"/>
        <v>9.0849472471664264E-2</v>
      </c>
      <c r="C2746" s="10">
        <f ca="1">NPV(B2746,Project_FCF!C18:J18)+Project_FCF!B18</f>
        <v>850.84978304328183</v>
      </c>
      <c r="D2746" s="4"/>
      <c r="E2746" s="4"/>
    </row>
    <row r="2747" spans="1:5" x14ac:dyDescent="0.3">
      <c r="A2747" s="9">
        <v>2739</v>
      </c>
      <c r="B2747" s="10">
        <f t="shared" ca="1" si="42"/>
        <v>6.7576207231791904E-2</v>
      </c>
      <c r="C2747" s="10">
        <f ca="1">NPV(B2747,Project_FCF!C18:J18)+Project_FCF!B18</f>
        <v>1048.2566523021605</v>
      </c>
      <c r="D2747" s="4"/>
      <c r="E2747" s="4"/>
    </row>
    <row r="2748" spans="1:5" x14ac:dyDescent="0.3">
      <c r="A2748" s="9">
        <v>2740</v>
      </c>
      <c r="B2748" s="10">
        <f t="shared" ca="1" si="42"/>
        <v>7.2177990171647749E-2</v>
      </c>
      <c r="C2748" s="10">
        <f ca="1">NPV(B2748,Project_FCF!C18:J18)+Project_FCF!B18</f>
        <v>1006.2664124357125</v>
      </c>
      <c r="D2748" s="4"/>
      <c r="E2748" s="4"/>
    </row>
    <row r="2749" spans="1:5" x14ac:dyDescent="0.3">
      <c r="A2749" s="9">
        <v>2741</v>
      </c>
      <c r="B2749" s="10">
        <f t="shared" ca="1" si="42"/>
        <v>7.0535996992537889E-2</v>
      </c>
      <c r="C2749" s="10">
        <f ca="1">NPV(B2749,Project_FCF!C18:J18)+Project_FCF!B18</f>
        <v>1021.0715376550752</v>
      </c>
      <c r="D2749" s="4"/>
      <c r="E2749" s="4"/>
    </row>
    <row r="2750" spans="1:5" x14ac:dyDescent="0.3">
      <c r="A2750" s="9">
        <v>2742</v>
      </c>
      <c r="B2750" s="10">
        <f t="shared" ca="1" si="42"/>
        <v>6.8840433864335887E-2</v>
      </c>
      <c r="C2750" s="10">
        <f ca="1">NPV(B2750,Project_FCF!C18:J18)+Project_FCF!B18</f>
        <v>1036.5657937908677</v>
      </c>
      <c r="D2750" s="4"/>
      <c r="E2750" s="4"/>
    </row>
    <row r="2751" spans="1:5" x14ac:dyDescent="0.3">
      <c r="A2751" s="9">
        <v>2743</v>
      </c>
      <c r="B2751" s="10">
        <f t="shared" ca="1" si="42"/>
        <v>6.7090434550856518E-2</v>
      </c>
      <c r="C2751" s="10">
        <f ca="1">NPV(B2751,Project_FCF!C18:J18)+Project_FCF!B18</f>
        <v>1052.7805351117634</v>
      </c>
      <c r="D2751" s="4"/>
      <c r="E2751" s="4"/>
    </row>
    <row r="2752" spans="1:5" x14ac:dyDescent="0.3">
      <c r="A2752" s="9">
        <v>2744</v>
      </c>
      <c r="B2752" s="10">
        <f t="shared" ca="1" si="42"/>
        <v>0.10154998628020423</v>
      </c>
      <c r="C2752" s="10">
        <f ca="1">NPV(B2752,Project_FCF!C18:J18)+Project_FCF!B18</f>
        <v>771.55496921212193</v>
      </c>
      <c r="D2752" s="4"/>
      <c r="E2752" s="4"/>
    </row>
    <row r="2753" spans="1:5" x14ac:dyDescent="0.3">
      <c r="A2753" s="9">
        <v>2745</v>
      </c>
      <c r="B2753" s="10">
        <f t="shared" ca="1" si="42"/>
        <v>8.3516699574520639E-2</v>
      </c>
      <c r="C2753" s="10">
        <f ca="1">NPV(B2753,Project_FCF!C18:J18)+Project_FCF!B18</f>
        <v>909.15962855338671</v>
      </c>
      <c r="D2753" s="4"/>
      <c r="E2753" s="4"/>
    </row>
    <row r="2754" spans="1:5" x14ac:dyDescent="0.3">
      <c r="A2754" s="9">
        <v>2746</v>
      </c>
      <c r="B2754" s="10">
        <f t="shared" ca="1" si="42"/>
        <v>9.031562500204679E-2</v>
      </c>
      <c r="C2754" s="10">
        <f ca="1">NPV(B2754,Project_FCF!C18:J18)+Project_FCF!B18</f>
        <v>854.98225095308635</v>
      </c>
      <c r="D2754" s="4"/>
      <c r="E2754" s="4"/>
    </row>
    <row r="2755" spans="1:5" x14ac:dyDescent="0.3">
      <c r="A2755" s="9">
        <v>2747</v>
      </c>
      <c r="B2755" s="10">
        <f t="shared" ca="1" si="42"/>
        <v>6.4347762616292062E-2</v>
      </c>
      <c r="C2755" s="10">
        <f ca="1">NPV(B2755,Project_FCF!C18:J18)+Project_FCF!B18</f>
        <v>1078.6574285498302</v>
      </c>
      <c r="D2755" s="4"/>
      <c r="E2755" s="4"/>
    </row>
    <row r="2756" spans="1:5" x14ac:dyDescent="0.3">
      <c r="A2756" s="9">
        <v>2748</v>
      </c>
      <c r="B2756" s="10">
        <f t="shared" ca="1" si="42"/>
        <v>7.2955870866610401E-2</v>
      </c>
      <c r="C2756" s="10">
        <f ca="1">NPV(B2756,Project_FCF!C18:J18)+Project_FCF!B18</f>
        <v>999.32031470528409</v>
      </c>
      <c r="D2756" s="4"/>
      <c r="E2756" s="4"/>
    </row>
    <row r="2757" spans="1:5" x14ac:dyDescent="0.3">
      <c r="A2757" s="9">
        <v>2749</v>
      </c>
      <c r="B2757" s="10">
        <f t="shared" ca="1" si="42"/>
        <v>0.10312990913103395</v>
      </c>
      <c r="C2757" s="10">
        <f ca="1">NPV(B2757,Project_FCF!C18:J18)+Project_FCF!B18</f>
        <v>760.39676604639772</v>
      </c>
      <c r="D2757" s="4"/>
      <c r="E2757" s="4"/>
    </row>
    <row r="2758" spans="1:5" x14ac:dyDescent="0.3">
      <c r="A2758" s="9">
        <v>2750</v>
      </c>
      <c r="B2758" s="10">
        <f t="shared" ca="1" si="42"/>
        <v>9.4131733513392712E-2</v>
      </c>
      <c r="C2758" s="10">
        <f ca="1">NPV(B2758,Project_FCF!C18:J18)+Project_FCF!B18</f>
        <v>825.81872159628278</v>
      </c>
      <c r="D2758" s="4"/>
      <c r="E2758" s="4"/>
    </row>
    <row r="2759" spans="1:5" x14ac:dyDescent="0.3">
      <c r="A2759" s="9">
        <v>2751</v>
      </c>
      <c r="B2759" s="10">
        <f t="shared" ca="1" si="42"/>
        <v>8.9169759483452182E-2</v>
      </c>
      <c r="C2759" s="10">
        <f ca="1">NPV(B2759,Project_FCF!C18:J18)+Project_FCF!B18</f>
        <v>863.91103521793161</v>
      </c>
      <c r="D2759" s="4"/>
      <c r="E2759" s="4"/>
    </row>
    <row r="2760" spans="1:5" x14ac:dyDescent="0.3">
      <c r="A2760" s="9">
        <v>2752</v>
      </c>
      <c r="B2760" s="10">
        <f t="shared" ca="1" si="42"/>
        <v>0.10299401895079673</v>
      </c>
      <c r="C2760" s="10">
        <f ca="1">NPV(B2760,Project_FCF!C18:J18)+Project_FCF!B18</f>
        <v>761.35112884463729</v>
      </c>
      <c r="D2760" s="4"/>
      <c r="E2760" s="4"/>
    </row>
    <row r="2761" spans="1:5" x14ac:dyDescent="0.3">
      <c r="A2761" s="9">
        <v>2753</v>
      </c>
      <c r="B2761" s="10">
        <f t="shared" ref="B2761:B2824" ca="1" si="43">$B$4+RAND()*($B$5-$B$4)</f>
        <v>6.5130675927234413E-2</v>
      </c>
      <c r="C2761" s="10">
        <f ca="1">NPV(B2761,Project_FCF!C18:J18)+Project_FCF!B18</f>
        <v>1071.2122098334714</v>
      </c>
      <c r="D2761" s="4"/>
      <c r="E2761" s="4"/>
    </row>
    <row r="2762" spans="1:5" x14ac:dyDescent="0.3">
      <c r="A2762" s="9">
        <v>2754</v>
      </c>
      <c r="B2762" s="10">
        <f t="shared" ca="1" si="43"/>
        <v>8.2320837729069105E-2</v>
      </c>
      <c r="C2762" s="10">
        <f ca="1">NPV(B2762,Project_FCF!C18:J18)+Project_FCF!B18</f>
        <v>918.99330467470327</v>
      </c>
      <c r="D2762" s="4"/>
      <c r="E2762" s="4"/>
    </row>
    <row r="2763" spans="1:5" x14ac:dyDescent="0.3">
      <c r="A2763" s="9">
        <v>2755</v>
      </c>
      <c r="B2763" s="10">
        <f t="shared" ca="1" si="43"/>
        <v>0.10187093492859556</v>
      </c>
      <c r="C2763" s="10">
        <f ca="1">NPV(B2763,Project_FCF!C18:J18)+Project_FCF!B18</f>
        <v>769.27719325532598</v>
      </c>
      <c r="D2763" s="4"/>
      <c r="E2763" s="4"/>
    </row>
    <row r="2764" spans="1:5" x14ac:dyDescent="0.3">
      <c r="A2764" s="9">
        <v>2756</v>
      </c>
      <c r="B2764" s="10">
        <f t="shared" ca="1" si="43"/>
        <v>8.5766616380550817E-2</v>
      </c>
      <c r="C2764" s="10">
        <f ca="1">NPV(B2764,Project_FCF!C18:J18)+Project_FCF!B18</f>
        <v>890.90858390934818</v>
      </c>
      <c r="D2764" s="4"/>
      <c r="E2764" s="4"/>
    </row>
    <row r="2765" spans="1:5" x14ac:dyDescent="0.3">
      <c r="A2765" s="9">
        <v>2757</v>
      </c>
      <c r="B2765" s="10">
        <f t="shared" ca="1" si="43"/>
        <v>9.0824139312575991E-2</v>
      </c>
      <c r="C2765" s="10">
        <f ca="1">NPV(B2765,Project_FCF!C18:J18)+Project_FCF!B18</f>
        <v>851.04549368327639</v>
      </c>
      <c r="D2765" s="4"/>
      <c r="E2765" s="4"/>
    </row>
    <row r="2766" spans="1:5" x14ac:dyDescent="0.3">
      <c r="A2766" s="9">
        <v>2758</v>
      </c>
      <c r="B2766" s="10">
        <f t="shared" ca="1" si="43"/>
        <v>9.7814565340735543E-2</v>
      </c>
      <c r="C2766" s="10">
        <f ca="1">NPV(B2766,Project_FCF!C18:J18)+Project_FCF!B18</f>
        <v>798.4872257735185</v>
      </c>
      <c r="D2766" s="4"/>
      <c r="E2766" s="4"/>
    </row>
    <row r="2767" spans="1:5" x14ac:dyDescent="0.3">
      <c r="A2767" s="9">
        <v>2759</v>
      </c>
      <c r="B2767" s="10">
        <f t="shared" ca="1" si="43"/>
        <v>7.2689544131978992E-2</v>
      </c>
      <c r="C2767" s="10">
        <f ca="1">NPV(B2767,Project_FCF!C18:J18)+Project_FCF!B18</f>
        <v>1001.6936148764955</v>
      </c>
      <c r="D2767" s="4"/>
      <c r="E2767" s="4"/>
    </row>
    <row r="2768" spans="1:5" x14ac:dyDescent="0.3">
      <c r="A2768" s="9">
        <v>2760</v>
      </c>
      <c r="B2768" s="10">
        <f t="shared" ca="1" si="43"/>
        <v>8.1647154645777362E-2</v>
      </c>
      <c r="C2768" s="10">
        <f ca="1">NPV(B2768,Project_FCF!C18:J18)+Project_FCF!B18</f>
        <v>924.57421372110616</v>
      </c>
      <c r="D2768" s="4"/>
      <c r="E2768" s="4"/>
    </row>
    <row r="2769" spans="1:5" x14ac:dyDescent="0.3">
      <c r="A2769" s="9">
        <v>2761</v>
      </c>
      <c r="B2769" s="10">
        <f t="shared" ca="1" si="43"/>
        <v>0.10128340144947844</v>
      </c>
      <c r="C2769" s="10">
        <f ca="1">NPV(B2769,Project_FCF!C18:J18)+Project_FCF!B18</f>
        <v>773.4512415521101</v>
      </c>
      <c r="D2769" s="4"/>
      <c r="E2769" s="4"/>
    </row>
    <row r="2770" spans="1:5" x14ac:dyDescent="0.3">
      <c r="A2770" s="9">
        <v>2762</v>
      </c>
      <c r="B2770" s="10">
        <f t="shared" ca="1" si="43"/>
        <v>0.10319693947346027</v>
      </c>
      <c r="C2770" s="10">
        <f ca="1">NPV(B2770,Project_FCF!C18:J18)+Project_FCF!B18</f>
        <v>759.92637879434847</v>
      </c>
      <c r="D2770" s="4"/>
      <c r="E2770" s="4"/>
    </row>
    <row r="2771" spans="1:5" x14ac:dyDescent="0.3">
      <c r="A2771" s="9">
        <v>2763</v>
      </c>
      <c r="B2771" s="10">
        <f t="shared" ca="1" si="43"/>
        <v>9.2307899956263748E-2</v>
      </c>
      <c r="C2771" s="10">
        <f ca="1">NPV(B2771,Project_FCF!C18:J18)+Project_FCF!B18</f>
        <v>839.64806465365155</v>
      </c>
      <c r="D2771" s="4"/>
      <c r="E2771" s="4"/>
    </row>
    <row r="2772" spans="1:5" x14ac:dyDescent="0.3">
      <c r="A2772" s="9">
        <v>2764</v>
      </c>
      <c r="B2772" s="10">
        <f t="shared" ca="1" si="43"/>
        <v>6.6360018392714937E-2</v>
      </c>
      <c r="C2772" s="10">
        <f ca="1">NPV(B2772,Project_FCF!C18:J18)+Project_FCF!B18</f>
        <v>1059.6161309055867</v>
      </c>
      <c r="D2772" s="4"/>
      <c r="E2772" s="4"/>
    </row>
    <row r="2773" spans="1:5" x14ac:dyDescent="0.3">
      <c r="A2773" s="9">
        <v>2765</v>
      </c>
      <c r="B2773" s="10">
        <f t="shared" ca="1" si="43"/>
        <v>7.5381805204642827E-2</v>
      </c>
      <c r="C2773" s="10">
        <f ca="1">NPV(B2773,Project_FCF!C18:J18)+Project_FCF!B18</f>
        <v>977.93338483894991</v>
      </c>
      <c r="D2773" s="4"/>
      <c r="E2773" s="4"/>
    </row>
    <row r="2774" spans="1:5" x14ac:dyDescent="0.3">
      <c r="A2774" s="9">
        <v>2766</v>
      </c>
      <c r="B2774" s="10">
        <f t="shared" ca="1" si="43"/>
        <v>7.0615942446684607E-2</v>
      </c>
      <c r="C2774" s="10">
        <f ca="1">NPV(B2774,Project_FCF!C18:J18)+Project_FCF!B18</f>
        <v>1020.3461810891672</v>
      </c>
      <c r="D2774" s="4"/>
      <c r="E2774" s="4"/>
    </row>
    <row r="2775" spans="1:5" x14ac:dyDescent="0.3">
      <c r="A2775" s="9">
        <v>2767</v>
      </c>
      <c r="B2775" s="10">
        <f t="shared" ca="1" si="43"/>
        <v>7.6871665165004044E-2</v>
      </c>
      <c r="C2775" s="10">
        <f ca="1">NPV(B2775,Project_FCF!C18:J18)+Project_FCF!B18</f>
        <v>965.00271600910855</v>
      </c>
      <c r="D2775" s="4"/>
      <c r="E2775" s="4"/>
    </row>
    <row r="2776" spans="1:5" x14ac:dyDescent="0.3">
      <c r="A2776" s="9">
        <v>2768</v>
      </c>
      <c r="B2776" s="10">
        <f t="shared" ca="1" si="43"/>
        <v>8.4186422312342302E-2</v>
      </c>
      <c r="C2776" s="10">
        <f ca="1">NPV(B2776,Project_FCF!C18:J18)+Project_FCF!B18</f>
        <v>903.69295596124493</v>
      </c>
      <c r="D2776" s="4"/>
      <c r="E2776" s="4"/>
    </row>
    <row r="2777" spans="1:5" x14ac:dyDescent="0.3">
      <c r="A2777" s="9">
        <v>2769</v>
      </c>
      <c r="B2777" s="10">
        <f t="shared" ca="1" si="43"/>
        <v>8.8020042043040481E-2</v>
      </c>
      <c r="C2777" s="10">
        <f ca="1">NPV(B2777,Project_FCF!C18:J18)+Project_FCF!B18</f>
        <v>872.95105931991679</v>
      </c>
      <c r="D2777" s="4"/>
      <c r="E2777" s="4"/>
    </row>
    <row r="2778" spans="1:5" x14ac:dyDescent="0.3">
      <c r="A2778" s="9">
        <v>2770</v>
      </c>
      <c r="B2778" s="10">
        <f t="shared" ca="1" si="43"/>
        <v>8.3064574145360642E-2</v>
      </c>
      <c r="C2778" s="10">
        <f ca="1">NPV(B2778,Project_FCF!C18:J18)+Project_FCF!B18</f>
        <v>912.86655444634175</v>
      </c>
      <c r="D2778" s="4"/>
      <c r="E2778" s="4"/>
    </row>
    <row r="2779" spans="1:5" x14ac:dyDescent="0.3">
      <c r="A2779" s="9">
        <v>2771</v>
      </c>
      <c r="B2779" s="10">
        <f t="shared" ca="1" si="43"/>
        <v>9.3180472904607431E-2</v>
      </c>
      <c r="C2779" s="10">
        <f ca="1">NPV(B2779,Project_FCF!C18:J18)+Project_FCF!B18</f>
        <v>833.00708023150219</v>
      </c>
      <c r="D2779" s="4"/>
      <c r="E2779" s="4"/>
    </row>
    <row r="2780" spans="1:5" x14ac:dyDescent="0.3">
      <c r="A2780" s="9">
        <v>2772</v>
      </c>
      <c r="B2780" s="10">
        <f t="shared" ca="1" si="43"/>
        <v>7.7780453723314436E-2</v>
      </c>
      <c r="C2780" s="10">
        <f ca="1">NPV(B2780,Project_FCF!C18:J18)+Project_FCF!B18</f>
        <v>957.1903058022433</v>
      </c>
      <c r="D2780" s="4"/>
      <c r="E2780" s="4"/>
    </row>
    <row r="2781" spans="1:5" x14ac:dyDescent="0.3">
      <c r="A2781" s="9">
        <v>2773</v>
      </c>
      <c r="B2781" s="10">
        <f t="shared" ca="1" si="43"/>
        <v>9.0768887485670371E-2</v>
      </c>
      <c r="C2781" s="10">
        <f ca="1">NPV(B2781,Project_FCF!C18:J18)+Project_FCF!B18</f>
        <v>851.47247521211989</v>
      </c>
      <c r="D2781" s="4"/>
      <c r="E2781" s="4"/>
    </row>
    <row r="2782" spans="1:5" x14ac:dyDescent="0.3">
      <c r="A2782" s="9">
        <v>2774</v>
      </c>
      <c r="B2782" s="10">
        <f t="shared" ca="1" si="43"/>
        <v>7.9946549023089328E-2</v>
      </c>
      <c r="C2782" s="10">
        <f ca="1">NPV(B2782,Project_FCF!C18:J18)+Project_FCF!B18</f>
        <v>938.79568836467934</v>
      </c>
      <c r="D2782" s="4"/>
      <c r="E2782" s="4"/>
    </row>
    <row r="2783" spans="1:5" x14ac:dyDescent="0.3">
      <c r="A2783" s="9">
        <v>2775</v>
      </c>
      <c r="B2783" s="10">
        <f t="shared" ca="1" si="43"/>
        <v>9.0447598244648E-2</v>
      </c>
      <c r="C2783" s="10">
        <f ca="1">NPV(B2783,Project_FCF!C18:J18)+Project_FCF!B18</f>
        <v>853.95904493797252</v>
      </c>
      <c r="D2783" s="4"/>
      <c r="E2783" s="4"/>
    </row>
    <row r="2784" spans="1:5" x14ac:dyDescent="0.3">
      <c r="A2784" s="9">
        <v>2776</v>
      </c>
      <c r="B2784" s="10">
        <f t="shared" ca="1" si="43"/>
        <v>7.8521130880591566E-2</v>
      </c>
      <c r="C2784" s="10">
        <f ca="1">NPV(B2784,Project_FCF!C18:J18)+Project_FCF!B18</f>
        <v>950.86474457662916</v>
      </c>
      <c r="D2784" s="4"/>
      <c r="E2784" s="4"/>
    </row>
    <row r="2785" spans="1:5" x14ac:dyDescent="0.3">
      <c r="A2785" s="9">
        <v>2777</v>
      </c>
      <c r="B2785" s="10">
        <f t="shared" ca="1" si="43"/>
        <v>9.0663141855640964E-2</v>
      </c>
      <c r="C2785" s="10">
        <f ca="1">NPV(B2785,Project_FCF!C18:J18)+Project_FCF!B18</f>
        <v>852.29018523269701</v>
      </c>
      <c r="D2785" s="4"/>
      <c r="E2785" s="4"/>
    </row>
    <row r="2786" spans="1:5" x14ac:dyDescent="0.3">
      <c r="A2786" s="9">
        <v>2778</v>
      </c>
      <c r="B2786" s="10">
        <f t="shared" ca="1" si="43"/>
        <v>9.9082949586036695E-2</v>
      </c>
      <c r="C2786" s="10">
        <f ca="1">NPV(B2786,Project_FCF!C18:J18)+Project_FCF!B18</f>
        <v>789.25436469893839</v>
      </c>
      <c r="D2786" s="4"/>
      <c r="E2786" s="4"/>
    </row>
    <row r="2787" spans="1:5" x14ac:dyDescent="0.3">
      <c r="A2787" s="9">
        <v>2779</v>
      </c>
      <c r="B2787" s="10">
        <f t="shared" ca="1" si="43"/>
        <v>7.8964463010457148E-2</v>
      </c>
      <c r="C2787" s="10">
        <f ca="1">NPV(B2787,Project_FCF!C18:J18)+Project_FCF!B18</f>
        <v>947.09637542034102</v>
      </c>
      <c r="D2787" s="4"/>
      <c r="E2787" s="4"/>
    </row>
    <row r="2788" spans="1:5" x14ac:dyDescent="0.3">
      <c r="A2788" s="9">
        <v>2780</v>
      </c>
      <c r="B2788" s="10">
        <f t="shared" ca="1" si="43"/>
        <v>9.5459963045854329E-2</v>
      </c>
      <c r="C2788" s="10">
        <f ca="1">NPV(B2788,Project_FCF!C18:J18)+Project_FCF!B18</f>
        <v>815.8707758400908</v>
      </c>
      <c r="D2788" s="4"/>
      <c r="E2788" s="4"/>
    </row>
    <row r="2789" spans="1:5" x14ac:dyDescent="0.3">
      <c r="A2789" s="9">
        <v>2781</v>
      </c>
      <c r="B2789" s="10">
        <f t="shared" ca="1" si="43"/>
        <v>6.8793404934647057E-2</v>
      </c>
      <c r="C2789" s="10">
        <f ca="1">NPV(B2789,Project_FCF!C18:J18)+Project_FCF!B18</f>
        <v>1036.9985654178845</v>
      </c>
      <c r="D2789" s="4"/>
      <c r="E2789" s="4"/>
    </row>
    <row r="2790" spans="1:5" x14ac:dyDescent="0.3">
      <c r="A2790" s="9">
        <v>2782</v>
      </c>
      <c r="B2790" s="10">
        <f t="shared" ca="1" si="43"/>
        <v>9.1166524689408765E-2</v>
      </c>
      <c r="C2790" s="10">
        <f ca="1">NPV(B2790,Project_FCF!C18:J18)+Project_FCF!B18</f>
        <v>848.40369273880992</v>
      </c>
      <c r="D2790" s="4"/>
      <c r="E2790" s="4"/>
    </row>
    <row r="2791" spans="1:5" x14ac:dyDescent="0.3">
      <c r="A2791" s="9">
        <v>2783</v>
      </c>
      <c r="B2791" s="10">
        <f t="shared" ca="1" si="43"/>
        <v>9.1190268340057806E-2</v>
      </c>
      <c r="C2791" s="10">
        <f ca="1">NPV(B2791,Project_FCF!C18:J18)+Project_FCF!B18</f>
        <v>848.2207528748911</v>
      </c>
      <c r="D2791" s="4"/>
      <c r="E2791" s="4"/>
    </row>
    <row r="2792" spans="1:5" x14ac:dyDescent="0.3">
      <c r="A2792" s="9">
        <v>2784</v>
      </c>
      <c r="B2792" s="10">
        <f t="shared" ca="1" si="43"/>
        <v>9.2820362981056628E-2</v>
      </c>
      <c r="C2792" s="10">
        <f ca="1">NPV(B2792,Project_FCF!C18:J18)+Project_FCF!B18</f>
        <v>835.74230781470737</v>
      </c>
      <c r="D2792" s="4"/>
      <c r="E2792" s="4"/>
    </row>
    <row r="2793" spans="1:5" x14ac:dyDescent="0.3">
      <c r="A2793" s="9">
        <v>2785</v>
      </c>
      <c r="B2793" s="10">
        <f t="shared" ca="1" si="43"/>
        <v>7.6940773373290069E-2</v>
      </c>
      <c r="C2793" s="10">
        <f ca="1">NPV(B2793,Project_FCF!C18:J18)+Project_FCF!B18</f>
        <v>964.40663754331331</v>
      </c>
      <c r="D2793" s="4"/>
      <c r="E2793" s="4"/>
    </row>
    <row r="2794" spans="1:5" x14ac:dyDescent="0.3">
      <c r="A2794" s="9">
        <v>2786</v>
      </c>
      <c r="B2794" s="10">
        <f t="shared" ca="1" si="43"/>
        <v>7.0313685274550286E-2</v>
      </c>
      <c r="C2794" s="10">
        <f ca="1">NPV(B2794,Project_FCF!C18:J18)+Project_FCF!B18</f>
        <v>1023.0910517489224</v>
      </c>
      <c r="D2794" s="4"/>
      <c r="E2794" s="4"/>
    </row>
    <row r="2795" spans="1:5" x14ac:dyDescent="0.3">
      <c r="A2795" s="9">
        <v>2787</v>
      </c>
      <c r="B2795" s="10">
        <f t="shared" ca="1" si="43"/>
        <v>6.6002178957212582E-2</v>
      </c>
      <c r="C2795" s="10">
        <f ca="1">NPV(B2795,Project_FCF!C18:J18)+Project_FCF!B18</f>
        <v>1062.9796850764451</v>
      </c>
      <c r="D2795" s="4"/>
      <c r="E2795" s="4"/>
    </row>
    <row r="2796" spans="1:5" x14ac:dyDescent="0.3">
      <c r="A2796" s="9">
        <v>2788</v>
      </c>
      <c r="B2796" s="10">
        <f t="shared" ca="1" si="43"/>
        <v>9.7350639581317178E-2</v>
      </c>
      <c r="C2796" s="10">
        <f ca="1">NPV(B2796,Project_FCF!C18:J18)+Project_FCF!B18</f>
        <v>801.88709315695723</v>
      </c>
      <c r="D2796" s="4"/>
      <c r="E2796" s="4"/>
    </row>
    <row r="2797" spans="1:5" x14ac:dyDescent="0.3">
      <c r="A2797" s="9">
        <v>2789</v>
      </c>
      <c r="B2797" s="10">
        <f t="shared" ca="1" si="43"/>
        <v>9.4461206668930292E-2</v>
      </c>
      <c r="C2797" s="10">
        <f ca="1">NPV(B2797,Project_FCF!C18:J18)+Project_FCF!B18</f>
        <v>823.34144941121258</v>
      </c>
      <c r="D2797" s="4"/>
      <c r="E2797" s="4"/>
    </row>
    <row r="2798" spans="1:5" x14ac:dyDescent="0.3">
      <c r="A2798" s="9">
        <v>2790</v>
      </c>
      <c r="B2798" s="10">
        <f t="shared" ca="1" si="43"/>
        <v>7.3122422635513523E-2</v>
      </c>
      <c r="C2798" s="10">
        <f ca="1">NPV(B2798,Project_FCF!C18:J18)+Project_FCF!B18</f>
        <v>997.83870171679109</v>
      </c>
      <c r="D2798" s="4"/>
      <c r="E2798" s="4"/>
    </row>
    <row r="2799" spans="1:5" x14ac:dyDescent="0.3">
      <c r="A2799" s="9">
        <v>2791</v>
      </c>
      <c r="B2799" s="10">
        <f t="shared" ca="1" si="43"/>
        <v>6.5116701324816784E-2</v>
      </c>
      <c r="C2799" s="10">
        <f ca="1">NPV(B2799,Project_FCF!C18:J18)+Project_FCF!B18</f>
        <v>1071.3446910518755</v>
      </c>
      <c r="D2799" s="4"/>
      <c r="E2799" s="4"/>
    </row>
    <row r="2800" spans="1:5" x14ac:dyDescent="0.3">
      <c r="A2800" s="9">
        <v>2792</v>
      </c>
      <c r="B2800" s="10">
        <f t="shared" ca="1" si="43"/>
        <v>7.0600983113054558E-2</v>
      </c>
      <c r="C2800" s="10">
        <f ca="1">NPV(B2800,Project_FCF!C18:J18)+Project_FCF!B18</f>
        <v>1020.4818738819931</v>
      </c>
      <c r="D2800" s="4"/>
      <c r="E2800" s="4"/>
    </row>
    <row r="2801" spans="1:5" x14ac:dyDescent="0.3">
      <c r="A2801" s="9">
        <v>2793</v>
      </c>
      <c r="B2801" s="10">
        <f t="shared" ca="1" si="43"/>
        <v>8.4912893609966567E-2</v>
      </c>
      <c r="C2801" s="10">
        <f ca="1">NPV(B2801,Project_FCF!C18:J18)+Project_FCF!B18</f>
        <v>897.79570447058654</v>
      </c>
      <c r="D2801" s="4"/>
      <c r="E2801" s="4"/>
    </row>
    <row r="2802" spans="1:5" x14ac:dyDescent="0.3">
      <c r="A2802" s="9">
        <v>2794</v>
      </c>
      <c r="B2802" s="10">
        <f t="shared" ca="1" si="43"/>
        <v>7.1023558196873116E-2</v>
      </c>
      <c r="C2802" s="10">
        <f ca="1">NPV(B2802,Project_FCF!C18:J18)+Project_FCF!B18</f>
        <v>1016.6550496117659</v>
      </c>
      <c r="D2802" s="4"/>
      <c r="E2802" s="4"/>
    </row>
    <row r="2803" spans="1:5" x14ac:dyDescent="0.3">
      <c r="A2803" s="9">
        <v>2795</v>
      </c>
      <c r="B2803" s="10">
        <f t="shared" ca="1" si="43"/>
        <v>7.7027605662554066E-2</v>
      </c>
      <c r="C2803" s="10">
        <f ca="1">NPV(B2803,Project_FCF!C18:J18)+Project_FCF!B18</f>
        <v>963.65814889216449</v>
      </c>
      <c r="D2803" s="4"/>
      <c r="E2803" s="4"/>
    </row>
    <row r="2804" spans="1:5" x14ac:dyDescent="0.3">
      <c r="A2804" s="9">
        <v>2796</v>
      </c>
      <c r="B2804" s="10">
        <f t="shared" ca="1" si="43"/>
        <v>8.1688602836372151E-2</v>
      </c>
      <c r="C2804" s="10">
        <f ca="1">NPV(B2804,Project_FCF!C18:J18)+Project_FCF!B18</f>
        <v>924.22998865162936</v>
      </c>
      <c r="D2804" s="4"/>
      <c r="E2804" s="4"/>
    </row>
    <row r="2805" spans="1:5" x14ac:dyDescent="0.3">
      <c r="A2805" s="9">
        <v>2797</v>
      </c>
      <c r="B2805" s="10">
        <f t="shared" ca="1" si="43"/>
        <v>9.2160411391299352E-2</v>
      </c>
      <c r="C2805" s="10">
        <f ca="1">NPV(B2805,Project_FCF!C18:J18)+Project_FCF!B18</f>
        <v>840.77506398811238</v>
      </c>
      <c r="D2805" s="4"/>
      <c r="E2805" s="4"/>
    </row>
    <row r="2806" spans="1:5" x14ac:dyDescent="0.3">
      <c r="A2806" s="9">
        <v>2798</v>
      </c>
      <c r="B2806" s="10">
        <f t="shared" ca="1" si="43"/>
        <v>7.4066552319135254E-2</v>
      </c>
      <c r="C2806" s="10">
        <f ca="1">NPV(B2806,Project_FCF!C18:J18)+Project_FCF!B18</f>
        <v>989.47711273709228</v>
      </c>
      <c r="D2806" s="4"/>
      <c r="E2806" s="4"/>
    </row>
    <row r="2807" spans="1:5" x14ac:dyDescent="0.3">
      <c r="A2807" s="9">
        <v>2799</v>
      </c>
      <c r="B2807" s="10">
        <f t="shared" ca="1" si="43"/>
        <v>8.9367058226279036E-2</v>
      </c>
      <c r="C2807" s="10">
        <f ca="1">NPV(B2807,Project_FCF!C18:J18)+Project_FCF!B18</f>
        <v>862.36791240903881</v>
      </c>
      <c r="D2807" s="4"/>
      <c r="E2807" s="4"/>
    </row>
    <row r="2808" spans="1:5" x14ac:dyDescent="0.3">
      <c r="A2808" s="9">
        <v>2800</v>
      </c>
      <c r="B2808" s="10">
        <f t="shared" ca="1" si="43"/>
        <v>7.6083772371391037E-2</v>
      </c>
      <c r="C2808" s="10">
        <f ca="1">NPV(B2808,Project_FCF!C18:J18)+Project_FCF!B18</f>
        <v>971.82178471003363</v>
      </c>
      <c r="D2808" s="4"/>
      <c r="E2808" s="4"/>
    </row>
    <row r="2809" spans="1:5" x14ac:dyDescent="0.3">
      <c r="A2809" s="9">
        <v>2801</v>
      </c>
      <c r="B2809" s="10">
        <f t="shared" ca="1" si="43"/>
        <v>8.6448745541403832E-2</v>
      </c>
      <c r="C2809" s="10">
        <f ca="1">NPV(B2809,Project_FCF!C18:J18)+Project_FCF!B18</f>
        <v>885.43899403185674</v>
      </c>
      <c r="D2809" s="4"/>
      <c r="E2809" s="4"/>
    </row>
    <row r="2810" spans="1:5" x14ac:dyDescent="0.3">
      <c r="A2810" s="9">
        <v>2802</v>
      </c>
      <c r="B2810" s="10">
        <f t="shared" ca="1" si="43"/>
        <v>9.4860086832245505E-2</v>
      </c>
      <c r="C2810" s="10">
        <f ca="1">NPV(B2810,Project_FCF!C18:J18)+Project_FCF!B18</f>
        <v>820.35084035858381</v>
      </c>
      <c r="D2810" s="4"/>
      <c r="E2810" s="4"/>
    </row>
    <row r="2811" spans="1:5" x14ac:dyDescent="0.3">
      <c r="A2811" s="9">
        <v>2803</v>
      </c>
      <c r="B2811" s="10">
        <f t="shared" ca="1" si="43"/>
        <v>0.10329936412526386</v>
      </c>
      <c r="C2811" s="10">
        <f ca="1">NPV(B2811,Project_FCF!C18:J18)+Project_FCF!B18</f>
        <v>759.20808250826894</v>
      </c>
      <c r="D2811" s="4"/>
      <c r="E2811" s="4"/>
    </row>
    <row r="2812" spans="1:5" x14ac:dyDescent="0.3">
      <c r="A2812" s="9">
        <v>2804</v>
      </c>
      <c r="B2812" s="10">
        <f t="shared" ca="1" si="43"/>
        <v>9.8434619071504803E-2</v>
      </c>
      <c r="C2812" s="10">
        <f ca="1">NPV(B2812,Project_FCF!C18:J18)+Project_FCF!B18</f>
        <v>793.96232119535034</v>
      </c>
      <c r="D2812" s="4"/>
      <c r="E2812" s="4"/>
    </row>
    <row r="2813" spans="1:5" x14ac:dyDescent="0.3">
      <c r="A2813" s="9">
        <v>2805</v>
      </c>
      <c r="B2813" s="10">
        <f t="shared" ca="1" si="43"/>
        <v>6.7884038645554576E-2</v>
      </c>
      <c r="C2813" s="10">
        <f ca="1">NPV(B2813,Project_FCF!C18:J18)+Project_FCF!B18</f>
        <v>1045.3990380355974</v>
      </c>
      <c r="D2813" s="4"/>
      <c r="E2813" s="4"/>
    </row>
    <row r="2814" spans="1:5" x14ac:dyDescent="0.3">
      <c r="A2814" s="9">
        <v>2806</v>
      </c>
      <c r="B2814" s="10">
        <f t="shared" ca="1" si="43"/>
        <v>8.6902830266009562E-2</v>
      </c>
      <c r="C2814" s="10">
        <f ca="1">NPV(B2814,Project_FCF!C18:J18)+Project_FCF!B18</f>
        <v>881.81423838891192</v>
      </c>
      <c r="D2814" s="4"/>
      <c r="E2814" s="4"/>
    </row>
    <row r="2815" spans="1:5" x14ac:dyDescent="0.3">
      <c r="A2815" s="9">
        <v>2807</v>
      </c>
      <c r="B2815" s="10">
        <f t="shared" ca="1" si="43"/>
        <v>9.5909568912284845E-2</v>
      </c>
      <c r="C2815" s="10">
        <f ca="1">NPV(B2815,Project_FCF!C18:J18)+Project_FCF!B18</f>
        <v>812.52671264720061</v>
      </c>
      <c r="D2815" s="4"/>
      <c r="E2815" s="4"/>
    </row>
    <row r="2816" spans="1:5" x14ac:dyDescent="0.3">
      <c r="A2816" s="9">
        <v>2808</v>
      </c>
      <c r="B2816" s="10">
        <f t="shared" ca="1" si="43"/>
        <v>6.719535134382007E-2</v>
      </c>
      <c r="C2816" s="10">
        <f ca="1">NPV(B2816,Project_FCF!C18:J18)+Project_FCF!B18</f>
        <v>1051.8019716331596</v>
      </c>
      <c r="D2816" s="4"/>
      <c r="E2816" s="4"/>
    </row>
    <row r="2817" spans="1:5" x14ac:dyDescent="0.3">
      <c r="A2817" s="9">
        <v>2809</v>
      </c>
      <c r="B2817" s="10">
        <f t="shared" ca="1" si="43"/>
        <v>8.3095054896669407E-2</v>
      </c>
      <c r="C2817" s="10">
        <f ca="1">NPV(B2817,Project_FCF!C18:J18)+Project_FCF!B18</f>
        <v>912.6162289778083</v>
      </c>
      <c r="D2817" s="4"/>
      <c r="E2817" s="4"/>
    </row>
    <row r="2818" spans="1:5" x14ac:dyDescent="0.3">
      <c r="A2818" s="9">
        <v>2810</v>
      </c>
      <c r="B2818" s="10">
        <f t="shared" ca="1" si="43"/>
        <v>7.5058134904424326E-2</v>
      </c>
      <c r="C2818" s="10">
        <f ca="1">NPV(B2818,Project_FCF!C18:J18)+Project_FCF!B18</f>
        <v>980.76293921251499</v>
      </c>
      <c r="D2818" s="4"/>
      <c r="E2818" s="4"/>
    </row>
    <row r="2819" spans="1:5" x14ac:dyDescent="0.3">
      <c r="A2819" s="9">
        <v>2811</v>
      </c>
      <c r="B2819" s="10">
        <f t="shared" ca="1" si="43"/>
        <v>6.5352724831452755E-2</v>
      </c>
      <c r="C2819" s="10">
        <f ca="1">NPV(B2819,Project_FCF!C18:J18)+Project_FCF!B18</f>
        <v>1069.1091585262</v>
      </c>
      <c r="D2819" s="4"/>
      <c r="E2819" s="4"/>
    </row>
    <row r="2820" spans="1:5" x14ac:dyDescent="0.3">
      <c r="A2820" s="9">
        <v>2812</v>
      </c>
      <c r="B2820" s="10">
        <f t="shared" ca="1" si="43"/>
        <v>6.7147866541142173E-2</v>
      </c>
      <c r="C2820" s="10">
        <f ca="1">NPV(B2820,Project_FCF!C18:J18)+Project_FCF!B18</f>
        <v>1052.244762013207</v>
      </c>
      <c r="D2820" s="4"/>
      <c r="E2820" s="4"/>
    </row>
    <row r="2821" spans="1:5" x14ac:dyDescent="0.3">
      <c r="A2821" s="9">
        <v>2813</v>
      </c>
      <c r="B2821" s="10">
        <f t="shared" ca="1" si="43"/>
        <v>9.6474368533889077E-2</v>
      </c>
      <c r="C2821" s="10">
        <f ca="1">NPV(B2821,Project_FCF!C18:J18)+Project_FCF!B18</f>
        <v>808.34246309482819</v>
      </c>
      <c r="D2821" s="4"/>
      <c r="E2821" s="4"/>
    </row>
    <row r="2822" spans="1:5" x14ac:dyDescent="0.3">
      <c r="A2822" s="9">
        <v>2814</v>
      </c>
      <c r="B2822" s="10">
        <f t="shared" ca="1" si="43"/>
        <v>8.2211372382946374E-2</v>
      </c>
      <c r="C2822" s="10">
        <f ca="1">NPV(B2822,Project_FCF!C18:J18)+Project_FCF!B18</f>
        <v>919.89810879893184</v>
      </c>
      <c r="D2822" s="4"/>
      <c r="E2822" s="4"/>
    </row>
    <row r="2823" spans="1:5" x14ac:dyDescent="0.3">
      <c r="A2823" s="9">
        <v>2815</v>
      </c>
      <c r="B2823" s="10">
        <f t="shared" ca="1" si="43"/>
        <v>7.5547211532321537E-2</v>
      </c>
      <c r="C2823" s="10">
        <f ca="1">NPV(B2823,Project_FCF!C18:J18)+Project_FCF!B18</f>
        <v>976.49020832950669</v>
      </c>
      <c r="D2823" s="4"/>
      <c r="E2823" s="4"/>
    </row>
    <row r="2824" spans="1:5" x14ac:dyDescent="0.3">
      <c r="A2824" s="9">
        <v>2816</v>
      </c>
      <c r="B2824" s="10">
        <f t="shared" ca="1" si="43"/>
        <v>0.10292821856235165</v>
      </c>
      <c r="C2824" s="10">
        <f ca="1">NPV(B2824,Project_FCF!C18:J18)+Project_FCF!B18</f>
        <v>761.81360904014741</v>
      </c>
      <c r="D2824" s="4"/>
      <c r="E2824" s="4"/>
    </row>
    <row r="2825" spans="1:5" x14ac:dyDescent="0.3">
      <c r="A2825" s="9">
        <v>2817</v>
      </c>
      <c r="B2825" s="10">
        <f t="shared" ref="B2825:B2888" ca="1" si="44">$B$4+RAND()*($B$5-$B$4)</f>
        <v>8.8483092051287349E-2</v>
      </c>
      <c r="C2825" s="10">
        <f ca="1">NPV(B2825,Project_FCF!C18:J18)+Project_FCF!B18</f>
        <v>869.30034031352716</v>
      </c>
      <c r="D2825" s="4"/>
      <c r="E2825" s="4"/>
    </row>
    <row r="2826" spans="1:5" x14ac:dyDescent="0.3">
      <c r="A2826" s="9">
        <v>2818</v>
      </c>
      <c r="B2826" s="10">
        <f t="shared" ca="1" si="44"/>
        <v>8.4283296851042605E-2</v>
      </c>
      <c r="C2826" s="10">
        <f ca="1">NPV(B2826,Project_FCF!C18:J18)+Project_FCF!B18</f>
        <v>902.90460280214916</v>
      </c>
      <c r="D2826" s="4"/>
      <c r="E2826" s="4"/>
    </row>
    <row r="2827" spans="1:5" x14ac:dyDescent="0.3">
      <c r="A2827" s="9">
        <v>2819</v>
      </c>
      <c r="B2827" s="10">
        <f t="shared" ca="1" si="44"/>
        <v>9.4293051247791443E-2</v>
      </c>
      <c r="C2827" s="10">
        <f ca="1">NPV(B2827,Project_FCF!C18:J18)+Project_FCF!B18</f>
        <v>824.60499392477573</v>
      </c>
      <c r="D2827" s="4"/>
      <c r="E2827" s="4"/>
    </row>
    <row r="2828" spans="1:5" x14ac:dyDescent="0.3">
      <c r="A2828" s="9">
        <v>2820</v>
      </c>
      <c r="B2828" s="10">
        <f t="shared" ca="1" si="44"/>
        <v>6.8051918766678793E-2</v>
      </c>
      <c r="C2828" s="10">
        <f ca="1">NPV(B2828,Project_FCF!C18:J18)+Project_FCF!B18</f>
        <v>1043.8435793182819</v>
      </c>
      <c r="D2828" s="4"/>
      <c r="E2828" s="4"/>
    </row>
    <row r="2829" spans="1:5" x14ac:dyDescent="0.3">
      <c r="A2829" s="9">
        <v>2821</v>
      </c>
      <c r="B2829" s="10">
        <f t="shared" ca="1" si="44"/>
        <v>7.9871718551729615E-2</v>
      </c>
      <c r="C2829" s="10">
        <f ca="1">NPV(B2829,Project_FCF!C18:J18)+Project_FCF!B18</f>
        <v>939.42588566501058</v>
      </c>
      <c r="D2829" s="4"/>
      <c r="E2829" s="4"/>
    </row>
    <row r="2830" spans="1:5" x14ac:dyDescent="0.3">
      <c r="A2830" s="9">
        <v>2822</v>
      </c>
      <c r="B2830" s="10">
        <f t="shared" ca="1" si="44"/>
        <v>7.4355736466244854E-2</v>
      </c>
      <c r="C2830" s="10">
        <f ca="1">NPV(B2830,Project_FCF!C18:J18)+Project_FCF!B18</f>
        <v>986.92858472037506</v>
      </c>
      <c r="D2830" s="4"/>
      <c r="E2830" s="4"/>
    </row>
    <row r="2831" spans="1:5" x14ac:dyDescent="0.3">
      <c r="A2831" s="9">
        <v>2823</v>
      </c>
      <c r="B2831" s="10">
        <f t="shared" ca="1" si="44"/>
        <v>6.6003601155532013E-2</v>
      </c>
      <c r="C2831" s="10">
        <f ca="1">NPV(B2831,Project_FCF!C18:J18)+Project_FCF!B18</f>
        <v>1062.9662977363232</v>
      </c>
      <c r="D2831" s="4"/>
      <c r="E2831" s="4"/>
    </row>
    <row r="2832" spans="1:5" x14ac:dyDescent="0.3">
      <c r="A2832" s="9">
        <v>2824</v>
      </c>
      <c r="B2832" s="10">
        <f t="shared" ca="1" si="44"/>
        <v>0.10123420320312843</v>
      </c>
      <c r="C2832" s="10">
        <f ca="1">NPV(B2832,Project_FCF!C18:J18)+Project_FCF!B18</f>
        <v>773.80162773211623</v>
      </c>
      <c r="D2832" s="4"/>
      <c r="E2832" s="4"/>
    </row>
    <row r="2833" spans="1:5" x14ac:dyDescent="0.3">
      <c r="A2833" s="9">
        <v>2825</v>
      </c>
      <c r="B2833" s="10">
        <f t="shared" ca="1" si="44"/>
        <v>6.8374438286442782E-2</v>
      </c>
      <c r="C2833" s="10">
        <f ca="1">NPV(B2833,Project_FCF!C18:J18)+Project_FCF!B18</f>
        <v>1040.8612299818183</v>
      </c>
      <c r="D2833" s="4"/>
      <c r="E2833" s="4"/>
    </row>
    <row r="2834" spans="1:5" x14ac:dyDescent="0.3">
      <c r="A2834" s="9">
        <v>2826</v>
      </c>
      <c r="B2834" s="10">
        <f t="shared" ca="1" si="44"/>
        <v>0.10343914205247942</v>
      </c>
      <c r="C2834" s="10">
        <f ca="1">NPV(B2834,Project_FCF!C18:J18)+Project_FCF!B18</f>
        <v>758.22874938709492</v>
      </c>
      <c r="D2834" s="4"/>
      <c r="E2834" s="4"/>
    </row>
    <row r="2835" spans="1:5" x14ac:dyDescent="0.3">
      <c r="A2835" s="9">
        <v>2827</v>
      </c>
      <c r="B2835" s="10">
        <f t="shared" ca="1" si="44"/>
        <v>7.3562015936607411E-2</v>
      </c>
      <c r="C2835" s="10">
        <f ca="1">NPV(B2835,Project_FCF!C18:J18)+Project_FCF!B18</f>
        <v>993.93763248750429</v>
      </c>
      <c r="D2835" s="4"/>
      <c r="E2835" s="4"/>
    </row>
    <row r="2836" spans="1:5" x14ac:dyDescent="0.3">
      <c r="A2836" s="9">
        <v>2828</v>
      </c>
      <c r="B2836" s="10">
        <f t="shared" ca="1" si="44"/>
        <v>8.6209133741367405E-2</v>
      </c>
      <c r="C2836" s="10">
        <f ca="1">NPV(B2836,Project_FCF!C18:J18)+Project_FCF!B18</f>
        <v>887.3569462887292</v>
      </c>
      <c r="D2836" s="4"/>
      <c r="E2836" s="4"/>
    </row>
    <row r="2837" spans="1:5" x14ac:dyDescent="0.3">
      <c r="A2837" s="9">
        <v>2829</v>
      </c>
      <c r="B2837" s="10">
        <f t="shared" ca="1" si="44"/>
        <v>8.1557311379448383E-2</v>
      </c>
      <c r="C2837" s="10">
        <f ca="1">NPV(B2837,Project_FCF!C18:J18)+Project_FCF!B18</f>
        <v>925.3207458206532</v>
      </c>
      <c r="D2837" s="4"/>
      <c r="E2837" s="4"/>
    </row>
    <row r="2838" spans="1:5" x14ac:dyDescent="0.3">
      <c r="A2838" s="9">
        <v>2830</v>
      </c>
      <c r="B2838" s="10">
        <f t="shared" ca="1" si="44"/>
        <v>0.10318329027241602</v>
      </c>
      <c r="C2838" s="10">
        <f ca="1">NPV(B2838,Project_FCF!C18:J18)+Project_FCF!B18</f>
        <v>760.02214263426413</v>
      </c>
      <c r="D2838" s="4"/>
      <c r="E2838" s="4"/>
    </row>
    <row r="2839" spans="1:5" x14ac:dyDescent="0.3">
      <c r="A2839" s="9">
        <v>2831</v>
      </c>
      <c r="B2839" s="10">
        <f t="shared" ca="1" si="44"/>
        <v>8.9382426885664529E-2</v>
      </c>
      <c r="C2839" s="10">
        <f ca="1">NPV(B2839,Project_FCF!C18:J18)+Project_FCF!B18</f>
        <v>862.24781074263456</v>
      </c>
      <c r="D2839" s="4"/>
      <c r="E2839" s="4"/>
    </row>
    <row r="2840" spans="1:5" x14ac:dyDescent="0.3">
      <c r="A2840" s="9">
        <v>2832</v>
      </c>
      <c r="B2840" s="10">
        <f t="shared" ca="1" si="44"/>
        <v>6.6319817896393962E-2</v>
      </c>
      <c r="C2840" s="10">
        <f ca="1">NPV(B2840,Project_FCF!C18:J18)+Project_FCF!B18</f>
        <v>1059.9935165661561</v>
      </c>
      <c r="D2840" s="4"/>
      <c r="E2840" s="4"/>
    </row>
    <row r="2841" spans="1:5" x14ac:dyDescent="0.3">
      <c r="A2841" s="9">
        <v>2833</v>
      </c>
      <c r="B2841" s="10">
        <f t="shared" ca="1" si="44"/>
        <v>7.3327892473250694E-2</v>
      </c>
      <c r="C2841" s="10">
        <f ca="1">NPV(B2841,Project_FCF!C18:J18)+Project_FCF!B18</f>
        <v>996.01359942690101</v>
      </c>
      <c r="D2841" s="4"/>
      <c r="E2841" s="4"/>
    </row>
    <row r="2842" spans="1:5" x14ac:dyDescent="0.3">
      <c r="A2842" s="9">
        <v>2834</v>
      </c>
      <c r="B2842" s="10">
        <f t="shared" ca="1" si="44"/>
        <v>6.6200671088992594E-2</v>
      </c>
      <c r="C2842" s="10">
        <f ca="1">NPV(B2842,Project_FCF!C18:J18)+Project_FCF!B18</f>
        <v>1061.1127362948573</v>
      </c>
      <c r="D2842" s="4"/>
      <c r="E2842" s="4"/>
    </row>
    <row r="2843" spans="1:5" x14ac:dyDescent="0.3">
      <c r="A2843" s="9">
        <v>2835</v>
      </c>
      <c r="B2843" s="10">
        <f t="shared" ca="1" si="44"/>
        <v>8.1544817529295155E-2</v>
      </c>
      <c r="C2843" s="10">
        <f ca="1">NPV(B2843,Project_FCF!C18:J18)+Project_FCF!B18</f>
        <v>925.42460273767847</v>
      </c>
      <c r="D2843" s="4"/>
      <c r="E2843" s="4"/>
    </row>
    <row r="2844" spans="1:5" x14ac:dyDescent="0.3">
      <c r="A2844" s="9">
        <v>2836</v>
      </c>
      <c r="B2844" s="10">
        <f t="shared" ca="1" si="44"/>
        <v>8.4513990222591123E-2</v>
      </c>
      <c r="C2844" s="10">
        <f ca="1">NPV(B2844,Project_FCF!C18:J18)+Project_FCF!B18</f>
        <v>901.02967714449574</v>
      </c>
      <c r="D2844" s="4"/>
      <c r="E2844" s="4"/>
    </row>
    <row r="2845" spans="1:5" x14ac:dyDescent="0.3">
      <c r="A2845" s="9">
        <v>2837</v>
      </c>
      <c r="B2845" s="10">
        <f t="shared" ca="1" si="44"/>
        <v>9.6980750817047906E-2</v>
      </c>
      <c r="C2845" s="10">
        <f ca="1">NPV(B2845,Project_FCF!C18:J18)+Project_FCF!B18</f>
        <v>804.60663470375221</v>
      </c>
      <c r="D2845" s="4"/>
      <c r="E2845" s="4"/>
    </row>
    <row r="2846" spans="1:5" x14ac:dyDescent="0.3">
      <c r="A2846" s="9">
        <v>2838</v>
      </c>
      <c r="B2846" s="10">
        <f t="shared" ca="1" si="44"/>
        <v>7.8417139016295809E-2</v>
      </c>
      <c r="C2846" s="10">
        <f ca="1">NPV(B2846,Project_FCF!C18:J18)+Project_FCF!B18</f>
        <v>951.75061196540332</v>
      </c>
      <c r="D2846" s="4"/>
      <c r="E2846" s="4"/>
    </row>
    <row r="2847" spans="1:5" x14ac:dyDescent="0.3">
      <c r="A2847" s="9">
        <v>2839</v>
      </c>
      <c r="B2847" s="10">
        <f t="shared" ca="1" si="44"/>
        <v>0.10227926575978241</v>
      </c>
      <c r="C2847" s="10">
        <f ca="1">NPV(B2847,Project_FCF!C18:J18)+Project_FCF!B18</f>
        <v>766.38744860599149</v>
      </c>
      <c r="D2847" s="4"/>
      <c r="E2847" s="4"/>
    </row>
    <row r="2848" spans="1:5" x14ac:dyDescent="0.3">
      <c r="A2848" s="9">
        <v>2840</v>
      </c>
      <c r="B2848" s="10">
        <f t="shared" ca="1" si="44"/>
        <v>9.5207487257677026E-2</v>
      </c>
      <c r="C2848" s="10">
        <f ca="1">NPV(B2848,Project_FCF!C18:J18)+Project_FCF!B18</f>
        <v>817.75378610726307</v>
      </c>
      <c r="D2848" s="4"/>
      <c r="E2848" s="4"/>
    </row>
    <row r="2849" spans="1:5" x14ac:dyDescent="0.3">
      <c r="A2849" s="9">
        <v>2841</v>
      </c>
      <c r="B2849" s="10">
        <f t="shared" ca="1" si="44"/>
        <v>6.96744090106763E-2</v>
      </c>
      <c r="C2849" s="10">
        <f ca="1">NPV(B2849,Project_FCF!C18:J18)+Project_FCF!B18</f>
        <v>1028.9184599738217</v>
      </c>
      <c r="D2849" s="4"/>
      <c r="E2849" s="4"/>
    </row>
    <row r="2850" spans="1:5" x14ac:dyDescent="0.3">
      <c r="A2850" s="9">
        <v>2842</v>
      </c>
      <c r="B2850" s="10">
        <f t="shared" ca="1" si="44"/>
        <v>9.0728618697603458E-2</v>
      </c>
      <c r="C2850" s="10">
        <f ca="1">NPV(B2850,Project_FCF!C18:J18)+Project_FCF!B18</f>
        <v>851.78378575128841</v>
      </c>
      <c r="D2850" s="4"/>
      <c r="E2850" s="4"/>
    </row>
    <row r="2851" spans="1:5" x14ac:dyDescent="0.3">
      <c r="A2851" s="9">
        <v>2843</v>
      </c>
      <c r="B2851" s="10">
        <f t="shared" ca="1" si="44"/>
        <v>9.1128007049383036E-2</v>
      </c>
      <c r="C2851" s="10">
        <f ca="1">NPV(B2851,Project_FCF!C18:J18)+Project_FCF!B18</f>
        <v>848.70053560249085</v>
      </c>
      <c r="D2851" s="4"/>
      <c r="E2851" s="4"/>
    </row>
    <row r="2852" spans="1:5" x14ac:dyDescent="0.3">
      <c r="A2852" s="9">
        <v>2844</v>
      </c>
      <c r="B2852" s="10">
        <f t="shared" ca="1" si="44"/>
        <v>6.8924545730146947E-2</v>
      </c>
      <c r="C2852" s="10">
        <f ca="1">NPV(B2852,Project_FCF!C18:J18)+Project_FCF!B18</f>
        <v>1035.7921838811039</v>
      </c>
      <c r="D2852" s="4"/>
      <c r="E2852" s="4"/>
    </row>
    <row r="2853" spans="1:5" x14ac:dyDescent="0.3">
      <c r="A2853" s="9">
        <v>2845</v>
      </c>
      <c r="B2853" s="10">
        <f t="shared" ca="1" si="44"/>
        <v>7.008787520335015E-2</v>
      </c>
      <c r="C2853" s="10">
        <f ca="1">NPV(B2853,Project_FCF!C18:J18)+Project_FCF!B18</f>
        <v>1025.1460378380052</v>
      </c>
      <c r="D2853" s="4"/>
      <c r="E2853" s="4"/>
    </row>
    <row r="2854" spans="1:5" x14ac:dyDescent="0.3">
      <c r="A2854" s="9">
        <v>2846</v>
      </c>
      <c r="B2854" s="10">
        <f t="shared" ca="1" si="44"/>
        <v>9.9750820723830846E-2</v>
      </c>
      <c r="C2854" s="10">
        <f ca="1">NPV(B2854,Project_FCF!C18:J18)+Project_FCF!B18</f>
        <v>784.42927669071719</v>
      </c>
      <c r="D2854" s="4"/>
      <c r="E2854" s="4"/>
    </row>
    <row r="2855" spans="1:5" x14ac:dyDescent="0.3">
      <c r="A2855" s="9">
        <v>2847</v>
      </c>
      <c r="B2855" s="10">
        <f t="shared" ca="1" si="44"/>
        <v>8.0600797103181576E-2</v>
      </c>
      <c r="C2855" s="10">
        <f ca="1">NPV(B2855,Project_FCF!C18:J18)+Project_FCF!B18</f>
        <v>933.30174973172689</v>
      </c>
      <c r="D2855" s="4"/>
      <c r="E2855" s="4"/>
    </row>
    <row r="2856" spans="1:5" x14ac:dyDescent="0.3">
      <c r="A2856" s="9">
        <v>2848</v>
      </c>
      <c r="B2856" s="10">
        <f t="shared" ca="1" si="44"/>
        <v>0.10334662410526327</v>
      </c>
      <c r="C2856" s="10">
        <f ca="1">NPV(B2856,Project_FCF!C18:J18)+Project_FCF!B18</f>
        <v>758.87684391529115</v>
      </c>
      <c r="D2856" s="4"/>
      <c r="E2856" s="4"/>
    </row>
    <row r="2857" spans="1:5" x14ac:dyDescent="0.3">
      <c r="A2857" s="9">
        <v>2849</v>
      </c>
      <c r="B2857" s="10">
        <f t="shared" ca="1" si="44"/>
        <v>7.8352392321682202E-2</v>
      </c>
      <c r="C2857" s="10">
        <f ca="1">NPV(B2857,Project_FCF!C18:J18)+Project_FCF!B18</f>
        <v>952.30253491431927</v>
      </c>
      <c r="D2857" s="4"/>
      <c r="E2857" s="4"/>
    </row>
    <row r="2858" spans="1:5" x14ac:dyDescent="0.3">
      <c r="A2858" s="9">
        <v>2850</v>
      </c>
      <c r="B2858" s="10">
        <f t="shared" ca="1" si="44"/>
        <v>6.6115972540901707E-2</v>
      </c>
      <c r="C2858" s="10">
        <f ca="1">NPV(B2858,Project_FCF!C18:J18)+Project_FCF!B18</f>
        <v>1061.9090162580148</v>
      </c>
      <c r="D2858" s="4"/>
      <c r="E2858" s="4"/>
    </row>
    <row r="2859" spans="1:5" x14ac:dyDescent="0.3">
      <c r="A2859" s="9">
        <v>2851</v>
      </c>
      <c r="B2859" s="10">
        <f t="shared" ca="1" si="44"/>
        <v>9.2752714843726158E-2</v>
      </c>
      <c r="C2859" s="10">
        <f ca="1">NPV(B2859,Project_FCF!C18:J18)+Project_FCF!B18</f>
        <v>836.25699283647555</v>
      </c>
      <c r="D2859" s="4"/>
      <c r="E2859" s="4"/>
    </row>
    <row r="2860" spans="1:5" x14ac:dyDescent="0.3">
      <c r="A2860" s="9">
        <v>2852</v>
      </c>
      <c r="B2860" s="10">
        <f t="shared" ca="1" si="44"/>
        <v>7.422025360683554E-2</v>
      </c>
      <c r="C2860" s="10">
        <f ca="1">NPV(B2860,Project_FCF!C18:J18)+Project_FCF!B18</f>
        <v>988.12183750718418</v>
      </c>
      <c r="D2860" s="4"/>
      <c r="E2860" s="4"/>
    </row>
    <row r="2861" spans="1:5" x14ac:dyDescent="0.3">
      <c r="A2861" s="9">
        <v>2853</v>
      </c>
      <c r="B2861" s="10">
        <f t="shared" ca="1" si="44"/>
        <v>7.7794559027462296E-2</v>
      </c>
      <c r="C2861" s="10">
        <f ca="1">NPV(B2861,Project_FCF!C18:J18)+Project_FCF!B18</f>
        <v>957.06949446646558</v>
      </c>
      <c r="D2861" s="4"/>
      <c r="E2861" s="4"/>
    </row>
    <row r="2862" spans="1:5" x14ac:dyDescent="0.3">
      <c r="A2862" s="9">
        <v>2854</v>
      </c>
      <c r="B2862" s="10">
        <f t="shared" ca="1" si="44"/>
        <v>0.10392639892831224</v>
      </c>
      <c r="C2862" s="10">
        <f ca="1">NPV(B2862,Project_FCF!C18:J18)+Project_FCF!B18</f>
        <v>754.82313153130849</v>
      </c>
      <c r="D2862" s="4"/>
      <c r="E2862" s="4"/>
    </row>
    <row r="2863" spans="1:5" x14ac:dyDescent="0.3">
      <c r="A2863" s="9">
        <v>2855</v>
      </c>
      <c r="B2863" s="10">
        <f t="shared" ca="1" si="44"/>
        <v>7.5510958447064305E-2</v>
      </c>
      <c r="C2863" s="10">
        <f ca="1">NPV(B2863,Project_FCF!C18:J18)+Project_FCF!B18</f>
        <v>976.80635487068662</v>
      </c>
      <c r="D2863" s="4"/>
      <c r="E2863" s="4"/>
    </row>
    <row r="2864" spans="1:5" x14ac:dyDescent="0.3">
      <c r="A2864" s="9">
        <v>2856</v>
      </c>
      <c r="B2864" s="10">
        <f t="shared" ca="1" si="44"/>
        <v>8.3160891159838657E-2</v>
      </c>
      <c r="C2864" s="10">
        <f ca="1">NPV(B2864,Project_FCF!C18:J18)+Project_FCF!B18</f>
        <v>912.07574976346336</v>
      </c>
      <c r="D2864" s="4"/>
      <c r="E2864" s="4"/>
    </row>
    <row r="2865" spans="1:5" x14ac:dyDescent="0.3">
      <c r="A2865" s="9">
        <v>2857</v>
      </c>
      <c r="B2865" s="10">
        <f t="shared" ca="1" si="44"/>
        <v>7.3246995983146782E-2</v>
      </c>
      <c r="C2865" s="10">
        <f ca="1">NPV(B2865,Project_FCF!C18:J18)+Project_FCF!B18</f>
        <v>996.73181089983382</v>
      </c>
      <c r="D2865" s="4"/>
      <c r="E2865" s="4"/>
    </row>
    <row r="2866" spans="1:5" x14ac:dyDescent="0.3">
      <c r="A2866" s="9">
        <v>2858</v>
      </c>
      <c r="B2866" s="10">
        <f t="shared" ca="1" si="44"/>
        <v>9.496846961760598E-2</v>
      </c>
      <c r="C2866" s="10">
        <f ca="1">NPV(B2866,Project_FCF!C18:J18)+Project_FCF!B18</f>
        <v>819.53984864354152</v>
      </c>
      <c r="D2866" s="4"/>
      <c r="E2866" s="4"/>
    </row>
    <row r="2867" spans="1:5" x14ac:dyDescent="0.3">
      <c r="A2867" s="9">
        <v>2859</v>
      </c>
      <c r="B2867" s="10">
        <f t="shared" ca="1" si="44"/>
        <v>8.6460183127201856E-2</v>
      </c>
      <c r="C2867" s="10">
        <f ca="1">NPV(B2867,Project_FCF!C18:J18)+Project_FCF!B18</f>
        <v>885.34753345961622</v>
      </c>
      <c r="D2867" s="4"/>
      <c r="E2867" s="4"/>
    </row>
    <row r="2868" spans="1:5" x14ac:dyDescent="0.3">
      <c r="A2868" s="9">
        <v>2860</v>
      </c>
      <c r="B2868" s="10">
        <f t="shared" ca="1" si="44"/>
        <v>8.5523492924451633E-2</v>
      </c>
      <c r="C2868" s="10">
        <f ca="1">NPV(B2868,Project_FCF!C18:J18)+Project_FCF!B18</f>
        <v>892.86517484723458</v>
      </c>
      <c r="D2868" s="4"/>
      <c r="E2868" s="4"/>
    </row>
    <row r="2869" spans="1:5" x14ac:dyDescent="0.3">
      <c r="A2869" s="9">
        <v>2861</v>
      </c>
      <c r="B2869" s="10">
        <f t="shared" ca="1" si="44"/>
        <v>6.5314441098636974E-2</v>
      </c>
      <c r="C2869" s="10">
        <f ca="1">NPV(B2869,Project_FCF!C18:J18)+Project_FCF!B18</f>
        <v>1069.4714794318797</v>
      </c>
      <c r="D2869" s="4"/>
      <c r="E2869" s="4"/>
    </row>
    <row r="2870" spans="1:5" x14ac:dyDescent="0.3">
      <c r="A2870" s="9">
        <v>2862</v>
      </c>
      <c r="B2870" s="10">
        <f t="shared" ca="1" si="44"/>
        <v>6.6410595690310131E-2</v>
      </c>
      <c r="C2870" s="10">
        <f ca="1">NPV(B2870,Project_FCF!C18:J18)+Project_FCF!B18</f>
        <v>1059.1415058095849</v>
      </c>
      <c r="D2870" s="4"/>
      <c r="E2870" s="4"/>
    </row>
    <row r="2871" spans="1:5" x14ac:dyDescent="0.3">
      <c r="A2871" s="9">
        <v>2863</v>
      </c>
      <c r="B2871" s="10">
        <f t="shared" ca="1" si="44"/>
        <v>9.2815574475883386E-2</v>
      </c>
      <c r="C2871" s="10">
        <f ca="1">NPV(B2871,Project_FCF!C18:J18)+Project_FCF!B18</f>
        <v>835.77873106759512</v>
      </c>
      <c r="D2871" s="4"/>
      <c r="E2871" s="4"/>
    </row>
    <row r="2872" spans="1:5" x14ac:dyDescent="0.3">
      <c r="A2872" s="9">
        <v>2864</v>
      </c>
      <c r="B2872" s="10">
        <f t="shared" ca="1" si="44"/>
        <v>6.5316127616905473E-2</v>
      </c>
      <c r="C2872" s="10">
        <f ca="1">NPV(B2872,Project_FCF!C18:J18)+Project_FCF!B18</f>
        <v>1069.4555157046113</v>
      </c>
      <c r="D2872" s="4"/>
      <c r="E2872" s="4"/>
    </row>
    <row r="2873" spans="1:5" x14ac:dyDescent="0.3">
      <c r="A2873" s="9">
        <v>2865</v>
      </c>
      <c r="B2873" s="10">
        <f t="shared" ca="1" si="44"/>
        <v>0.10258876628486514</v>
      </c>
      <c r="C2873" s="10">
        <f ca="1">NPV(B2873,Project_FCF!C18:J18)+Project_FCF!B18</f>
        <v>764.20320982438125</v>
      </c>
      <c r="D2873" s="4"/>
      <c r="E2873" s="4"/>
    </row>
    <row r="2874" spans="1:5" x14ac:dyDescent="0.3">
      <c r="A2874" s="9">
        <v>2866</v>
      </c>
      <c r="B2874" s="10">
        <f t="shared" ca="1" si="44"/>
        <v>9.31701534916137E-2</v>
      </c>
      <c r="C2874" s="10">
        <f ca="1">NPV(B2874,Project_FCF!C18:J18)+Project_FCF!B18</f>
        <v>833.08535439986531</v>
      </c>
      <c r="D2874" s="4"/>
      <c r="E2874" s="4"/>
    </row>
    <row r="2875" spans="1:5" x14ac:dyDescent="0.3">
      <c r="A2875" s="9">
        <v>2867</v>
      </c>
      <c r="B2875" s="10">
        <f t="shared" ca="1" si="44"/>
        <v>0.10017055603453616</v>
      </c>
      <c r="C2875" s="10">
        <f ca="1">NPV(B2875,Project_FCF!C18:J18)+Project_FCF!B18</f>
        <v>781.40966120947428</v>
      </c>
      <c r="D2875" s="4"/>
      <c r="E2875" s="4"/>
    </row>
    <row r="2876" spans="1:5" x14ac:dyDescent="0.3">
      <c r="A2876" s="9">
        <v>2868</v>
      </c>
      <c r="B2876" s="10">
        <f t="shared" ca="1" si="44"/>
        <v>8.7465573675175906E-2</v>
      </c>
      <c r="C2876" s="10">
        <f ca="1">NPV(B2876,Project_FCF!C18:J18)+Project_FCF!B18</f>
        <v>877.34007422938998</v>
      </c>
      <c r="D2876" s="4"/>
      <c r="E2876" s="4"/>
    </row>
    <row r="2877" spans="1:5" x14ac:dyDescent="0.3">
      <c r="A2877" s="9">
        <v>2869</v>
      </c>
      <c r="B2877" s="10">
        <f t="shared" ca="1" si="44"/>
        <v>7.331841718175347E-2</v>
      </c>
      <c r="C2877" s="10">
        <f ca="1">NPV(B2877,Project_FCF!C18:J18)+Project_FCF!B18</f>
        <v>996.09769848936344</v>
      </c>
      <c r="D2877" s="4"/>
      <c r="E2877" s="4"/>
    </row>
    <row r="2878" spans="1:5" x14ac:dyDescent="0.3">
      <c r="A2878" s="9">
        <v>2870</v>
      </c>
      <c r="B2878" s="10">
        <f t="shared" ca="1" si="44"/>
        <v>9.302863241243596E-2</v>
      </c>
      <c r="C2878" s="10">
        <f ca="1">NPV(B2878,Project_FCF!C18:J18)+Project_FCF!B18</f>
        <v>834.15944962143794</v>
      </c>
      <c r="D2878" s="4"/>
      <c r="E2878" s="4"/>
    </row>
    <row r="2879" spans="1:5" x14ac:dyDescent="0.3">
      <c r="A2879" s="9">
        <v>2871</v>
      </c>
      <c r="B2879" s="10">
        <f t="shared" ca="1" si="44"/>
        <v>9.4976334144979455E-2</v>
      </c>
      <c r="C2879" s="10">
        <f ca="1">NPV(B2879,Project_FCF!C18:J18)+Project_FCF!B18</f>
        <v>819.48102777057215</v>
      </c>
      <c r="D2879" s="4"/>
      <c r="E2879" s="4"/>
    </row>
    <row r="2880" spans="1:5" x14ac:dyDescent="0.3">
      <c r="A2880" s="9">
        <v>2872</v>
      </c>
      <c r="B2880" s="10">
        <f t="shared" ca="1" si="44"/>
        <v>7.7344230621421164E-2</v>
      </c>
      <c r="C2880" s="10">
        <f ca="1">NPV(B2880,Project_FCF!C18:J18)+Project_FCF!B18</f>
        <v>960.93324484180334</v>
      </c>
      <c r="D2880" s="4"/>
      <c r="E2880" s="4"/>
    </row>
    <row r="2881" spans="1:5" x14ac:dyDescent="0.3">
      <c r="A2881" s="9">
        <v>2873</v>
      </c>
      <c r="B2881" s="10">
        <f t="shared" ca="1" si="44"/>
        <v>6.5662692062313427E-2</v>
      </c>
      <c r="C2881" s="10">
        <f ca="1">NPV(B2881,Project_FCF!C18:J18)+Project_FCF!B18</f>
        <v>1066.1797172471695</v>
      </c>
      <c r="D2881" s="4"/>
      <c r="E2881" s="4"/>
    </row>
    <row r="2882" spans="1:5" x14ac:dyDescent="0.3">
      <c r="A2882" s="9">
        <v>2874</v>
      </c>
      <c r="B2882" s="10">
        <f t="shared" ca="1" si="44"/>
        <v>8.8482027242053785E-2</v>
      </c>
      <c r="C2882" s="10">
        <f ca="1">NPV(B2882,Project_FCF!C18:J18)+Project_FCF!B18</f>
        <v>869.30872009138875</v>
      </c>
      <c r="D2882" s="4"/>
      <c r="E2882" s="4"/>
    </row>
    <row r="2883" spans="1:5" x14ac:dyDescent="0.3">
      <c r="A2883" s="9">
        <v>2875</v>
      </c>
      <c r="B2883" s="10">
        <f t="shared" ca="1" si="44"/>
        <v>9.3287518884160925E-2</v>
      </c>
      <c r="C2883" s="10">
        <f ca="1">NPV(B2883,Project_FCF!C18:J18)+Project_FCF!B18</f>
        <v>832.19549466811532</v>
      </c>
      <c r="D2883" s="4"/>
      <c r="E2883" s="4"/>
    </row>
    <row r="2884" spans="1:5" x14ac:dyDescent="0.3">
      <c r="A2884" s="9">
        <v>2876</v>
      </c>
      <c r="B2884" s="10">
        <f t="shared" ca="1" si="44"/>
        <v>7.6753436959378391E-2</v>
      </c>
      <c r="C2884" s="10">
        <f ca="1">NPV(B2884,Project_FCF!C18:J18)+Project_FCF!B18</f>
        <v>966.02323032151048</v>
      </c>
      <c r="D2884" s="4"/>
      <c r="E2884" s="4"/>
    </row>
    <row r="2885" spans="1:5" x14ac:dyDescent="0.3">
      <c r="A2885" s="9">
        <v>2877</v>
      </c>
      <c r="B2885" s="10">
        <f t="shared" ca="1" si="44"/>
        <v>8.1439786478503515E-2</v>
      </c>
      <c r="C2885" s="10">
        <f ca="1">NPV(B2885,Project_FCF!C18:J18)+Project_FCF!B18</f>
        <v>926.29809529465138</v>
      </c>
      <c r="D2885" s="4"/>
      <c r="E2885" s="4"/>
    </row>
    <row r="2886" spans="1:5" x14ac:dyDescent="0.3">
      <c r="A2886" s="9">
        <v>2878</v>
      </c>
      <c r="B2886" s="10">
        <f t="shared" ca="1" si="44"/>
        <v>9.8765256426938813E-2</v>
      </c>
      <c r="C2886" s="10">
        <f ca="1">NPV(B2886,Project_FCF!C18:J18)+Project_FCF!B18</f>
        <v>791.55837677894897</v>
      </c>
      <c r="D2886" s="4"/>
      <c r="E2886" s="4"/>
    </row>
    <row r="2887" spans="1:5" x14ac:dyDescent="0.3">
      <c r="A2887" s="9">
        <v>2879</v>
      </c>
      <c r="B2887" s="10">
        <f t="shared" ca="1" si="44"/>
        <v>9.1339450610675901E-2</v>
      </c>
      <c r="C2887" s="10">
        <f ca="1">NPV(B2887,Project_FCF!C18:J18)+Project_FCF!B18</f>
        <v>847.07211408382432</v>
      </c>
      <c r="D2887" s="4"/>
      <c r="E2887" s="4"/>
    </row>
    <row r="2888" spans="1:5" x14ac:dyDescent="0.3">
      <c r="A2888" s="9">
        <v>2880</v>
      </c>
      <c r="B2888" s="10">
        <f t="shared" ca="1" si="44"/>
        <v>8.5453428543791163E-2</v>
      </c>
      <c r="C2888" s="10">
        <f ca="1">NPV(B2888,Project_FCF!C18:J18)+Project_FCF!B18</f>
        <v>893.42973115811469</v>
      </c>
      <c r="D2888" s="4"/>
      <c r="E2888" s="4"/>
    </row>
    <row r="2889" spans="1:5" x14ac:dyDescent="0.3">
      <c r="A2889" s="9">
        <v>2881</v>
      </c>
      <c r="B2889" s="10">
        <f t="shared" ref="B2889:B2952" ca="1" si="45">$B$4+RAND()*($B$5-$B$4)</f>
        <v>9.5957522823892166E-2</v>
      </c>
      <c r="C2889" s="10">
        <f ca="1">NPV(B2889,Project_FCF!C18:J18)+Project_FCF!B18</f>
        <v>812.17073495311979</v>
      </c>
      <c r="D2889" s="4"/>
      <c r="E2889" s="4"/>
    </row>
    <row r="2890" spans="1:5" x14ac:dyDescent="0.3">
      <c r="A2890" s="9">
        <v>2882</v>
      </c>
      <c r="B2890" s="10">
        <f t="shared" ca="1" si="45"/>
        <v>6.5302872857214284E-2</v>
      </c>
      <c r="C2890" s="10">
        <f ca="1">NPV(B2890,Project_FCF!C18:J18)+Project_FCF!B18</f>
        <v>1069.5809843997388</v>
      </c>
      <c r="D2890" s="4"/>
      <c r="E2890" s="4"/>
    </row>
    <row r="2891" spans="1:5" x14ac:dyDescent="0.3">
      <c r="A2891" s="9">
        <v>2883</v>
      </c>
      <c r="B2891" s="10">
        <f t="shared" ca="1" si="45"/>
        <v>8.3635592493955246E-2</v>
      </c>
      <c r="C2891" s="10">
        <f ca="1">NPV(B2891,Project_FCF!C18:J18)+Project_FCF!B18</f>
        <v>908.18703900999321</v>
      </c>
      <c r="D2891" s="4"/>
      <c r="E2891" s="4"/>
    </row>
    <row r="2892" spans="1:5" x14ac:dyDescent="0.3">
      <c r="A2892" s="9">
        <v>2884</v>
      </c>
      <c r="B2892" s="10">
        <f t="shared" ca="1" si="45"/>
        <v>9.0534761120157875E-2</v>
      </c>
      <c r="C2892" s="10">
        <f ca="1">NPV(B2892,Project_FCF!C18:J18)+Project_FCF!B18</f>
        <v>853.28384084469758</v>
      </c>
      <c r="D2892" s="4"/>
      <c r="E2892" s="4"/>
    </row>
    <row r="2893" spans="1:5" x14ac:dyDescent="0.3">
      <c r="A2893" s="9">
        <v>2885</v>
      </c>
      <c r="B2893" s="10">
        <f t="shared" ca="1" si="45"/>
        <v>7.8832561965475542E-2</v>
      </c>
      <c r="C2893" s="10">
        <f ca="1">NPV(B2893,Project_FCF!C18:J18)+Project_FCF!B18</f>
        <v>948.21615990646569</v>
      </c>
      <c r="D2893" s="4"/>
      <c r="E2893" s="4"/>
    </row>
    <row r="2894" spans="1:5" x14ac:dyDescent="0.3">
      <c r="A2894" s="9">
        <v>2886</v>
      </c>
      <c r="B2894" s="10">
        <f t="shared" ca="1" si="45"/>
        <v>9.7769713923341689E-2</v>
      </c>
      <c r="C2894" s="10">
        <f ca="1">NPV(B2894,Project_FCF!C18:J18)+Project_FCF!B18</f>
        <v>798.81538180002644</v>
      </c>
      <c r="D2894" s="4"/>
      <c r="E2894" s="4"/>
    </row>
    <row r="2895" spans="1:5" x14ac:dyDescent="0.3">
      <c r="A2895" s="9">
        <v>2887</v>
      </c>
      <c r="B2895" s="10">
        <f t="shared" ca="1" si="45"/>
        <v>9.5180745306578718E-2</v>
      </c>
      <c r="C2895" s="10">
        <f ca="1">NPV(B2895,Project_FCF!C18:J18)+Project_FCF!B18</f>
        <v>817.95345002893396</v>
      </c>
      <c r="D2895" s="4"/>
      <c r="E2895" s="4"/>
    </row>
    <row r="2896" spans="1:5" x14ac:dyDescent="0.3">
      <c r="A2896" s="9">
        <v>2888</v>
      </c>
      <c r="B2896" s="10">
        <f t="shared" ca="1" si="45"/>
        <v>7.8851989824491361E-2</v>
      </c>
      <c r="C2896" s="10">
        <f ca="1">NPV(B2896,Project_FCF!C18:J18)+Project_FCF!B18</f>
        <v>948.05115177620587</v>
      </c>
      <c r="D2896" s="4"/>
      <c r="E2896" s="4"/>
    </row>
    <row r="2897" spans="1:5" x14ac:dyDescent="0.3">
      <c r="A2897" s="9">
        <v>2889</v>
      </c>
      <c r="B2897" s="10">
        <f t="shared" ca="1" si="45"/>
        <v>8.1344447213188814E-2</v>
      </c>
      <c r="C2897" s="10">
        <f ca="1">NPV(B2897,Project_FCF!C18:J18)+Project_FCF!B18</f>
        <v>927.09161609929038</v>
      </c>
      <c r="D2897" s="4"/>
      <c r="E2897" s="4"/>
    </row>
    <row r="2898" spans="1:5" x14ac:dyDescent="0.3">
      <c r="A2898" s="9">
        <v>2890</v>
      </c>
      <c r="B2898" s="10">
        <f t="shared" ca="1" si="45"/>
        <v>7.5277872952294822E-2</v>
      </c>
      <c r="C2898" s="10">
        <f ca="1">NPV(B2898,Project_FCF!C18:J18)+Project_FCF!B18</f>
        <v>978.84117294796397</v>
      </c>
      <c r="D2898" s="4"/>
      <c r="E2898" s="4"/>
    </row>
    <row r="2899" spans="1:5" x14ac:dyDescent="0.3">
      <c r="A2899" s="9">
        <v>2891</v>
      </c>
      <c r="B2899" s="10">
        <f t="shared" ca="1" si="45"/>
        <v>7.4205690488187898E-2</v>
      </c>
      <c r="C2899" s="10">
        <f ca="1">NPV(B2899,Project_FCF!C18:J18)+Project_FCF!B18</f>
        <v>988.25017775249535</v>
      </c>
      <c r="D2899" s="4"/>
      <c r="E2899" s="4"/>
    </row>
    <row r="2900" spans="1:5" x14ac:dyDescent="0.3">
      <c r="A2900" s="9">
        <v>2892</v>
      </c>
      <c r="B2900" s="10">
        <f t="shared" ca="1" si="45"/>
        <v>9.7008061862189326E-2</v>
      </c>
      <c r="C2900" s="10">
        <f ca="1">NPV(B2900,Project_FCF!C18:J18)+Project_FCF!B18</f>
        <v>804.40556683292766</v>
      </c>
      <c r="D2900" s="4"/>
      <c r="E2900" s="4"/>
    </row>
    <row r="2901" spans="1:5" x14ac:dyDescent="0.3">
      <c r="A2901" s="9">
        <v>2893</v>
      </c>
      <c r="B2901" s="10">
        <f t="shared" ca="1" si="45"/>
        <v>7.8294414334759241E-2</v>
      </c>
      <c r="C2901" s="10">
        <f ca="1">NPV(B2901,Project_FCF!C18:J18)+Project_FCF!B18</f>
        <v>952.7970004356664</v>
      </c>
      <c r="D2901" s="4"/>
      <c r="E2901" s="4"/>
    </row>
    <row r="2902" spans="1:5" x14ac:dyDescent="0.3">
      <c r="A2902" s="9">
        <v>2894</v>
      </c>
      <c r="B2902" s="10">
        <f t="shared" ca="1" si="45"/>
        <v>8.0877995686592291E-2</v>
      </c>
      <c r="C2902" s="10">
        <f ca="1">NPV(B2902,Project_FCF!C18:J18)+Project_FCF!B18</f>
        <v>930.98261280138513</v>
      </c>
      <c r="D2902" s="4"/>
      <c r="E2902" s="4"/>
    </row>
    <row r="2903" spans="1:5" x14ac:dyDescent="0.3">
      <c r="A2903" s="9">
        <v>2895</v>
      </c>
      <c r="B2903" s="10">
        <f t="shared" ca="1" si="45"/>
        <v>8.1203851222334644E-2</v>
      </c>
      <c r="C2903" s="10">
        <f ca="1">NPV(B2903,Project_FCF!C18:J18)+Project_FCF!B18</f>
        <v>928.26290971555272</v>
      </c>
      <c r="D2903" s="4"/>
      <c r="E2903" s="4"/>
    </row>
    <row r="2904" spans="1:5" x14ac:dyDescent="0.3">
      <c r="A2904" s="9">
        <v>2896</v>
      </c>
      <c r="B2904" s="10">
        <f t="shared" ca="1" si="45"/>
        <v>7.1600866017300438E-2</v>
      </c>
      <c r="C2904" s="10">
        <f ca="1">NPV(B2904,Project_FCF!C18:J18)+Project_FCF!B18</f>
        <v>1011.4478888979943</v>
      </c>
      <c r="D2904" s="4"/>
      <c r="E2904" s="4"/>
    </row>
    <row r="2905" spans="1:5" x14ac:dyDescent="0.3">
      <c r="A2905" s="9">
        <v>2897</v>
      </c>
      <c r="B2905" s="10">
        <f t="shared" ca="1" si="45"/>
        <v>8.7925582152836329E-2</v>
      </c>
      <c r="C2905" s="10">
        <f ca="1">NPV(B2905,Project_FCF!C18:J18)+Project_FCF!B18</f>
        <v>873.69742341838673</v>
      </c>
      <c r="D2905" s="4"/>
      <c r="E2905" s="4"/>
    </row>
    <row r="2906" spans="1:5" x14ac:dyDescent="0.3">
      <c r="A2906" s="9">
        <v>2898</v>
      </c>
      <c r="B2906" s="10">
        <f t="shared" ca="1" si="45"/>
        <v>9.6421372711551823E-2</v>
      </c>
      <c r="C2906" s="10">
        <f ca="1">NPV(B2906,Project_FCF!C18:J18)+Project_FCF!B18</f>
        <v>808.73429269701046</v>
      </c>
      <c r="D2906" s="4"/>
      <c r="E2906" s="4"/>
    </row>
    <row r="2907" spans="1:5" x14ac:dyDescent="0.3">
      <c r="A2907" s="9">
        <v>2899</v>
      </c>
      <c r="B2907" s="10">
        <f t="shared" ca="1" si="45"/>
        <v>9.6440366666154798E-2</v>
      </c>
      <c r="C2907" s="10">
        <f ca="1">NPV(B2907,Project_FCF!C18:J18)+Project_FCF!B18</f>
        <v>808.59384047830031</v>
      </c>
      <c r="D2907" s="4"/>
      <c r="E2907" s="4"/>
    </row>
    <row r="2908" spans="1:5" x14ac:dyDescent="0.3">
      <c r="A2908" s="9">
        <v>2900</v>
      </c>
      <c r="B2908" s="10">
        <f t="shared" ca="1" si="45"/>
        <v>8.9548452011755458E-2</v>
      </c>
      <c r="C2908" s="10">
        <f ca="1">NPV(B2908,Project_FCF!C18:J18)+Project_FCF!B18</f>
        <v>860.95129662370846</v>
      </c>
      <c r="D2908" s="4"/>
      <c r="E2908" s="4"/>
    </row>
    <row r="2909" spans="1:5" x14ac:dyDescent="0.3">
      <c r="A2909" s="9">
        <v>2901</v>
      </c>
      <c r="B2909" s="10">
        <f t="shared" ca="1" si="45"/>
        <v>7.0794398467157016E-2</v>
      </c>
      <c r="C2909" s="10">
        <f ca="1">NPV(B2909,Project_FCF!C18:J18)+Project_FCF!B18</f>
        <v>1018.7287015448308</v>
      </c>
      <c r="D2909" s="4"/>
      <c r="E2909" s="4"/>
    </row>
    <row r="2910" spans="1:5" x14ac:dyDescent="0.3">
      <c r="A2910" s="9">
        <v>2902</v>
      </c>
      <c r="B2910" s="10">
        <f t="shared" ca="1" si="45"/>
        <v>0.10237206510809459</v>
      </c>
      <c r="C2910" s="10">
        <f ca="1">NPV(B2910,Project_FCF!C18:J18)+Project_FCF!B18</f>
        <v>765.73198540646558</v>
      </c>
      <c r="D2910" s="4"/>
      <c r="E2910" s="4"/>
    </row>
    <row r="2911" spans="1:5" x14ac:dyDescent="0.3">
      <c r="A2911" s="9">
        <v>2903</v>
      </c>
      <c r="B2911" s="10">
        <f t="shared" ca="1" si="45"/>
        <v>8.4212951981900264E-2</v>
      </c>
      <c r="C2911" s="10">
        <f ca="1">NPV(B2911,Project_FCF!C18:J18)+Project_FCF!B18</f>
        <v>903.47700071572967</v>
      </c>
      <c r="D2911" s="4"/>
      <c r="E2911" s="4"/>
    </row>
    <row r="2912" spans="1:5" x14ac:dyDescent="0.3">
      <c r="A2912" s="9">
        <v>2904</v>
      </c>
      <c r="B2912" s="10">
        <f t="shared" ca="1" si="45"/>
        <v>0.10272877274666534</v>
      </c>
      <c r="C2912" s="10">
        <f ca="1">NPV(B2912,Project_FCF!C18:J18)+Project_FCF!B18</f>
        <v>763.21686176634853</v>
      </c>
      <c r="D2912" s="4"/>
      <c r="E2912" s="4"/>
    </row>
    <row r="2913" spans="1:5" x14ac:dyDescent="0.3">
      <c r="A2913" s="9">
        <v>2905</v>
      </c>
      <c r="B2913" s="10">
        <f t="shared" ca="1" si="45"/>
        <v>7.4222824945907581E-2</v>
      </c>
      <c r="C2913" s="10">
        <f ca="1">NPV(B2913,Project_FCF!C18:J18)+Project_FCF!B18</f>
        <v>988.09917864546901</v>
      </c>
      <c r="D2913" s="4"/>
      <c r="E2913" s="4"/>
    </row>
    <row r="2914" spans="1:5" x14ac:dyDescent="0.3">
      <c r="A2914" s="9">
        <v>2906</v>
      </c>
      <c r="B2914" s="10">
        <f t="shared" ca="1" si="45"/>
        <v>8.3955712404440636E-2</v>
      </c>
      <c r="C2914" s="10">
        <f ca="1">NPV(B2914,Project_FCF!C18:J18)+Project_FCF!B18</f>
        <v>905.57287817897077</v>
      </c>
      <c r="D2914" s="4"/>
      <c r="E2914" s="4"/>
    </row>
    <row r="2915" spans="1:5" x14ac:dyDescent="0.3">
      <c r="A2915" s="9">
        <v>2907</v>
      </c>
      <c r="B2915" s="10">
        <f t="shared" ca="1" si="45"/>
        <v>8.249661170247885E-2</v>
      </c>
      <c r="C2915" s="10">
        <f ca="1">NPV(B2915,Project_FCF!C18:J18)+Project_FCF!B18</f>
        <v>917.54205601717513</v>
      </c>
      <c r="D2915" s="4"/>
      <c r="E2915" s="4"/>
    </row>
    <row r="2916" spans="1:5" x14ac:dyDescent="0.3">
      <c r="A2916" s="9">
        <v>2908</v>
      </c>
      <c r="B2916" s="10">
        <f t="shared" ca="1" si="45"/>
        <v>7.4919357452436441E-2</v>
      </c>
      <c r="C2916" s="10">
        <f ca="1">NPV(B2916,Project_FCF!C18:J18)+Project_FCF!B18</f>
        <v>981.97838558093599</v>
      </c>
      <c r="D2916" s="4"/>
      <c r="E2916" s="4"/>
    </row>
    <row r="2917" spans="1:5" x14ac:dyDescent="0.3">
      <c r="A2917" s="9">
        <v>2909</v>
      </c>
      <c r="B2917" s="10">
        <f t="shared" ca="1" si="45"/>
        <v>9.3050902862594251E-2</v>
      </c>
      <c r="C2917" s="10">
        <f ca="1">NPV(B2917,Project_FCF!C18:J18)+Project_FCF!B18</f>
        <v>833.99034581294768</v>
      </c>
      <c r="D2917" s="4"/>
      <c r="E2917" s="4"/>
    </row>
    <row r="2918" spans="1:5" x14ac:dyDescent="0.3">
      <c r="A2918" s="9">
        <v>2910</v>
      </c>
      <c r="B2918" s="10">
        <f t="shared" ca="1" si="45"/>
        <v>8.5764475811439145E-2</v>
      </c>
      <c r="C2918" s="10">
        <f ca="1">NPV(B2918,Project_FCF!C18:J18)+Project_FCF!B18</f>
        <v>890.9257942442207</v>
      </c>
      <c r="D2918" s="4"/>
      <c r="E2918" s="4"/>
    </row>
    <row r="2919" spans="1:5" x14ac:dyDescent="0.3">
      <c r="A2919" s="9">
        <v>2911</v>
      </c>
      <c r="B2919" s="10">
        <f t="shared" ca="1" si="45"/>
        <v>8.4635753829908289E-2</v>
      </c>
      <c r="C2919" s="10">
        <f ca="1">NPV(B2919,Project_FCF!C18:J18)+Project_FCF!B18</f>
        <v>900.04143926643246</v>
      </c>
      <c r="D2919" s="4"/>
      <c r="E2919" s="4"/>
    </row>
    <row r="2920" spans="1:5" x14ac:dyDescent="0.3">
      <c r="A2920" s="9">
        <v>2912</v>
      </c>
      <c r="B2920" s="10">
        <f t="shared" ca="1" si="45"/>
        <v>9.0105038163393519E-2</v>
      </c>
      <c r="C2920" s="10">
        <f ca="1">NPV(B2920,Project_FCF!C18:J18)+Project_FCF!B18</f>
        <v>856.61715652175303</v>
      </c>
      <c r="D2920" s="4"/>
      <c r="E2920" s="4"/>
    </row>
    <row r="2921" spans="1:5" x14ac:dyDescent="0.3">
      <c r="A2921" s="9">
        <v>2913</v>
      </c>
      <c r="B2921" s="10">
        <f t="shared" ca="1" si="45"/>
        <v>8.6273097325463108E-2</v>
      </c>
      <c r="C2921" s="10">
        <f ca="1">NPV(B2921,Project_FCF!C18:J18)+Project_FCF!B18</f>
        <v>886.84460049243603</v>
      </c>
      <c r="D2921" s="4"/>
      <c r="E2921" s="4"/>
    </row>
    <row r="2922" spans="1:5" x14ac:dyDescent="0.3">
      <c r="A2922" s="9">
        <v>2914</v>
      </c>
      <c r="B2922" s="10">
        <f t="shared" ca="1" si="45"/>
        <v>6.6664052091238102E-2</v>
      </c>
      <c r="C2922" s="10">
        <f ca="1">NPV(B2922,Project_FCF!C18:J18)+Project_FCF!B18</f>
        <v>1056.7659442992081</v>
      </c>
      <c r="D2922" s="4"/>
      <c r="E2922" s="4"/>
    </row>
    <row r="2923" spans="1:5" x14ac:dyDescent="0.3">
      <c r="A2923" s="9">
        <v>2915</v>
      </c>
      <c r="B2923" s="10">
        <f t="shared" ca="1" si="45"/>
        <v>6.4119315566729451E-2</v>
      </c>
      <c r="C2923" s="10">
        <f ca="1">NPV(B2923,Project_FCF!C18:J18)+Project_FCF!B18</f>
        <v>1080.8387645898736</v>
      </c>
      <c r="D2923" s="4"/>
      <c r="E2923" s="4"/>
    </row>
    <row r="2924" spans="1:5" x14ac:dyDescent="0.3">
      <c r="A2924" s="9">
        <v>2916</v>
      </c>
      <c r="B2924" s="10">
        <f t="shared" ca="1" si="45"/>
        <v>9.9008998814942739E-2</v>
      </c>
      <c r="C2924" s="10">
        <f ca="1">NPV(B2924,Project_FCF!C18:J18)+Project_FCF!B18</f>
        <v>789.79017083012377</v>
      </c>
      <c r="D2924" s="4"/>
      <c r="E2924" s="4"/>
    </row>
    <row r="2925" spans="1:5" x14ac:dyDescent="0.3">
      <c r="A2925" s="9">
        <v>2917</v>
      </c>
      <c r="B2925" s="10">
        <f t="shared" ca="1" si="45"/>
        <v>9.5388925046513667E-2</v>
      </c>
      <c r="C2925" s="10">
        <f ca="1">NPV(B2925,Project_FCF!C18:J18)+Project_FCF!B18</f>
        <v>816.40021476320703</v>
      </c>
      <c r="D2925" s="4"/>
      <c r="E2925" s="4"/>
    </row>
    <row r="2926" spans="1:5" x14ac:dyDescent="0.3">
      <c r="A2926" s="9">
        <v>2918</v>
      </c>
      <c r="B2926" s="10">
        <f t="shared" ca="1" si="45"/>
        <v>0.10057304394773633</v>
      </c>
      <c r="C2926" s="10">
        <f ca="1">NPV(B2926,Project_FCF!C18:J18)+Project_FCF!B18</f>
        <v>778.52336029803041</v>
      </c>
      <c r="D2926" s="4"/>
      <c r="E2926" s="4"/>
    </row>
    <row r="2927" spans="1:5" x14ac:dyDescent="0.3">
      <c r="A2927" s="9">
        <v>2919</v>
      </c>
      <c r="B2927" s="10">
        <f t="shared" ca="1" si="45"/>
        <v>6.9266186882967248E-2</v>
      </c>
      <c r="C2927" s="10">
        <f ca="1">NPV(B2927,Project_FCF!C18:J18)+Project_FCF!B18</f>
        <v>1032.6553468801803</v>
      </c>
      <c r="D2927" s="4"/>
      <c r="E2927" s="4"/>
    </row>
    <row r="2928" spans="1:5" x14ac:dyDescent="0.3">
      <c r="A2928" s="9">
        <v>2920</v>
      </c>
      <c r="B2928" s="10">
        <f t="shared" ca="1" si="45"/>
        <v>9.6436291873654045E-2</v>
      </c>
      <c r="C2928" s="10">
        <f ca="1">NPV(B2928,Project_FCF!C18:J18)+Project_FCF!B18</f>
        <v>808.62397008280777</v>
      </c>
      <c r="D2928" s="4"/>
      <c r="E2928" s="4"/>
    </row>
    <row r="2929" spans="1:5" x14ac:dyDescent="0.3">
      <c r="A2929" s="9">
        <v>2921</v>
      </c>
      <c r="B2929" s="10">
        <f t="shared" ca="1" si="45"/>
        <v>8.4960309404267312E-2</v>
      </c>
      <c r="C2929" s="10">
        <f ca="1">NPV(B2929,Project_FCF!C18:J18)+Project_FCF!B18</f>
        <v>897.4119744772695</v>
      </c>
      <c r="D2929" s="4"/>
      <c r="E2929" s="4"/>
    </row>
    <row r="2930" spans="1:5" x14ac:dyDescent="0.3">
      <c r="A2930" s="9">
        <v>2922</v>
      </c>
      <c r="B2930" s="10">
        <f t="shared" ca="1" si="45"/>
        <v>9.8900252970553673E-2</v>
      </c>
      <c r="C2930" s="10">
        <f ca="1">NPV(B2930,Project_FCF!C18:J18)+Project_FCF!B18</f>
        <v>790.57864288681503</v>
      </c>
      <c r="D2930" s="4"/>
      <c r="E2930" s="4"/>
    </row>
    <row r="2931" spans="1:5" x14ac:dyDescent="0.3">
      <c r="A2931" s="9">
        <v>2923</v>
      </c>
      <c r="B2931" s="10">
        <f t="shared" ca="1" si="45"/>
        <v>7.1546559119362113E-2</v>
      </c>
      <c r="C2931" s="10">
        <f ca="1">NPV(B2931,Project_FCF!C18:J18)+Project_FCF!B18</f>
        <v>1011.9366961866758</v>
      </c>
      <c r="D2931" s="4"/>
      <c r="E2931" s="4"/>
    </row>
    <row r="2932" spans="1:5" x14ac:dyDescent="0.3">
      <c r="A2932" s="9">
        <v>2924</v>
      </c>
      <c r="B2932" s="10">
        <f t="shared" ca="1" si="45"/>
        <v>6.8278571460970147E-2</v>
      </c>
      <c r="C2932" s="10">
        <f ca="1">NPV(B2932,Project_FCF!C18:J18)+Project_FCF!B18</f>
        <v>1041.7469058412951</v>
      </c>
      <c r="D2932" s="4"/>
      <c r="E2932" s="4"/>
    </row>
    <row r="2933" spans="1:5" x14ac:dyDescent="0.3">
      <c r="A2933" s="9">
        <v>2925</v>
      </c>
      <c r="B2933" s="10">
        <f t="shared" ca="1" si="45"/>
        <v>7.718749900691374E-2</v>
      </c>
      <c r="C2933" s="10">
        <f ca="1">NPV(B2933,Project_FCF!C18:J18)+Project_FCF!B18</f>
        <v>962.28123272180778</v>
      </c>
      <c r="D2933" s="4"/>
      <c r="E2933" s="4"/>
    </row>
    <row r="2934" spans="1:5" x14ac:dyDescent="0.3">
      <c r="A2934" s="9">
        <v>2926</v>
      </c>
      <c r="B2934" s="10">
        <f t="shared" ca="1" si="45"/>
        <v>8.667263150905731E-2</v>
      </c>
      <c r="C2934" s="10">
        <f ca="1">NPV(B2934,Project_FCF!C18:J18)+Project_FCF!B18</f>
        <v>883.65019036221292</v>
      </c>
      <c r="D2934" s="4"/>
      <c r="E2934" s="4"/>
    </row>
    <row r="2935" spans="1:5" x14ac:dyDescent="0.3">
      <c r="A2935" s="9">
        <v>2927</v>
      </c>
      <c r="B2935" s="10">
        <f t="shared" ca="1" si="45"/>
        <v>8.4876840229870923E-2</v>
      </c>
      <c r="C2935" s="10">
        <f ca="1">NPV(B2935,Project_FCF!C18:J18)+Project_FCF!B18</f>
        <v>898.08757610313046</v>
      </c>
      <c r="D2935" s="4"/>
      <c r="E2935" s="4"/>
    </row>
    <row r="2936" spans="1:5" x14ac:dyDescent="0.3">
      <c r="A2936" s="9">
        <v>2928</v>
      </c>
      <c r="B2936" s="10">
        <f t="shared" ca="1" si="45"/>
        <v>8.8720557257443322E-2</v>
      </c>
      <c r="C2936" s="10">
        <f ca="1">NPV(B2936,Project_FCF!C18:J18)+Project_FCF!B18</f>
        <v>867.43330221274869</v>
      </c>
      <c r="D2936" s="4"/>
      <c r="E2936" s="4"/>
    </row>
    <row r="2937" spans="1:5" x14ac:dyDescent="0.3">
      <c r="A2937" s="9">
        <v>2929</v>
      </c>
      <c r="B2937" s="10">
        <f t="shared" ca="1" si="45"/>
        <v>9.3805383785446894E-2</v>
      </c>
      <c r="C2937" s="10">
        <f ca="1">NPV(B2937,Project_FCF!C18:J18)+Project_FCF!B18</f>
        <v>828.27881033665653</v>
      </c>
      <c r="D2937" s="4"/>
      <c r="E2937" s="4"/>
    </row>
    <row r="2938" spans="1:5" x14ac:dyDescent="0.3">
      <c r="A2938" s="9">
        <v>2930</v>
      </c>
      <c r="B2938" s="10">
        <f t="shared" ca="1" si="45"/>
        <v>0.10011038376270701</v>
      </c>
      <c r="C2938" s="10">
        <f ca="1">NPV(B2938,Project_FCF!C18:J18)+Project_FCF!B18</f>
        <v>781.84194162112931</v>
      </c>
      <c r="D2938" s="4"/>
      <c r="E2938" s="4"/>
    </row>
    <row r="2939" spans="1:5" x14ac:dyDescent="0.3">
      <c r="A2939" s="9">
        <v>2931</v>
      </c>
      <c r="B2939" s="10">
        <f t="shared" ca="1" si="45"/>
        <v>6.4356602586556691E-2</v>
      </c>
      <c r="C2939" s="10">
        <f ca="1">NPV(B2939,Project_FCF!C18:J18)+Project_FCF!B18</f>
        <v>1078.5731006176095</v>
      </c>
      <c r="D2939" s="4"/>
      <c r="E2939" s="4"/>
    </row>
    <row r="2940" spans="1:5" x14ac:dyDescent="0.3">
      <c r="A2940" s="9">
        <v>2932</v>
      </c>
      <c r="B2940" s="10">
        <f t="shared" ca="1" si="45"/>
        <v>9.6640693357036678E-2</v>
      </c>
      <c r="C2940" s="10">
        <f ca="1">NPV(B2940,Project_FCF!C18:J18)+Project_FCF!B18</f>
        <v>807.11377634198038</v>
      </c>
      <c r="D2940" s="4"/>
      <c r="E2940" s="4"/>
    </row>
    <row r="2941" spans="1:5" x14ac:dyDescent="0.3">
      <c r="A2941" s="9">
        <v>2933</v>
      </c>
      <c r="B2941" s="10">
        <f t="shared" ca="1" si="45"/>
        <v>0.10394667205688307</v>
      </c>
      <c r="C2941" s="10">
        <f ca="1">NPV(B2941,Project_FCF!C18:J18)+Project_FCF!B18</f>
        <v>754.68171329528991</v>
      </c>
      <c r="D2941" s="4"/>
      <c r="E2941" s="4"/>
    </row>
    <row r="2942" spans="1:5" x14ac:dyDescent="0.3">
      <c r="A2942" s="9">
        <v>2934</v>
      </c>
      <c r="B2942" s="10">
        <f t="shared" ca="1" si="45"/>
        <v>7.8652333819842435E-2</v>
      </c>
      <c r="C2942" s="10">
        <f ca="1">NPV(B2942,Project_FCF!C18:J18)+Project_FCF!B18</f>
        <v>949.74812136580726</v>
      </c>
      <c r="D2942" s="4"/>
      <c r="E2942" s="4"/>
    </row>
    <row r="2943" spans="1:5" x14ac:dyDescent="0.3">
      <c r="A2943" s="9">
        <v>2935</v>
      </c>
      <c r="B2943" s="10">
        <f t="shared" ca="1" si="45"/>
        <v>0.10106465070328452</v>
      </c>
      <c r="C2943" s="10">
        <f ca="1">NPV(B2943,Project_FCF!C18:J18)+Project_FCF!B18</f>
        <v>775.01019343328153</v>
      </c>
      <c r="D2943" s="4"/>
      <c r="E2943" s="4"/>
    </row>
    <row r="2944" spans="1:5" x14ac:dyDescent="0.3">
      <c r="A2944" s="9">
        <v>2936</v>
      </c>
      <c r="B2944" s="10">
        <f t="shared" ca="1" si="45"/>
        <v>6.7383625391720103E-2</v>
      </c>
      <c r="C2944" s="10">
        <f ca="1">NPV(B2944,Project_FCF!C18:J18)+Project_FCF!B18</f>
        <v>1050.0480033035858</v>
      </c>
      <c r="D2944" s="4"/>
      <c r="E2944" s="4"/>
    </row>
    <row r="2945" spans="1:5" x14ac:dyDescent="0.3">
      <c r="A2945" s="9">
        <v>2937</v>
      </c>
      <c r="B2945" s="10">
        <f t="shared" ca="1" si="45"/>
        <v>0.10069106564635726</v>
      </c>
      <c r="C2945" s="10">
        <f ca="1">NPV(B2945,Project_FCF!C18:J18)+Project_FCF!B18</f>
        <v>777.67871865151847</v>
      </c>
      <c r="D2945" s="4"/>
      <c r="E2945" s="4"/>
    </row>
    <row r="2946" spans="1:5" x14ac:dyDescent="0.3">
      <c r="A2946" s="9">
        <v>2938</v>
      </c>
      <c r="B2946" s="10">
        <f t="shared" ca="1" si="45"/>
        <v>6.6123600233863766E-2</v>
      </c>
      <c r="C2946" s="10">
        <f ca="1">NPV(B2946,Project_FCF!C18:J18)+Project_FCF!B18</f>
        <v>1061.8372834290938</v>
      </c>
      <c r="D2946" s="4"/>
      <c r="E2946" s="4"/>
    </row>
    <row r="2947" spans="1:5" x14ac:dyDescent="0.3">
      <c r="A2947" s="9">
        <v>2939</v>
      </c>
      <c r="B2947" s="10">
        <f t="shared" ca="1" si="45"/>
        <v>9.015260018450616E-2</v>
      </c>
      <c r="C2947" s="10">
        <f ca="1">NPV(B2947,Project_FCF!C18:J18)+Project_FCF!B18</f>
        <v>856.24766901053408</v>
      </c>
      <c r="D2947" s="4"/>
      <c r="E2947" s="4"/>
    </row>
    <row r="2948" spans="1:5" x14ac:dyDescent="0.3">
      <c r="A2948" s="9">
        <v>2940</v>
      </c>
      <c r="B2948" s="10">
        <f t="shared" ca="1" si="45"/>
        <v>7.5894107763181867E-2</v>
      </c>
      <c r="C2948" s="10">
        <f ca="1">NPV(B2948,Project_FCF!C18:J18)+Project_FCF!B18</f>
        <v>973.46970542966619</v>
      </c>
      <c r="D2948" s="4"/>
      <c r="E2948" s="4"/>
    </row>
    <row r="2949" spans="1:5" x14ac:dyDescent="0.3">
      <c r="A2949" s="9">
        <v>2941</v>
      </c>
      <c r="B2949" s="10">
        <f t="shared" ca="1" si="45"/>
        <v>6.862025173432458E-2</v>
      </c>
      <c r="C2949" s="10">
        <f ca="1">NPV(B2949,Project_FCF!C18:J18)+Project_FCF!B18</f>
        <v>1038.5933743405019</v>
      </c>
      <c r="D2949" s="4"/>
      <c r="E2949" s="4"/>
    </row>
    <row r="2950" spans="1:5" x14ac:dyDescent="0.3">
      <c r="A2950" s="9">
        <v>2942</v>
      </c>
      <c r="B2950" s="10">
        <f t="shared" ca="1" si="45"/>
        <v>7.3975639122679793E-2</v>
      </c>
      <c r="C2950" s="10">
        <f ca="1">NPV(B2950,Project_FCF!C18:J18)+Project_FCF!B18</f>
        <v>990.2795322796369</v>
      </c>
      <c r="D2950" s="4"/>
      <c r="E2950" s="4"/>
    </row>
    <row r="2951" spans="1:5" x14ac:dyDescent="0.3">
      <c r="A2951" s="9">
        <v>2943</v>
      </c>
      <c r="B2951" s="10">
        <f t="shared" ca="1" si="45"/>
        <v>8.0201149477441558E-2</v>
      </c>
      <c r="C2951" s="10">
        <f ca="1">NPV(B2951,Project_FCF!C18:J18)+Project_FCF!B18</f>
        <v>936.65433095596904</v>
      </c>
      <c r="D2951" s="4"/>
      <c r="E2951" s="4"/>
    </row>
    <row r="2952" spans="1:5" x14ac:dyDescent="0.3">
      <c r="A2952" s="9">
        <v>2944</v>
      </c>
      <c r="B2952" s="10">
        <f t="shared" ca="1" si="45"/>
        <v>9.188380830551951E-2</v>
      </c>
      <c r="C2952" s="10">
        <f ca="1">NPV(B2952,Project_FCF!C18:J18)+Project_FCF!B18</f>
        <v>842.89217791618944</v>
      </c>
      <c r="D2952" s="4"/>
      <c r="E2952" s="4"/>
    </row>
    <row r="2953" spans="1:5" x14ac:dyDescent="0.3">
      <c r="A2953" s="9">
        <v>2945</v>
      </c>
      <c r="B2953" s="10">
        <f t="shared" ref="B2953:B3016" ca="1" si="46">$B$4+RAND()*($B$5-$B$4)</f>
        <v>0.10208337387012317</v>
      </c>
      <c r="C2953" s="10">
        <f ca="1">NPV(B2953,Project_FCF!C18:J18)+Project_FCF!B18</f>
        <v>767.77262760318513</v>
      </c>
      <c r="D2953" s="4"/>
      <c r="E2953" s="4"/>
    </row>
    <row r="2954" spans="1:5" x14ac:dyDescent="0.3">
      <c r="A2954" s="9">
        <v>2946</v>
      </c>
      <c r="B2954" s="10">
        <f t="shared" ca="1" si="46"/>
        <v>6.8346185844763541E-2</v>
      </c>
      <c r="C2954" s="10">
        <f ca="1">NPV(B2954,Project_FCF!C18:J18)+Project_FCF!B18</f>
        <v>1041.1221721918669</v>
      </c>
      <c r="D2954" s="4"/>
      <c r="E2954" s="4"/>
    </row>
    <row r="2955" spans="1:5" x14ac:dyDescent="0.3">
      <c r="A2955" s="9">
        <v>2947</v>
      </c>
      <c r="B2955" s="10">
        <f t="shared" ca="1" si="46"/>
        <v>7.2470513984789819E-2</v>
      </c>
      <c r="C2955" s="10">
        <f ca="1">NPV(B2955,Project_FCF!C18:J18)+Project_FCF!B18</f>
        <v>1003.6492395569976</v>
      </c>
      <c r="D2955" s="4"/>
      <c r="E2955" s="4"/>
    </row>
    <row r="2956" spans="1:5" x14ac:dyDescent="0.3">
      <c r="A2956" s="9">
        <v>2948</v>
      </c>
      <c r="B2956" s="10">
        <f t="shared" ca="1" si="46"/>
        <v>0.10119077784734735</v>
      </c>
      <c r="C2956" s="10">
        <f ca="1">NPV(B2956,Project_FCF!C18:J18)+Project_FCF!B18</f>
        <v>774.11101100935207</v>
      </c>
      <c r="D2956" s="4"/>
      <c r="E2956" s="4"/>
    </row>
    <row r="2957" spans="1:5" x14ac:dyDescent="0.3">
      <c r="A2957" s="9">
        <v>2949</v>
      </c>
      <c r="B2957" s="10">
        <f t="shared" ca="1" si="46"/>
        <v>7.3102884890017247E-2</v>
      </c>
      <c r="C2957" s="10">
        <f ca="1">NPV(B2957,Project_FCF!C18:J18)+Project_FCF!B18</f>
        <v>998.0124035796498</v>
      </c>
      <c r="D2957" s="4"/>
      <c r="E2957" s="4"/>
    </row>
    <row r="2958" spans="1:5" x14ac:dyDescent="0.3">
      <c r="A2958" s="9">
        <v>2950</v>
      </c>
      <c r="B2958" s="10">
        <f t="shared" ca="1" si="46"/>
        <v>8.8884756560959163E-2</v>
      </c>
      <c r="C2958" s="10">
        <f ca="1">NPV(B2958,Project_FCF!C18:J18)+Project_FCF!B18</f>
        <v>866.14434569203581</v>
      </c>
      <c r="D2958" s="4"/>
      <c r="E2958" s="4"/>
    </row>
    <row r="2959" spans="1:5" x14ac:dyDescent="0.3">
      <c r="A2959" s="9">
        <v>2951</v>
      </c>
      <c r="B2959" s="10">
        <f t="shared" ca="1" si="46"/>
        <v>9.6467876032974048E-2</v>
      </c>
      <c r="C2959" s="10">
        <f ca="1">NPV(B2959,Project_FCF!C18:J18)+Project_FCF!B18</f>
        <v>808.3904573042928</v>
      </c>
      <c r="D2959" s="4"/>
      <c r="E2959" s="4"/>
    </row>
    <row r="2960" spans="1:5" x14ac:dyDescent="0.3">
      <c r="A2960" s="9">
        <v>2952</v>
      </c>
      <c r="B2960" s="10">
        <f t="shared" ca="1" si="46"/>
        <v>0.10160200729568274</v>
      </c>
      <c r="C2960" s="10">
        <f ca="1">NPV(B2960,Project_FCF!C18:J18)+Project_FCF!B18</f>
        <v>771.18539028644341</v>
      </c>
      <c r="D2960" s="4"/>
      <c r="E2960" s="4"/>
    </row>
    <row r="2961" spans="1:5" x14ac:dyDescent="0.3">
      <c r="A2961" s="9">
        <v>2953</v>
      </c>
      <c r="B2961" s="10">
        <f t="shared" ca="1" si="46"/>
        <v>7.1129731675299429E-2</v>
      </c>
      <c r="C2961" s="10">
        <f ca="1">NPV(B2961,Project_FCF!C18:J18)+Project_FCF!B18</f>
        <v>1015.6955837571384</v>
      </c>
      <c r="D2961" s="4"/>
      <c r="E2961" s="4"/>
    </row>
    <row r="2962" spans="1:5" x14ac:dyDescent="0.3">
      <c r="A2962" s="9">
        <v>2954</v>
      </c>
      <c r="B2962" s="10">
        <f t="shared" ca="1" si="46"/>
        <v>8.3127947711179651E-2</v>
      </c>
      <c r="C2962" s="10">
        <f ca="1">NPV(B2962,Project_FCF!C18:J18)+Project_FCF!B18</f>
        <v>912.34616200384653</v>
      </c>
      <c r="D2962" s="4"/>
      <c r="E2962" s="4"/>
    </row>
    <row r="2963" spans="1:5" x14ac:dyDescent="0.3">
      <c r="A2963" s="9">
        <v>2955</v>
      </c>
      <c r="B2963" s="10">
        <f t="shared" ca="1" si="46"/>
        <v>9.0146401596291198E-2</v>
      </c>
      <c r="C2963" s="10">
        <f ca="1">NPV(B2963,Project_FCF!C18:J18)+Project_FCF!B18</f>
        <v>856.29581517452539</v>
      </c>
      <c r="D2963" s="4"/>
      <c r="E2963" s="4"/>
    </row>
    <row r="2964" spans="1:5" x14ac:dyDescent="0.3">
      <c r="A2964" s="9">
        <v>2956</v>
      </c>
      <c r="B2964" s="10">
        <f t="shared" ca="1" si="46"/>
        <v>6.7486687065697423E-2</v>
      </c>
      <c r="C2964" s="10">
        <f ca="1">NPV(B2964,Project_FCF!C18:J18)+Project_FCF!B18</f>
        <v>1049.0890023692189</v>
      </c>
      <c r="D2964" s="4"/>
      <c r="E2964" s="4"/>
    </row>
    <row r="2965" spans="1:5" x14ac:dyDescent="0.3">
      <c r="A2965" s="9">
        <v>2957</v>
      </c>
      <c r="B2965" s="10">
        <f t="shared" ca="1" si="46"/>
        <v>0.10258933748890069</v>
      </c>
      <c r="C2965" s="10">
        <f ca="1">NPV(B2965,Project_FCF!C18:J18)+Project_FCF!B18</f>
        <v>764.19918350701141</v>
      </c>
      <c r="D2965" s="4"/>
      <c r="E2965" s="4"/>
    </row>
    <row r="2966" spans="1:5" x14ac:dyDescent="0.3">
      <c r="A2966" s="9">
        <v>2958</v>
      </c>
      <c r="B2966" s="10">
        <f t="shared" ca="1" si="46"/>
        <v>6.8624210252561352E-2</v>
      </c>
      <c r="C2966" s="10">
        <f ca="1">NPV(B2966,Project_FCF!C18:J18)+Project_FCF!B18</f>
        <v>1038.5568900278006</v>
      </c>
      <c r="D2966" s="4"/>
      <c r="E2966" s="4"/>
    </row>
    <row r="2967" spans="1:5" x14ac:dyDescent="0.3">
      <c r="A2967" s="9">
        <v>2959</v>
      </c>
      <c r="B2967" s="10">
        <f t="shared" ca="1" si="46"/>
        <v>7.5331326747858141E-2</v>
      </c>
      <c r="C2967" s="10">
        <f ca="1">NPV(B2967,Project_FCF!C18:J18)+Project_FCF!B18</f>
        <v>978.37419089543778</v>
      </c>
      <c r="D2967" s="4"/>
      <c r="E2967" s="4"/>
    </row>
    <row r="2968" spans="1:5" x14ac:dyDescent="0.3">
      <c r="A2968" s="9">
        <v>2960</v>
      </c>
      <c r="B2968" s="10">
        <f t="shared" ca="1" si="46"/>
        <v>0.10321808851929688</v>
      </c>
      <c r="C2968" s="10">
        <f ca="1">NPV(B2968,Project_FCF!C18:J18)+Project_FCF!B18</f>
        <v>759.77801546307205</v>
      </c>
      <c r="D2968" s="4"/>
      <c r="E2968" s="4"/>
    </row>
    <row r="2969" spans="1:5" x14ac:dyDescent="0.3">
      <c r="A2969" s="9">
        <v>2961</v>
      </c>
      <c r="B2969" s="10">
        <f t="shared" ca="1" si="46"/>
        <v>9.4941206579362974E-2</v>
      </c>
      <c r="C2969" s="10">
        <f ca="1">NPV(B2969,Project_FCF!C18:J18)+Project_FCF!B18</f>
        <v>819.74378408006578</v>
      </c>
      <c r="D2969" s="4"/>
      <c r="E2969" s="4"/>
    </row>
    <row r="2970" spans="1:5" x14ac:dyDescent="0.3">
      <c r="A2970" s="9">
        <v>2962</v>
      </c>
      <c r="B2970" s="10">
        <f t="shared" ca="1" si="46"/>
        <v>8.2417187800517239E-2</v>
      </c>
      <c r="C2970" s="10">
        <f ca="1">NPV(B2970,Project_FCF!C18:J18)+Project_FCF!B18</f>
        <v>918.19755605382579</v>
      </c>
      <c r="D2970" s="4"/>
      <c r="E2970" s="4"/>
    </row>
    <row r="2971" spans="1:5" x14ac:dyDescent="0.3">
      <c r="A2971" s="9">
        <v>2963</v>
      </c>
      <c r="B2971" s="10">
        <f t="shared" ca="1" si="46"/>
        <v>9.1960407482622075E-2</v>
      </c>
      <c r="C2971" s="10">
        <f ca="1">NPV(B2971,Project_FCF!C18:J18)+Project_FCF!B18</f>
        <v>842.30542980599648</v>
      </c>
      <c r="D2971" s="4"/>
      <c r="E2971" s="4"/>
    </row>
    <row r="2972" spans="1:5" x14ac:dyDescent="0.3">
      <c r="A2972" s="9">
        <v>2964</v>
      </c>
      <c r="B2972" s="10">
        <f t="shared" ca="1" si="46"/>
        <v>7.5668716137361938E-2</v>
      </c>
      <c r="C2972" s="10">
        <f ca="1">NPV(B2972,Project_FCF!C18:J18)+Project_FCF!B18</f>
        <v>975.43128911209192</v>
      </c>
      <c r="D2972" s="4"/>
      <c r="E2972" s="4"/>
    </row>
    <row r="2973" spans="1:5" x14ac:dyDescent="0.3">
      <c r="A2973" s="9">
        <v>2965</v>
      </c>
      <c r="B2973" s="10">
        <f t="shared" ca="1" si="46"/>
        <v>7.9422021330618098E-2</v>
      </c>
      <c r="C2973" s="10">
        <f ca="1">NPV(B2973,Project_FCF!C18:J18)+Project_FCF!B18</f>
        <v>943.22098673271603</v>
      </c>
      <c r="D2973" s="4"/>
      <c r="E2973" s="4"/>
    </row>
    <row r="2974" spans="1:5" x14ac:dyDescent="0.3">
      <c r="A2974" s="9">
        <v>2966</v>
      </c>
      <c r="B2974" s="10">
        <f t="shared" ca="1" si="46"/>
        <v>6.529346556298822E-2</v>
      </c>
      <c r="C2974" s="10">
        <f ca="1">NPV(B2974,Project_FCF!C18:J18)+Project_FCF!B18</f>
        <v>1069.6700413800738</v>
      </c>
      <c r="D2974" s="4"/>
      <c r="E2974" s="4"/>
    </row>
    <row r="2975" spans="1:5" x14ac:dyDescent="0.3">
      <c r="A2975" s="9">
        <v>2967</v>
      </c>
      <c r="B2975" s="10">
        <f t="shared" ca="1" si="46"/>
        <v>9.6357287846897399E-2</v>
      </c>
      <c r="C2975" s="10">
        <f ca="1">NPV(B2975,Project_FCF!C18:J18)+Project_FCF!B18</f>
        <v>809.20832663508077</v>
      </c>
      <c r="D2975" s="4"/>
      <c r="E2975" s="4"/>
    </row>
    <row r="2976" spans="1:5" x14ac:dyDescent="0.3">
      <c r="A2976" s="9">
        <v>2968</v>
      </c>
      <c r="B2976" s="10">
        <f t="shared" ca="1" si="46"/>
        <v>7.4983507818559461E-2</v>
      </c>
      <c r="C2976" s="10">
        <f ca="1">NPV(B2976,Project_FCF!C18:J18)+Project_FCF!B18</f>
        <v>981.41637379828012</v>
      </c>
      <c r="D2976" s="4"/>
      <c r="E2976" s="4"/>
    </row>
    <row r="2977" spans="1:5" x14ac:dyDescent="0.3">
      <c r="A2977" s="9">
        <v>2969</v>
      </c>
      <c r="B2977" s="10">
        <f t="shared" ca="1" si="46"/>
        <v>8.5550194067644081E-2</v>
      </c>
      <c r="C2977" s="10">
        <f ca="1">NPV(B2977,Project_FCF!C18:J18)+Project_FCF!B18</f>
        <v>892.65010776520126</v>
      </c>
      <c r="D2977" s="4"/>
      <c r="E2977" s="4"/>
    </row>
    <row r="2978" spans="1:5" x14ac:dyDescent="0.3">
      <c r="A2978" s="9">
        <v>2970</v>
      </c>
      <c r="B2978" s="10">
        <f t="shared" ca="1" si="46"/>
        <v>6.7822572269852888E-2</v>
      </c>
      <c r="C2978" s="10">
        <f ca="1">NPV(B2978,Project_FCF!C18:J18)+Project_FCF!B18</f>
        <v>1045.9690678526506</v>
      </c>
      <c r="D2978" s="4"/>
      <c r="E2978" s="4"/>
    </row>
    <row r="2979" spans="1:5" x14ac:dyDescent="0.3">
      <c r="A2979" s="9">
        <v>2971</v>
      </c>
      <c r="B2979" s="10">
        <f t="shared" ca="1" si="46"/>
        <v>0.10136281416691606</v>
      </c>
      <c r="C2979" s="10">
        <f ca="1">NPV(B2979,Project_FCF!C18:J18)+Project_FCF!B18</f>
        <v>772.88595238472567</v>
      </c>
      <c r="D2979" s="4"/>
      <c r="E2979" s="4"/>
    </row>
    <row r="2980" spans="1:5" x14ac:dyDescent="0.3">
      <c r="A2980" s="9">
        <v>2972</v>
      </c>
      <c r="B2980" s="10">
        <f t="shared" ca="1" si="46"/>
        <v>9.9628331279814047E-2</v>
      </c>
      <c r="C2980" s="10">
        <f ca="1">NPV(B2980,Project_FCF!C18:J18)+Project_FCF!B18</f>
        <v>785.31233594249784</v>
      </c>
      <c r="D2980" s="4"/>
      <c r="E2980" s="4"/>
    </row>
    <row r="2981" spans="1:5" x14ac:dyDescent="0.3">
      <c r="A2981" s="9">
        <v>2973</v>
      </c>
      <c r="B2981" s="10">
        <f t="shared" ca="1" si="46"/>
        <v>9.1788372921239036E-2</v>
      </c>
      <c r="C2981" s="10">
        <f ca="1">NPV(B2981,Project_FCF!C18:J18)+Project_FCF!B18</f>
        <v>843.62370417197849</v>
      </c>
      <c r="D2981" s="4"/>
      <c r="E2981" s="4"/>
    </row>
    <row r="2982" spans="1:5" x14ac:dyDescent="0.3">
      <c r="A2982" s="9">
        <v>2974</v>
      </c>
      <c r="B2982" s="10">
        <f t="shared" ca="1" si="46"/>
        <v>8.0709369930739017E-2</v>
      </c>
      <c r="C2982" s="10">
        <f ca="1">NPV(B2982,Project_FCF!C18:J18)+Project_FCF!B18</f>
        <v>932.39278497636587</v>
      </c>
      <c r="D2982" s="4"/>
      <c r="E2982" s="4"/>
    </row>
    <row r="2983" spans="1:5" x14ac:dyDescent="0.3">
      <c r="A2983" s="9">
        <v>2975</v>
      </c>
      <c r="B2983" s="10">
        <f t="shared" ca="1" si="46"/>
        <v>7.8246772963625089E-2</v>
      </c>
      <c r="C2983" s="10">
        <f ca="1">NPV(B2983,Project_FCF!C18:J18)+Project_FCF!B18</f>
        <v>953.20348084935813</v>
      </c>
      <c r="D2983" s="4"/>
      <c r="E2983" s="4"/>
    </row>
    <row r="2984" spans="1:5" x14ac:dyDescent="0.3">
      <c r="A2984" s="9">
        <v>2976</v>
      </c>
      <c r="B2984" s="10">
        <f t="shared" ca="1" si="46"/>
        <v>6.596477239548304E-2</v>
      </c>
      <c r="C2984" s="10">
        <f ca="1">NPV(B2984,Project_FCF!C18:J18)+Project_FCF!B18</f>
        <v>1063.331853104263</v>
      </c>
      <c r="D2984" s="4"/>
      <c r="E2984" s="4"/>
    </row>
    <row r="2985" spans="1:5" x14ac:dyDescent="0.3">
      <c r="A2985" s="9">
        <v>2977</v>
      </c>
      <c r="B2985" s="10">
        <f t="shared" ca="1" si="46"/>
        <v>9.9510324684140533E-2</v>
      </c>
      <c r="C2985" s="10">
        <f ca="1">NPV(B2985,Project_FCF!C18:J18)+Project_FCF!B18</f>
        <v>786.16387288102419</v>
      </c>
      <c r="D2985" s="4"/>
      <c r="E2985" s="4"/>
    </row>
    <row r="2986" spans="1:5" x14ac:dyDescent="0.3">
      <c r="A2986" s="9">
        <v>2978</v>
      </c>
      <c r="B2986" s="10">
        <f t="shared" ca="1" si="46"/>
        <v>6.5052461168618958E-2</v>
      </c>
      <c r="C2986" s="10">
        <f ca="1">NPV(B2986,Project_FCF!C18:J18)+Project_FCF!B18</f>
        <v>1071.9538891615302</v>
      </c>
      <c r="D2986" s="4"/>
      <c r="E2986" s="4"/>
    </row>
    <row r="2987" spans="1:5" x14ac:dyDescent="0.3">
      <c r="A2987" s="9">
        <v>2979</v>
      </c>
      <c r="B2987" s="10">
        <f t="shared" ca="1" si="46"/>
        <v>8.0096457529838794E-2</v>
      </c>
      <c r="C2987" s="10">
        <f ca="1">NPV(B2987,Project_FCF!C18:J18)+Project_FCF!B18</f>
        <v>937.53433504754685</v>
      </c>
      <c r="D2987" s="4"/>
      <c r="E2987" s="4"/>
    </row>
    <row r="2988" spans="1:5" x14ac:dyDescent="0.3">
      <c r="A2988" s="9">
        <v>2980</v>
      </c>
      <c r="B2988" s="10">
        <f t="shared" ca="1" si="46"/>
        <v>8.4093264117526823E-2</v>
      </c>
      <c r="C2988" s="10">
        <f ca="1">NPV(B2988,Project_FCF!C18:J18)+Project_FCF!B18</f>
        <v>904.45163567881764</v>
      </c>
      <c r="D2988" s="4"/>
      <c r="E2988" s="4"/>
    </row>
    <row r="2989" spans="1:5" x14ac:dyDescent="0.3">
      <c r="A2989" s="9">
        <v>2981</v>
      </c>
      <c r="B2989" s="10">
        <f t="shared" ca="1" si="46"/>
        <v>9.5218987685084383E-2</v>
      </c>
      <c r="C2989" s="10">
        <f ca="1">NPV(B2989,Project_FCF!C18:J18)+Project_FCF!B18</f>
        <v>817.667933080181</v>
      </c>
      <c r="D2989" s="4"/>
      <c r="E2989" s="4"/>
    </row>
    <row r="2990" spans="1:5" x14ac:dyDescent="0.3">
      <c r="A2990" s="9">
        <v>2982</v>
      </c>
      <c r="B2990" s="10">
        <f t="shared" ca="1" si="46"/>
        <v>7.9738571524739468E-2</v>
      </c>
      <c r="C2990" s="10">
        <f ca="1">NPV(B2990,Project_FCF!C18:J18)+Project_FCF!B18</f>
        <v>940.54813222994972</v>
      </c>
      <c r="D2990" s="4"/>
      <c r="E2990" s="4"/>
    </row>
    <row r="2991" spans="1:5" x14ac:dyDescent="0.3">
      <c r="A2991" s="9">
        <v>2983</v>
      </c>
      <c r="B2991" s="10">
        <f t="shared" ca="1" si="46"/>
        <v>7.1578601234592157E-2</v>
      </c>
      <c r="C2991" s="10">
        <f ca="1">NPV(B2991,Project_FCF!C18:J18)+Project_FCF!B18</f>
        <v>1011.6482647421483</v>
      </c>
      <c r="D2991" s="4"/>
      <c r="E2991" s="4"/>
    </row>
    <row r="2992" spans="1:5" x14ac:dyDescent="0.3">
      <c r="A2992" s="9">
        <v>2984</v>
      </c>
      <c r="B2992" s="10">
        <f t="shared" ca="1" si="46"/>
        <v>6.5298304028092169E-2</v>
      </c>
      <c r="C2992" s="10">
        <f ca="1">NPV(B2992,Project_FCF!C18:J18)+Project_FCF!B18</f>
        <v>1069.6242357503622</v>
      </c>
      <c r="D2992" s="4"/>
      <c r="E2992" s="4"/>
    </row>
    <row r="2993" spans="1:5" x14ac:dyDescent="0.3">
      <c r="A2993" s="9">
        <v>2985</v>
      </c>
      <c r="B2993" s="10">
        <f t="shared" ca="1" si="46"/>
        <v>8.5144630980703809E-2</v>
      </c>
      <c r="C2993" s="10">
        <f ca="1">NPV(B2993,Project_FCF!C18:J18)+Project_FCF!B18</f>
        <v>895.92164792922313</v>
      </c>
      <c r="D2993" s="4"/>
      <c r="E2993" s="4"/>
    </row>
    <row r="2994" spans="1:5" x14ac:dyDescent="0.3">
      <c r="A2994" s="9">
        <v>2986</v>
      </c>
      <c r="B2994" s="10">
        <f t="shared" ca="1" si="46"/>
        <v>6.4048181700052456E-2</v>
      </c>
      <c r="C2994" s="10">
        <f ca="1">NPV(B2994,Project_FCF!C18:J18)+Project_FCF!B18</f>
        <v>1081.5188117744538</v>
      </c>
      <c r="D2994" s="4"/>
      <c r="E2994" s="4"/>
    </row>
    <row r="2995" spans="1:5" x14ac:dyDescent="0.3">
      <c r="A2995" s="9">
        <v>2987</v>
      </c>
      <c r="B2995" s="10">
        <f t="shared" ca="1" si="46"/>
        <v>8.256895680215208E-2</v>
      </c>
      <c r="C2995" s="10">
        <f ca="1">NPV(B2995,Project_FCF!C18:J18)+Project_FCF!B18</f>
        <v>916.94533740481643</v>
      </c>
      <c r="D2995" s="4"/>
      <c r="E2995" s="4"/>
    </row>
    <row r="2996" spans="1:5" x14ac:dyDescent="0.3">
      <c r="A2996" s="9">
        <v>2988</v>
      </c>
      <c r="B2996" s="10">
        <f t="shared" ca="1" si="46"/>
        <v>7.7585489343902081E-2</v>
      </c>
      <c r="C2996" s="10">
        <f ca="1">NPV(B2996,Project_FCF!C18:J18)+Project_FCF!B18</f>
        <v>958.86155806282272</v>
      </c>
      <c r="D2996" s="4"/>
      <c r="E2996" s="4"/>
    </row>
    <row r="2997" spans="1:5" x14ac:dyDescent="0.3">
      <c r="A2997" s="9">
        <v>2989</v>
      </c>
      <c r="B2997" s="10">
        <f t="shared" ca="1" si="46"/>
        <v>8.4281154758509141E-2</v>
      </c>
      <c r="C2997" s="10">
        <f ca="1">NPV(B2997,Project_FCF!C18:J18)+Project_FCF!B18</f>
        <v>902.92202836269189</v>
      </c>
      <c r="D2997" s="4"/>
      <c r="E2997" s="4"/>
    </row>
    <row r="2998" spans="1:5" x14ac:dyDescent="0.3">
      <c r="A2998" s="9">
        <v>2990</v>
      </c>
      <c r="B2998" s="10">
        <f t="shared" ca="1" si="46"/>
        <v>9.8364724670511161E-2</v>
      </c>
      <c r="C2998" s="10">
        <f ca="1">NPV(B2998,Project_FCF!C18:J18)+Project_FCF!B18</f>
        <v>794.4712907498415</v>
      </c>
      <c r="D2998" s="4"/>
      <c r="E2998" s="4"/>
    </row>
    <row r="2999" spans="1:5" x14ac:dyDescent="0.3">
      <c r="A2999" s="9">
        <v>2991</v>
      </c>
      <c r="B2999" s="10">
        <f t="shared" ca="1" si="46"/>
        <v>6.845023921363419E-2</v>
      </c>
      <c r="C2999" s="10">
        <f ca="1">NPV(B2999,Project_FCF!C18:J18)+Project_FCF!B18</f>
        <v>1040.1614183860693</v>
      </c>
      <c r="D2999" s="4"/>
      <c r="E2999" s="4"/>
    </row>
    <row r="3000" spans="1:5" x14ac:dyDescent="0.3">
      <c r="A3000" s="9">
        <v>2992</v>
      </c>
      <c r="B3000" s="10">
        <f t="shared" ca="1" si="46"/>
        <v>8.9357146767059081E-2</v>
      </c>
      <c r="C3000" s="10">
        <f ca="1">NPV(B3000,Project_FCF!C18:J18)+Project_FCF!B18</f>
        <v>862.44537531822289</v>
      </c>
      <c r="D3000" s="4"/>
      <c r="E3000" s="4"/>
    </row>
    <row r="3001" spans="1:5" x14ac:dyDescent="0.3">
      <c r="A3001" s="9">
        <v>2993</v>
      </c>
      <c r="B3001" s="10">
        <f t="shared" ca="1" si="46"/>
        <v>6.8281903118444898E-2</v>
      </c>
      <c r="C3001" s="10">
        <f ca="1">NPV(B3001,Project_FCF!C18:J18)+Project_FCF!B18</f>
        <v>1041.7161145125376</v>
      </c>
      <c r="D3001" s="4"/>
      <c r="E3001" s="4"/>
    </row>
    <row r="3002" spans="1:5" x14ac:dyDescent="0.3">
      <c r="A3002" s="9">
        <v>2994</v>
      </c>
      <c r="B3002" s="10">
        <f t="shared" ca="1" si="46"/>
        <v>8.3005639007176849E-2</v>
      </c>
      <c r="C3002" s="10">
        <f ca="1">NPV(B3002,Project_FCF!C18:J18)+Project_FCF!B18</f>
        <v>913.35073503727244</v>
      </c>
      <c r="D3002" s="4"/>
      <c r="E3002" s="4"/>
    </row>
    <row r="3003" spans="1:5" x14ac:dyDescent="0.3">
      <c r="A3003" s="9">
        <v>2995</v>
      </c>
      <c r="B3003" s="10">
        <f t="shared" ca="1" si="46"/>
        <v>6.4079146488300473E-2</v>
      </c>
      <c r="C3003" s="10">
        <f ca="1">NPV(B3003,Project_FCF!C18:J18)+Project_FCF!B18</f>
        <v>1081.2227371206138</v>
      </c>
      <c r="D3003" s="4"/>
      <c r="E3003" s="4"/>
    </row>
    <row r="3004" spans="1:5" x14ac:dyDescent="0.3">
      <c r="A3004" s="9">
        <v>2996</v>
      </c>
      <c r="B3004" s="10">
        <f t="shared" ca="1" si="46"/>
        <v>7.2654154598580378E-2</v>
      </c>
      <c r="C3004" s="10">
        <f ca="1">NPV(B3004,Project_FCF!C18:J18)+Project_FCF!B18</f>
        <v>1002.0093603437556</v>
      </c>
      <c r="D3004" s="4"/>
      <c r="E3004" s="4"/>
    </row>
    <row r="3005" spans="1:5" x14ac:dyDescent="0.3">
      <c r="A3005" s="9">
        <v>2997</v>
      </c>
      <c r="B3005" s="10">
        <f t="shared" ca="1" si="46"/>
        <v>8.1415298849703069E-2</v>
      </c>
      <c r="C3005" s="10">
        <f ca="1">NPV(B3005,Project_FCF!C18:J18)+Project_FCF!B18</f>
        <v>926.5018516830653</v>
      </c>
      <c r="D3005" s="4"/>
      <c r="E3005" s="4"/>
    </row>
    <row r="3006" spans="1:5" x14ac:dyDescent="0.3">
      <c r="A3006" s="9">
        <v>2998</v>
      </c>
      <c r="B3006" s="10">
        <f t="shared" ca="1" si="46"/>
        <v>9.0314227322208063E-2</v>
      </c>
      <c r="C3006" s="10">
        <f ca="1">NPV(B3006,Project_FCF!C18:J18)+Project_FCF!B18</f>
        <v>854.9930930258904</v>
      </c>
      <c r="D3006" s="4"/>
      <c r="E3006" s="4"/>
    </row>
    <row r="3007" spans="1:5" x14ac:dyDescent="0.3">
      <c r="A3007" s="9">
        <v>2999</v>
      </c>
      <c r="B3007" s="10">
        <f t="shared" ca="1" si="46"/>
        <v>6.9294977744261133E-2</v>
      </c>
      <c r="C3007" s="10">
        <f ca="1">NPV(B3007,Project_FCF!C18:J18)+Project_FCF!B18</f>
        <v>1032.3913919078122</v>
      </c>
      <c r="D3007" s="4"/>
      <c r="E3007" s="4"/>
    </row>
    <row r="3008" spans="1:5" x14ac:dyDescent="0.3">
      <c r="A3008" s="9">
        <v>3000</v>
      </c>
      <c r="B3008" s="10">
        <f t="shared" ca="1" si="46"/>
        <v>9.3263229151695076E-2</v>
      </c>
      <c r="C3008" s="10">
        <f ca="1">NPV(B3008,Project_FCF!C18:J18)+Project_FCF!B18</f>
        <v>832.37959136052359</v>
      </c>
      <c r="D3008" s="4"/>
      <c r="E3008" s="4"/>
    </row>
    <row r="3009" spans="1:5" x14ac:dyDescent="0.3">
      <c r="A3009" s="9">
        <v>3001</v>
      </c>
      <c r="B3009" s="10">
        <f t="shared" ca="1" si="46"/>
        <v>8.001161302765708E-2</v>
      </c>
      <c r="C3009" s="10">
        <f ca="1">NPV(B3009,Project_FCF!C18:J18)+Project_FCF!B18</f>
        <v>938.24804533288329</v>
      </c>
      <c r="D3009" s="4"/>
      <c r="E3009" s="4"/>
    </row>
    <row r="3010" spans="1:5" x14ac:dyDescent="0.3">
      <c r="A3010" s="9">
        <v>3002</v>
      </c>
      <c r="B3010" s="10">
        <f t="shared" ca="1" si="46"/>
        <v>9.5091853433655393E-2</v>
      </c>
      <c r="C3010" s="10">
        <f ca="1">NPV(B3010,Project_FCF!C18:J18)+Project_FCF!B18</f>
        <v>818.61744492647654</v>
      </c>
      <c r="D3010" s="4"/>
      <c r="E3010" s="4"/>
    </row>
    <row r="3011" spans="1:5" x14ac:dyDescent="0.3">
      <c r="A3011" s="9">
        <v>3003</v>
      </c>
      <c r="B3011" s="10">
        <f t="shared" ca="1" si="46"/>
        <v>6.5770513032747446E-2</v>
      </c>
      <c r="C3011" s="10">
        <f ca="1">NPV(B3011,Project_FCF!C18:J18)+Project_FCF!B18</f>
        <v>1065.1624379354939</v>
      </c>
      <c r="D3011" s="4"/>
      <c r="E3011" s="4"/>
    </row>
    <row r="3012" spans="1:5" x14ac:dyDescent="0.3">
      <c r="A3012" s="9">
        <v>3004</v>
      </c>
      <c r="B3012" s="10">
        <f t="shared" ca="1" si="46"/>
        <v>6.9773060339135939E-2</v>
      </c>
      <c r="C3012" s="10">
        <f ca="1">NPV(B3012,Project_FCF!C18:J18)+Project_FCF!B18</f>
        <v>1028.0172375095383</v>
      </c>
      <c r="D3012" s="4"/>
      <c r="E3012" s="4"/>
    </row>
    <row r="3013" spans="1:5" x14ac:dyDescent="0.3">
      <c r="A3013" s="9">
        <v>3005</v>
      </c>
      <c r="B3013" s="10">
        <f t="shared" ca="1" si="46"/>
        <v>6.5334395901966713E-2</v>
      </c>
      <c r="C3013" s="10">
        <f ca="1">NPV(B3013,Project_FCF!C18:J18)+Project_FCF!B18</f>
        <v>1069.2826112987634</v>
      </c>
      <c r="D3013" s="4"/>
      <c r="E3013" s="4"/>
    </row>
    <row r="3014" spans="1:5" x14ac:dyDescent="0.3">
      <c r="A3014" s="9">
        <v>3006</v>
      </c>
      <c r="B3014" s="10">
        <f t="shared" ca="1" si="46"/>
        <v>6.9627758316783792E-2</v>
      </c>
      <c r="C3014" s="10">
        <f ca="1">NPV(B3014,Project_FCF!C18:J18)+Project_FCF!B18</f>
        <v>1029.3448829453705</v>
      </c>
      <c r="D3014" s="4"/>
      <c r="E3014" s="4"/>
    </row>
    <row r="3015" spans="1:5" x14ac:dyDescent="0.3">
      <c r="A3015" s="9">
        <v>3007</v>
      </c>
      <c r="B3015" s="10">
        <f t="shared" ca="1" si="46"/>
        <v>8.8113268447826437E-2</v>
      </c>
      <c r="C3015" s="10">
        <f ca="1">NPV(B3015,Project_FCF!C18:J18)+Project_FCF!B18</f>
        <v>872.21498551772947</v>
      </c>
      <c r="D3015" s="4"/>
      <c r="E3015" s="4"/>
    </row>
    <row r="3016" spans="1:5" x14ac:dyDescent="0.3">
      <c r="A3016" s="9">
        <v>3008</v>
      </c>
      <c r="B3016" s="10">
        <f t="shared" ca="1" si="46"/>
        <v>8.9837584437617135E-2</v>
      </c>
      <c r="C3016" s="10">
        <f ca="1">NPV(B3016,Project_FCF!C18:J18)+Project_FCF!B18</f>
        <v>858.69745469350391</v>
      </c>
      <c r="D3016" s="4"/>
      <c r="E3016" s="4"/>
    </row>
    <row r="3017" spans="1:5" x14ac:dyDescent="0.3">
      <c r="A3017" s="9">
        <v>3009</v>
      </c>
      <c r="B3017" s="10">
        <f t="shared" ref="B3017:B3080" ca="1" si="47">$B$4+RAND()*($B$5-$B$4)</f>
        <v>9.1063073085623475E-2</v>
      </c>
      <c r="C3017" s="10">
        <f ca="1">NPV(B3017,Project_FCF!C18:J18)+Project_FCF!B18</f>
        <v>849.20116359957115</v>
      </c>
      <c r="D3017" s="4"/>
      <c r="E3017" s="4"/>
    </row>
    <row r="3018" spans="1:5" x14ac:dyDescent="0.3">
      <c r="A3018" s="9">
        <v>3010</v>
      </c>
      <c r="B3018" s="10">
        <f t="shared" ca="1" si="47"/>
        <v>7.4341443079524464E-2</v>
      </c>
      <c r="C3018" s="10">
        <f ca="1">NPV(B3018,Project_FCF!C18:J18)+Project_FCF!B18</f>
        <v>987.05441145333293</v>
      </c>
      <c r="D3018" s="4"/>
      <c r="E3018" s="4"/>
    </row>
    <row r="3019" spans="1:5" x14ac:dyDescent="0.3">
      <c r="A3019" s="9">
        <v>3011</v>
      </c>
      <c r="B3019" s="10">
        <f t="shared" ca="1" si="47"/>
        <v>7.0596029183741832E-2</v>
      </c>
      <c r="C3019" s="10">
        <f ca="1">NPV(B3019,Project_FCF!C18:J18)+Project_FCF!B18</f>
        <v>1020.5268134646085</v>
      </c>
      <c r="D3019" s="4"/>
      <c r="E3019" s="4"/>
    </row>
    <row r="3020" spans="1:5" x14ac:dyDescent="0.3">
      <c r="A3020" s="9">
        <v>3012</v>
      </c>
      <c r="B3020" s="10">
        <f t="shared" ca="1" si="47"/>
        <v>8.2563304469229326E-2</v>
      </c>
      <c r="C3020" s="10">
        <f ca="1">NPV(B3020,Project_FCF!C18:J18)+Project_FCF!B18</f>
        <v>916.99194680251412</v>
      </c>
      <c r="D3020" s="4"/>
      <c r="E3020" s="4"/>
    </row>
    <row r="3021" spans="1:5" x14ac:dyDescent="0.3">
      <c r="A3021" s="9">
        <v>3013</v>
      </c>
      <c r="B3021" s="10">
        <f t="shared" ca="1" si="47"/>
        <v>8.0606727050981597E-2</v>
      </c>
      <c r="C3021" s="10">
        <f ca="1">NPV(B3021,Project_FCF!C18:J18)+Project_FCF!B18</f>
        <v>933.25208436465687</v>
      </c>
      <c r="D3021" s="4"/>
      <c r="E3021" s="4"/>
    </row>
    <row r="3022" spans="1:5" x14ac:dyDescent="0.3">
      <c r="A3022" s="9">
        <v>3014</v>
      </c>
      <c r="B3022" s="10">
        <f t="shared" ca="1" si="47"/>
        <v>6.7144334260253846E-2</v>
      </c>
      <c r="C3022" s="10">
        <f ca="1">NPV(B3022,Project_FCF!C18:J18)+Project_FCF!B18</f>
        <v>1052.2777068980472</v>
      </c>
      <c r="D3022" s="4"/>
      <c r="E3022" s="4"/>
    </row>
    <row r="3023" spans="1:5" x14ac:dyDescent="0.3">
      <c r="A3023" s="9">
        <v>3015</v>
      </c>
      <c r="B3023" s="10">
        <f t="shared" ca="1" si="47"/>
        <v>7.0860510735562043E-2</v>
      </c>
      <c r="C3023" s="10">
        <f ca="1">NPV(B3023,Project_FCF!C18:J18)+Project_FCF!B18</f>
        <v>1018.1300645364431</v>
      </c>
      <c r="D3023" s="4"/>
      <c r="E3023" s="4"/>
    </row>
    <row r="3024" spans="1:5" x14ac:dyDescent="0.3">
      <c r="A3024" s="9">
        <v>3016</v>
      </c>
      <c r="B3024" s="10">
        <f t="shared" ca="1" si="47"/>
        <v>7.4844280485480558E-2</v>
      </c>
      <c r="C3024" s="10">
        <f ca="1">NPV(B3024,Project_FCF!C18:J18)+Project_FCF!B18</f>
        <v>982.63648945848649</v>
      </c>
      <c r="D3024" s="4"/>
      <c r="E3024" s="4"/>
    </row>
    <row r="3025" spans="1:5" x14ac:dyDescent="0.3">
      <c r="A3025" s="9">
        <v>3017</v>
      </c>
      <c r="B3025" s="10">
        <f t="shared" ca="1" si="47"/>
        <v>8.3697459309997793E-2</v>
      </c>
      <c r="C3025" s="10">
        <f ca="1">NPV(B3025,Project_FCF!C18:J18)+Project_FCF!B18</f>
        <v>907.68130653713888</v>
      </c>
      <c r="D3025" s="4"/>
      <c r="E3025" s="4"/>
    </row>
    <row r="3026" spans="1:5" x14ac:dyDescent="0.3">
      <c r="A3026" s="9">
        <v>3018</v>
      </c>
      <c r="B3026" s="10">
        <f t="shared" ca="1" si="47"/>
        <v>7.8606347201696639E-2</v>
      </c>
      <c r="C3026" s="10">
        <f ca="1">NPV(B3026,Project_FCF!C18:J18)+Project_FCF!B18</f>
        <v>950.1393650603361</v>
      </c>
      <c r="D3026" s="4"/>
      <c r="E3026" s="4"/>
    </row>
    <row r="3027" spans="1:5" x14ac:dyDescent="0.3">
      <c r="A3027" s="9">
        <v>3019</v>
      </c>
      <c r="B3027" s="10">
        <f t="shared" ca="1" si="47"/>
        <v>0.10069198752360567</v>
      </c>
      <c r="C3027" s="10">
        <f ca="1">NPV(B3027,Project_FCF!C18:J18)+Project_FCF!B18</f>
        <v>777.67212413256016</v>
      </c>
      <c r="D3027" s="4"/>
      <c r="E3027" s="4"/>
    </row>
    <row r="3028" spans="1:5" x14ac:dyDescent="0.3">
      <c r="A3028" s="9">
        <v>3020</v>
      </c>
      <c r="B3028" s="10">
        <f t="shared" ca="1" si="47"/>
        <v>8.9597459201821966E-2</v>
      </c>
      <c r="C3028" s="10">
        <f ca="1">NPV(B3028,Project_FCF!C18:J18)+Project_FCF!B18</f>
        <v>860.56891574454812</v>
      </c>
      <c r="D3028" s="4"/>
      <c r="E3028" s="4"/>
    </row>
    <row r="3029" spans="1:5" x14ac:dyDescent="0.3">
      <c r="A3029" s="9">
        <v>3021</v>
      </c>
      <c r="B3029" s="10">
        <f t="shared" ca="1" si="47"/>
        <v>9.7202575975520136E-2</v>
      </c>
      <c r="C3029" s="10">
        <f ca="1">NPV(B3029,Project_FCF!C18:J18)+Project_FCF!B18</f>
        <v>802.97476341272841</v>
      </c>
      <c r="D3029" s="4"/>
      <c r="E3029" s="4"/>
    </row>
    <row r="3030" spans="1:5" x14ac:dyDescent="0.3">
      <c r="A3030" s="9">
        <v>3022</v>
      </c>
      <c r="B3030" s="10">
        <f t="shared" ca="1" si="47"/>
        <v>8.2474777043410608E-2</v>
      </c>
      <c r="C3030" s="10">
        <f ca="1">NPV(B3030,Project_FCF!C18:J18)+Project_FCF!B18</f>
        <v>917.722220365662</v>
      </c>
      <c r="D3030" s="4"/>
      <c r="E3030" s="4"/>
    </row>
    <row r="3031" spans="1:5" x14ac:dyDescent="0.3">
      <c r="A3031" s="9">
        <v>3023</v>
      </c>
      <c r="B3031" s="10">
        <f t="shared" ca="1" si="47"/>
        <v>8.2247954619224697E-2</v>
      </c>
      <c r="C3031" s="10">
        <f ca="1">NPV(B3031,Project_FCF!C18:J18)+Project_FCF!B18</f>
        <v>919.59564490267189</v>
      </c>
      <c r="D3031" s="4"/>
      <c r="E3031" s="4"/>
    </row>
    <row r="3032" spans="1:5" x14ac:dyDescent="0.3">
      <c r="A3032" s="9">
        <v>3024</v>
      </c>
      <c r="B3032" s="10">
        <f t="shared" ca="1" si="47"/>
        <v>9.337722971608417E-2</v>
      </c>
      <c r="C3032" s="10">
        <f ca="1">NPV(B3032,Project_FCF!C18:J18)+Project_FCF!B18</f>
        <v>831.51586182331175</v>
      </c>
      <c r="D3032" s="4"/>
      <c r="E3032" s="4"/>
    </row>
    <row r="3033" spans="1:5" x14ac:dyDescent="0.3">
      <c r="A3033" s="9">
        <v>3025</v>
      </c>
      <c r="B3033" s="10">
        <f t="shared" ca="1" si="47"/>
        <v>0.10331111783940275</v>
      </c>
      <c r="C3033" s="10">
        <f ca="1">NPV(B3033,Project_FCF!C18:J18)+Project_FCF!B18</f>
        <v>759.12569104303066</v>
      </c>
      <c r="D3033" s="4"/>
      <c r="E3033" s="4"/>
    </row>
    <row r="3034" spans="1:5" x14ac:dyDescent="0.3">
      <c r="A3034" s="9">
        <v>3026</v>
      </c>
      <c r="B3034" s="10">
        <f t="shared" ca="1" si="47"/>
        <v>9.7490583448515883E-2</v>
      </c>
      <c r="C3034" s="10">
        <f ca="1">NPV(B3034,Project_FCF!C18:J18)+Project_FCF!B18</f>
        <v>800.86022342024717</v>
      </c>
      <c r="D3034" s="4"/>
      <c r="E3034" s="4"/>
    </row>
    <row r="3035" spans="1:5" x14ac:dyDescent="0.3">
      <c r="A3035" s="9">
        <v>3027</v>
      </c>
      <c r="B3035" s="10">
        <f t="shared" ca="1" si="47"/>
        <v>9.1150191138304956E-2</v>
      </c>
      <c r="C3035" s="10">
        <f ca="1">NPV(B3035,Project_FCF!C18:J18)+Project_FCF!B18</f>
        <v>848.52955912354037</v>
      </c>
      <c r="D3035" s="4"/>
      <c r="E3035" s="4"/>
    </row>
    <row r="3036" spans="1:5" x14ac:dyDescent="0.3">
      <c r="A3036" s="9">
        <v>3028</v>
      </c>
      <c r="B3036" s="10">
        <f t="shared" ca="1" si="47"/>
        <v>0.10070587086391368</v>
      </c>
      <c r="C3036" s="10">
        <f ca="1">NPV(B3036,Project_FCF!C18:J18)+Project_FCF!B18</f>
        <v>777.5728173236057</v>
      </c>
      <c r="D3036" s="4"/>
      <c r="E3036" s="4"/>
    </row>
    <row r="3037" spans="1:5" x14ac:dyDescent="0.3">
      <c r="A3037" s="9">
        <v>3029</v>
      </c>
      <c r="B3037" s="10">
        <f t="shared" ca="1" si="47"/>
        <v>6.9328104874047197E-2</v>
      </c>
      <c r="C3037" s="10">
        <f ca="1">NPV(B3037,Project_FCF!C18:J18)+Project_FCF!B18</f>
        <v>1032.0877575158081</v>
      </c>
      <c r="D3037" s="4"/>
      <c r="E3037" s="4"/>
    </row>
    <row r="3038" spans="1:5" x14ac:dyDescent="0.3">
      <c r="A3038" s="9">
        <v>3030</v>
      </c>
      <c r="B3038" s="10">
        <f t="shared" ca="1" si="47"/>
        <v>9.1819625340682276E-2</v>
      </c>
      <c r="C3038" s="10">
        <f ca="1">NPV(B3038,Project_FCF!C18:J18)+Project_FCF!B18</f>
        <v>843.38408950077974</v>
      </c>
      <c r="D3038" s="4"/>
      <c r="E3038" s="4"/>
    </row>
    <row r="3039" spans="1:5" x14ac:dyDescent="0.3">
      <c r="A3039" s="9">
        <v>3031</v>
      </c>
      <c r="B3039" s="10">
        <f t="shared" ca="1" si="47"/>
        <v>8.8112783672831416E-2</v>
      </c>
      <c r="C3039" s="10">
        <f ca="1">NPV(B3039,Project_FCF!C18:J18)+Project_FCF!B18</f>
        <v>872.21881168612185</v>
      </c>
      <c r="D3039" s="4"/>
      <c r="E3039" s="4"/>
    </row>
    <row r="3040" spans="1:5" x14ac:dyDescent="0.3">
      <c r="A3040" s="9">
        <v>3032</v>
      </c>
      <c r="B3040" s="10">
        <f t="shared" ca="1" si="47"/>
        <v>0.10091000379468248</v>
      </c>
      <c r="C3040" s="10">
        <f ca="1">NPV(B3040,Project_FCF!C18:J18)+Project_FCF!B18</f>
        <v>776.11390044221775</v>
      </c>
      <c r="D3040" s="4"/>
      <c r="E3040" s="4"/>
    </row>
    <row r="3041" spans="1:5" x14ac:dyDescent="0.3">
      <c r="A3041" s="9">
        <v>3033</v>
      </c>
      <c r="B3041" s="10">
        <f t="shared" ca="1" si="47"/>
        <v>6.7294991174500801E-2</v>
      </c>
      <c r="C3041" s="10">
        <f ca="1">NPV(B3041,Project_FCF!C18:J18)+Project_FCF!B18</f>
        <v>1050.8733918334015</v>
      </c>
      <c r="D3041" s="4"/>
      <c r="E3041" s="4"/>
    </row>
    <row r="3042" spans="1:5" x14ac:dyDescent="0.3">
      <c r="A3042" s="9">
        <v>3034</v>
      </c>
      <c r="B3042" s="10">
        <f t="shared" ca="1" si="47"/>
        <v>7.3047220748473113E-2</v>
      </c>
      <c r="C3042" s="10">
        <f ca="1">NPV(B3042,Project_FCF!C18:J18)+Project_FCF!B18</f>
        <v>998.50743893966069</v>
      </c>
      <c r="D3042" s="4"/>
      <c r="E3042" s="4"/>
    </row>
    <row r="3043" spans="1:5" x14ac:dyDescent="0.3">
      <c r="A3043" s="9">
        <v>3035</v>
      </c>
      <c r="B3043" s="10">
        <f t="shared" ca="1" si="47"/>
        <v>8.2752406236239709E-2</v>
      </c>
      <c r="C3043" s="10">
        <f ca="1">NPV(B3043,Project_FCF!C18:J18)+Project_FCF!B18</f>
        <v>915.43373709024127</v>
      </c>
      <c r="D3043" s="4"/>
      <c r="E3043" s="4"/>
    </row>
    <row r="3044" spans="1:5" x14ac:dyDescent="0.3">
      <c r="A3044" s="9">
        <v>3036</v>
      </c>
      <c r="B3044" s="10">
        <f t="shared" ca="1" si="47"/>
        <v>9.0841584212769194E-2</v>
      </c>
      <c r="C3044" s="10">
        <f ca="1">NPV(B3044,Project_FCF!C18:J18)+Project_FCF!B18</f>
        <v>850.91071940324991</v>
      </c>
      <c r="D3044" s="4"/>
      <c r="E3044" s="4"/>
    </row>
    <row r="3045" spans="1:5" x14ac:dyDescent="0.3">
      <c r="A3045" s="9">
        <v>3037</v>
      </c>
      <c r="B3045" s="10">
        <f t="shared" ca="1" si="47"/>
        <v>8.9541861044575094E-2</v>
      </c>
      <c r="C3045" s="10">
        <f ca="1">NPV(B3045,Project_FCF!C18:J18)+Project_FCF!B18</f>
        <v>861.00273418934785</v>
      </c>
      <c r="D3045" s="4"/>
      <c r="E3045" s="4"/>
    </row>
    <row r="3046" spans="1:5" x14ac:dyDescent="0.3">
      <c r="A3046" s="9">
        <v>3038</v>
      </c>
      <c r="B3046" s="10">
        <f t="shared" ca="1" si="47"/>
        <v>8.1659351905385286E-2</v>
      </c>
      <c r="C3046" s="10">
        <f ca="1">NPV(B3046,Project_FCF!C18:J18)+Project_FCF!B18</f>
        <v>924.47290436827143</v>
      </c>
      <c r="D3046" s="4"/>
      <c r="E3046" s="4"/>
    </row>
    <row r="3047" spans="1:5" x14ac:dyDescent="0.3">
      <c r="A3047" s="9">
        <v>3039</v>
      </c>
      <c r="B3047" s="10">
        <f t="shared" ca="1" si="47"/>
        <v>7.4885228270695117E-2</v>
      </c>
      <c r="C3047" s="10">
        <f ca="1">NPV(B3047,Project_FCF!C18:J18)+Project_FCF!B18</f>
        <v>982.27750360784034</v>
      </c>
      <c r="D3047" s="4"/>
      <c r="E3047" s="4"/>
    </row>
    <row r="3048" spans="1:5" x14ac:dyDescent="0.3">
      <c r="A3048" s="9">
        <v>3040</v>
      </c>
      <c r="B3048" s="10">
        <f t="shared" ca="1" si="47"/>
        <v>9.5892191539063268E-2</v>
      </c>
      <c r="C3048" s="10">
        <f ca="1">NPV(B3048,Project_FCF!C18:J18)+Project_FCF!B18</f>
        <v>812.65574351432997</v>
      </c>
      <c r="D3048" s="4"/>
      <c r="E3048" s="4"/>
    </row>
    <row r="3049" spans="1:5" x14ac:dyDescent="0.3">
      <c r="A3049" s="9">
        <v>3041</v>
      </c>
      <c r="B3049" s="10">
        <f t="shared" ca="1" si="47"/>
        <v>8.0608891089563539E-2</v>
      </c>
      <c r="C3049" s="10">
        <f ca="1">NPV(B3049,Project_FCF!C18:J18)+Project_FCF!B18</f>
        <v>933.23396037403631</v>
      </c>
      <c r="D3049" s="4"/>
      <c r="E3049" s="4"/>
    </row>
    <row r="3050" spans="1:5" x14ac:dyDescent="0.3">
      <c r="A3050" s="9">
        <v>3042</v>
      </c>
      <c r="B3050" s="10">
        <f t="shared" ca="1" si="47"/>
        <v>7.4028995370671813E-2</v>
      </c>
      <c r="C3050" s="10">
        <f ca="1">NPV(B3050,Project_FCF!C18:J18)+Project_FCF!B18</f>
        <v>989.80852779722341</v>
      </c>
      <c r="D3050" s="4"/>
      <c r="E3050" s="4"/>
    </row>
    <row r="3051" spans="1:5" x14ac:dyDescent="0.3">
      <c r="A3051" s="9">
        <v>3043</v>
      </c>
      <c r="B3051" s="10">
        <f t="shared" ca="1" si="47"/>
        <v>9.0109186150675244E-2</v>
      </c>
      <c r="C3051" s="10">
        <f ca="1">NPV(B3051,Project_FCF!C18:J18)+Project_FCF!B18</f>
        <v>856.58492721751736</v>
      </c>
      <c r="D3051" s="4"/>
      <c r="E3051" s="4"/>
    </row>
    <row r="3052" spans="1:5" x14ac:dyDescent="0.3">
      <c r="A3052" s="9">
        <v>3044</v>
      </c>
      <c r="B3052" s="10">
        <f t="shared" ca="1" si="47"/>
        <v>0.10187253578232389</v>
      </c>
      <c r="C3052" s="10">
        <f ca="1">NPV(B3052,Project_FCF!C18:J18)+Project_FCF!B18</f>
        <v>769.26584618656057</v>
      </c>
      <c r="D3052" s="4"/>
      <c r="E3052" s="4"/>
    </row>
    <row r="3053" spans="1:5" x14ac:dyDescent="0.3">
      <c r="A3053" s="9">
        <v>3045</v>
      </c>
      <c r="B3053" s="10">
        <f t="shared" ca="1" si="47"/>
        <v>9.0463995571972725E-2</v>
      </c>
      <c r="C3053" s="10">
        <f ca="1">NPV(B3053,Project_FCF!C18:J18)+Project_FCF!B18</f>
        <v>853.83198833564484</v>
      </c>
      <c r="D3053" s="4"/>
      <c r="E3053" s="4"/>
    </row>
    <row r="3054" spans="1:5" x14ac:dyDescent="0.3">
      <c r="A3054" s="9">
        <v>3046</v>
      </c>
      <c r="B3054" s="10">
        <f t="shared" ca="1" si="47"/>
        <v>9.3340785887385064E-2</v>
      </c>
      <c r="C3054" s="10">
        <f ca="1">NPV(B3054,Project_FCF!C18:J18)+Project_FCF!B18</f>
        <v>831.7918960394345</v>
      </c>
      <c r="D3054" s="4"/>
      <c r="E3054" s="4"/>
    </row>
    <row r="3055" spans="1:5" x14ac:dyDescent="0.3">
      <c r="A3055" s="9">
        <v>3047</v>
      </c>
      <c r="B3055" s="10">
        <f t="shared" ca="1" si="47"/>
        <v>7.2428498148763676E-2</v>
      </c>
      <c r="C3055" s="10">
        <f ca="1">NPV(B3055,Project_FCF!C18:J18)+Project_FCF!B18</f>
        <v>1004.0247728579129</v>
      </c>
      <c r="D3055" s="4"/>
      <c r="E3055" s="4"/>
    </row>
    <row r="3056" spans="1:5" x14ac:dyDescent="0.3">
      <c r="A3056" s="9">
        <v>3048</v>
      </c>
      <c r="B3056" s="10">
        <f t="shared" ca="1" si="47"/>
        <v>7.4156443521154705E-2</v>
      </c>
      <c r="C3056" s="10">
        <f ca="1">NPV(B3056,Project_FCF!C18:J18)+Project_FCF!B18</f>
        <v>988.68428667764169</v>
      </c>
      <c r="D3056" s="4"/>
      <c r="E3056" s="4"/>
    </row>
    <row r="3057" spans="1:5" x14ac:dyDescent="0.3">
      <c r="A3057" s="9">
        <v>3049</v>
      </c>
      <c r="B3057" s="10">
        <f t="shared" ca="1" si="47"/>
        <v>0.10040044286254098</v>
      </c>
      <c r="C3057" s="10">
        <f ca="1">NPV(B3057,Project_FCF!C18:J18)+Project_FCF!B18</f>
        <v>779.76000328249984</v>
      </c>
      <c r="D3057" s="4"/>
      <c r="E3057" s="4"/>
    </row>
    <row r="3058" spans="1:5" x14ac:dyDescent="0.3">
      <c r="A3058" s="9">
        <v>3050</v>
      </c>
      <c r="B3058" s="10">
        <f t="shared" ca="1" si="47"/>
        <v>8.6220656503891352E-2</v>
      </c>
      <c r="C3058" s="10">
        <f ca="1">NPV(B3058,Project_FCF!C18:J18)+Project_FCF!B18</f>
        <v>887.264630321715</v>
      </c>
      <c r="D3058" s="4"/>
      <c r="E3058" s="4"/>
    </row>
    <row r="3059" spans="1:5" x14ac:dyDescent="0.3">
      <c r="A3059" s="9">
        <v>3051</v>
      </c>
      <c r="B3059" s="10">
        <f t="shared" ca="1" si="47"/>
        <v>9.0204739585384622E-2</v>
      </c>
      <c r="C3059" s="10">
        <f ca="1">NPV(B3059,Project_FCF!C18:J18)+Project_FCF!B18</f>
        <v>855.84278051395495</v>
      </c>
      <c r="D3059" s="4"/>
      <c r="E3059" s="4"/>
    </row>
    <row r="3060" spans="1:5" x14ac:dyDescent="0.3">
      <c r="A3060" s="9">
        <v>3052</v>
      </c>
      <c r="B3060" s="10">
        <f t="shared" ca="1" si="47"/>
        <v>7.9440900817338927E-2</v>
      </c>
      <c r="C3060" s="10">
        <f ca="1">NPV(B3060,Project_FCF!C18:J18)+Project_FCF!B18</f>
        <v>943.06138542980557</v>
      </c>
      <c r="D3060" s="4"/>
      <c r="E3060" s="4"/>
    </row>
    <row r="3061" spans="1:5" x14ac:dyDescent="0.3">
      <c r="A3061" s="9">
        <v>3053</v>
      </c>
      <c r="B3061" s="10">
        <f t="shared" ca="1" si="47"/>
        <v>8.7712847284991707E-2</v>
      </c>
      <c r="C3061" s="10">
        <f ca="1">NPV(B3061,Project_FCF!C18:J18)+Project_FCF!B18</f>
        <v>875.38035824299664</v>
      </c>
      <c r="D3061" s="4"/>
      <c r="E3061" s="4"/>
    </row>
    <row r="3062" spans="1:5" x14ac:dyDescent="0.3">
      <c r="A3062" s="9">
        <v>3054</v>
      </c>
      <c r="B3062" s="10">
        <f t="shared" ca="1" si="47"/>
        <v>6.814718827294082E-2</v>
      </c>
      <c r="C3062" s="10">
        <f ca="1">NPV(B3062,Project_FCF!C18:J18)+Project_FCF!B18</f>
        <v>1042.9618133955776</v>
      </c>
      <c r="D3062" s="4"/>
      <c r="E3062" s="4"/>
    </row>
    <row r="3063" spans="1:5" x14ac:dyDescent="0.3">
      <c r="A3063" s="9">
        <v>3055</v>
      </c>
      <c r="B3063" s="10">
        <f t="shared" ca="1" si="47"/>
        <v>8.1961447388407993E-2</v>
      </c>
      <c r="C3063" s="10">
        <f ca="1">NPV(B3063,Project_FCF!C18:J18)+Project_FCF!B18</f>
        <v>921.96684931355344</v>
      </c>
      <c r="D3063" s="4"/>
      <c r="E3063" s="4"/>
    </row>
    <row r="3064" spans="1:5" x14ac:dyDescent="0.3">
      <c r="A3064" s="9">
        <v>3056</v>
      </c>
      <c r="B3064" s="10">
        <f t="shared" ca="1" si="47"/>
        <v>9.390890331448884E-2</v>
      </c>
      <c r="C3064" s="10">
        <f ca="1">NPV(B3064,Project_FCF!C18:J18)+Project_FCF!B18</f>
        <v>827.49777942427863</v>
      </c>
      <c r="D3064" s="4"/>
      <c r="E3064" s="4"/>
    </row>
    <row r="3065" spans="1:5" x14ac:dyDescent="0.3">
      <c r="A3065" s="9">
        <v>3057</v>
      </c>
      <c r="B3065" s="10">
        <f t="shared" ca="1" si="47"/>
        <v>9.9042490398328603E-2</v>
      </c>
      <c r="C3065" s="10">
        <f ca="1">NPV(B3065,Project_FCF!C18:J18)+Project_FCF!B18</f>
        <v>789.54747126506345</v>
      </c>
      <c r="D3065" s="4"/>
      <c r="E3065" s="4"/>
    </row>
    <row r="3066" spans="1:5" x14ac:dyDescent="0.3">
      <c r="A3066" s="9">
        <v>3058</v>
      </c>
      <c r="B3066" s="10">
        <f t="shared" ca="1" si="47"/>
        <v>0.10390077101555498</v>
      </c>
      <c r="C3066" s="10">
        <f ca="1">NPV(B3066,Project_FCF!C18:J18)+Project_FCF!B18</f>
        <v>755.00193461908543</v>
      </c>
      <c r="D3066" s="4"/>
      <c r="E3066" s="4"/>
    </row>
    <row r="3067" spans="1:5" x14ac:dyDescent="0.3">
      <c r="A3067" s="9">
        <v>3059</v>
      </c>
      <c r="B3067" s="10">
        <f t="shared" ca="1" si="47"/>
        <v>9.2664707385641185E-2</v>
      </c>
      <c r="C3067" s="10">
        <f ca="1">NPV(B3067,Project_FCF!C18:J18)+Project_FCF!B18</f>
        <v>836.92698531269502</v>
      </c>
      <c r="D3067" s="4"/>
      <c r="E3067" s="4"/>
    </row>
    <row r="3068" spans="1:5" x14ac:dyDescent="0.3">
      <c r="A3068" s="9">
        <v>3060</v>
      </c>
      <c r="B3068" s="10">
        <f t="shared" ca="1" si="47"/>
        <v>8.4397241031737943E-2</v>
      </c>
      <c r="C3068" s="10">
        <f ca="1">NPV(B3068,Project_FCF!C18:J18)+Project_FCF!B18</f>
        <v>901.97811132604875</v>
      </c>
      <c r="D3068" s="4"/>
      <c r="E3068" s="4"/>
    </row>
    <row r="3069" spans="1:5" x14ac:dyDescent="0.3">
      <c r="A3069" s="9">
        <v>3061</v>
      </c>
      <c r="B3069" s="10">
        <f t="shared" ca="1" si="47"/>
        <v>9.7490846436207743E-2</v>
      </c>
      <c r="C3069" s="10">
        <f ca="1">NPV(B3069,Project_FCF!C18:J18)+Project_FCF!B18</f>
        <v>800.85829474274578</v>
      </c>
      <c r="D3069" s="4"/>
      <c r="E3069" s="4"/>
    </row>
    <row r="3070" spans="1:5" x14ac:dyDescent="0.3">
      <c r="A3070" s="9">
        <v>3062</v>
      </c>
      <c r="B3070" s="10">
        <f t="shared" ca="1" si="47"/>
        <v>9.9043830193504337E-2</v>
      </c>
      <c r="C3070" s="10">
        <f ca="1">NPV(B3070,Project_FCF!C18:J18)+Project_FCF!B18</f>
        <v>789.5377636425012</v>
      </c>
      <c r="D3070" s="4"/>
      <c r="E3070" s="4"/>
    </row>
    <row r="3071" spans="1:5" x14ac:dyDescent="0.3">
      <c r="A3071" s="9">
        <v>3063</v>
      </c>
      <c r="B3071" s="10">
        <f t="shared" ca="1" si="47"/>
        <v>8.0068582879397804E-2</v>
      </c>
      <c r="C3071" s="10">
        <f ca="1">NPV(B3071,Project_FCF!C18:J18)+Project_FCF!B18</f>
        <v>937.76876301769903</v>
      </c>
      <c r="D3071" s="4"/>
      <c r="E3071" s="4"/>
    </row>
    <row r="3072" spans="1:5" x14ac:dyDescent="0.3">
      <c r="A3072" s="9">
        <v>3064</v>
      </c>
      <c r="B3072" s="10">
        <f t="shared" ca="1" si="47"/>
        <v>7.6414818883267843E-2</v>
      </c>
      <c r="C3072" s="10">
        <f ca="1">NPV(B3072,Project_FCF!C18:J18)+Project_FCF!B18</f>
        <v>968.95141857670251</v>
      </c>
      <c r="D3072" s="4"/>
      <c r="E3072" s="4"/>
    </row>
    <row r="3073" spans="1:5" x14ac:dyDescent="0.3">
      <c r="A3073" s="9">
        <v>3065</v>
      </c>
      <c r="B3073" s="10">
        <f t="shared" ca="1" si="47"/>
        <v>7.2128661978878725E-2</v>
      </c>
      <c r="C3073" s="10">
        <f ca="1">NPV(B3073,Project_FCF!C18:J18)+Project_FCF!B18</f>
        <v>1006.7083499325436</v>
      </c>
      <c r="D3073" s="4"/>
      <c r="E3073" s="4"/>
    </row>
    <row r="3074" spans="1:5" x14ac:dyDescent="0.3">
      <c r="A3074" s="9">
        <v>3066</v>
      </c>
      <c r="B3074" s="10">
        <f t="shared" ca="1" si="47"/>
        <v>9.9747445669869955E-2</v>
      </c>
      <c r="C3074" s="10">
        <f ca="1">NPV(B3074,Project_FCF!C18:J18)+Project_FCF!B18</f>
        <v>784.45359709568675</v>
      </c>
      <c r="D3074" s="4"/>
      <c r="E3074" s="4"/>
    </row>
    <row r="3075" spans="1:5" x14ac:dyDescent="0.3">
      <c r="A3075" s="9">
        <v>3067</v>
      </c>
      <c r="B3075" s="10">
        <f t="shared" ca="1" si="47"/>
        <v>9.7418610583138054E-2</v>
      </c>
      <c r="C3075" s="10">
        <f ca="1">NPV(B3075,Project_FCF!C18:J18)+Project_FCF!B18</f>
        <v>801.38820069633698</v>
      </c>
      <c r="D3075" s="4"/>
      <c r="E3075" s="4"/>
    </row>
    <row r="3076" spans="1:5" x14ac:dyDescent="0.3">
      <c r="A3076" s="9">
        <v>3068</v>
      </c>
      <c r="B3076" s="10">
        <f t="shared" ca="1" si="47"/>
        <v>8.54834883636513E-2</v>
      </c>
      <c r="C3076" s="10">
        <f ca="1">NPV(B3076,Project_FCF!C18:J18)+Project_FCF!B18</f>
        <v>893.18748051944317</v>
      </c>
      <c r="D3076" s="4"/>
      <c r="E3076" s="4"/>
    </row>
    <row r="3077" spans="1:5" x14ac:dyDescent="0.3">
      <c r="A3077" s="9">
        <v>3069</v>
      </c>
      <c r="B3077" s="10">
        <f t="shared" ca="1" si="47"/>
        <v>8.3280535905009306E-2</v>
      </c>
      <c r="C3077" s="10">
        <f ca="1">NPV(B3077,Project_FCF!C18:J18)+Project_FCF!B18</f>
        <v>911.09425342464169</v>
      </c>
      <c r="D3077" s="4"/>
      <c r="E3077" s="4"/>
    </row>
    <row r="3078" spans="1:5" x14ac:dyDescent="0.3">
      <c r="A3078" s="9">
        <v>3070</v>
      </c>
      <c r="B3078" s="10">
        <f t="shared" ca="1" si="47"/>
        <v>7.1256568614092339E-2</v>
      </c>
      <c r="C3078" s="10">
        <f ca="1">NPV(B3078,Project_FCF!C18:J18)+Project_FCF!B18</f>
        <v>1014.5504572162479</v>
      </c>
      <c r="D3078" s="4"/>
      <c r="E3078" s="4"/>
    </row>
    <row r="3079" spans="1:5" x14ac:dyDescent="0.3">
      <c r="A3079" s="9">
        <v>3071</v>
      </c>
      <c r="B3079" s="10">
        <f t="shared" ca="1" si="47"/>
        <v>9.9663213767007222E-2</v>
      </c>
      <c r="C3079" s="10">
        <f ca="1">NPV(B3079,Project_FCF!C18:J18)+Project_FCF!B18</f>
        <v>785.06077309108332</v>
      </c>
      <c r="D3079" s="4"/>
      <c r="E3079" s="4"/>
    </row>
    <row r="3080" spans="1:5" x14ac:dyDescent="0.3">
      <c r="A3080" s="9">
        <v>3072</v>
      </c>
      <c r="B3080" s="10">
        <f t="shared" ca="1" si="47"/>
        <v>9.7635947919718996E-2</v>
      </c>
      <c r="C3080" s="10">
        <f ca="1">NPV(B3080,Project_FCF!C18:J18)+Project_FCF!B18</f>
        <v>799.79476389183378</v>
      </c>
      <c r="D3080" s="4"/>
      <c r="E3080" s="4"/>
    </row>
    <row r="3081" spans="1:5" x14ac:dyDescent="0.3">
      <c r="A3081" s="9">
        <v>3073</v>
      </c>
      <c r="B3081" s="10">
        <f t="shared" ref="B3081:B3144" ca="1" si="48">$B$4+RAND()*($B$5-$B$4)</f>
        <v>9.5295340696020137E-2</v>
      </c>
      <c r="C3081" s="10">
        <f ca="1">NPV(B3081,Project_FCF!C18:J18)+Project_FCF!B18</f>
        <v>817.09813789258169</v>
      </c>
      <c r="D3081" s="4"/>
      <c r="E3081" s="4"/>
    </row>
    <row r="3082" spans="1:5" x14ac:dyDescent="0.3">
      <c r="A3082" s="9">
        <v>3074</v>
      </c>
      <c r="B3082" s="10">
        <f t="shared" ca="1" si="48"/>
        <v>8.5633962541532646E-2</v>
      </c>
      <c r="C3082" s="10">
        <f ca="1">NPV(B3082,Project_FCF!C18:J18)+Project_FCF!B18</f>
        <v>891.97568017401272</v>
      </c>
      <c r="D3082" s="4"/>
      <c r="E3082" s="4"/>
    </row>
    <row r="3083" spans="1:5" x14ac:dyDescent="0.3">
      <c r="A3083" s="9">
        <v>3075</v>
      </c>
      <c r="B3083" s="10">
        <f t="shared" ca="1" si="48"/>
        <v>7.9432905138314455E-2</v>
      </c>
      <c r="C3083" s="10">
        <f ca="1">NPV(B3083,Project_FCF!C18:J18)+Project_FCF!B18</f>
        <v>943.12897548775231</v>
      </c>
      <c r="D3083" s="4"/>
      <c r="E3083" s="4"/>
    </row>
    <row r="3084" spans="1:5" x14ac:dyDescent="0.3">
      <c r="A3084" s="9">
        <v>3076</v>
      </c>
      <c r="B3084" s="10">
        <f t="shared" ca="1" si="48"/>
        <v>8.0137505389423297E-2</v>
      </c>
      <c r="C3084" s="10">
        <f ca="1">NPV(B3084,Project_FCF!C18:J18)+Project_FCF!B18</f>
        <v>937.18921382813687</v>
      </c>
      <c r="D3084" s="4"/>
      <c r="E3084" s="4"/>
    </row>
    <row r="3085" spans="1:5" x14ac:dyDescent="0.3">
      <c r="A3085" s="9">
        <v>3077</v>
      </c>
      <c r="B3085" s="10">
        <f t="shared" ca="1" si="48"/>
        <v>7.2914522700422812E-2</v>
      </c>
      <c r="C3085" s="10">
        <f ca="1">NPV(B3085,Project_FCF!C18:J18)+Project_FCF!B18</f>
        <v>999.6884462591031</v>
      </c>
      <c r="D3085" s="4"/>
      <c r="E3085" s="4"/>
    </row>
    <row r="3086" spans="1:5" x14ac:dyDescent="0.3">
      <c r="A3086" s="9">
        <v>3078</v>
      </c>
      <c r="B3086" s="10">
        <f t="shared" ca="1" si="48"/>
        <v>6.8236951687204311E-2</v>
      </c>
      <c r="C3086" s="10">
        <f ca="1">NPV(B3086,Project_FCF!C18:J18)+Project_FCF!B18</f>
        <v>1042.1316272238173</v>
      </c>
      <c r="D3086" s="4"/>
      <c r="E3086" s="4"/>
    </row>
    <row r="3087" spans="1:5" x14ac:dyDescent="0.3">
      <c r="A3087" s="9">
        <v>3079</v>
      </c>
      <c r="B3087" s="10">
        <f t="shared" ca="1" si="48"/>
        <v>9.4992760559795386E-2</v>
      </c>
      <c r="C3087" s="10">
        <f ca="1">NPV(B3087,Project_FCF!C18:J18)+Project_FCF!B18</f>
        <v>819.35818194419176</v>
      </c>
      <c r="D3087" s="4"/>
      <c r="E3087" s="4"/>
    </row>
    <row r="3088" spans="1:5" x14ac:dyDescent="0.3">
      <c r="A3088" s="9">
        <v>3080</v>
      </c>
      <c r="B3088" s="10">
        <f t="shared" ca="1" si="48"/>
        <v>9.9511654377817463E-2</v>
      </c>
      <c r="C3088" s="10">
        <f ca="1">NPV(B3088,Project_FCF!C18:J18)+Project_FCF!B18</f>
        <v>786.15427344317641</v>
      </c>
      <c r="D3088" s="4"/>
      <c r="E3088" s="4"/>
    </row>
    <row r="3089" spans="1:5" x14ac:dyDescent="0.3">
      <c r="A3089" s="9">
        <v>3081</v>
      </c>
      <c r="B3089" s="10">
        <f t="shared" ca="1" si="48"/>
        <v>8.9625608415650607E-2</v>
      </c>
      <c r="C3089" s="10">
        <f ca="1">NPV(B3089,Project_FCF!C18:J18)+Project_FCF!B18</f>
        <v>860.34934678340846</v>
      </c>
      <c r="D3089" s="4"/>
      <c r="E3089" s="4"/>
    </row>
    <row r="3090" spans="1:5" x14ac:dyDescent="0.3">
      <c r="A3090" s="9">
        <v>3082</v>
      </c>
      <c r="B3090" s="10">
        <f t="shared" ca="1" si="48"/>
        <v>6.5469486245296124E-2</v>
      </c>
      <c r="C3090" s="10">
        <f ca="1">NPV(B3090,Project_FCF!C18:J18)+Project_FCF!B18</f>
        <v>1068.0048084060902</v>
      </c>
      <c r="D3090" s="4"/>
      <c r="E3090" s="4"/>
    </row>
    <row r="3091" spans="1:5" x14ac:dyDescent="0.3">
      <c r="A3091" s="9">
        <v>3083</v>
      </c>
      <c r="B3091" s="10">
        <f t="shared" ca="1" si="48"/>
        <v>8.0436501255150838E-2</v>
      </c>
      <c r="C3091" s="10">
        <f ca="1">NPV(B3091,Project_FCF!C18:J18)+Project_FCF!B18</f>
        <v>934.67871440445151</v>
      </c>
      <c r="D3091" s="4"/>
      <c r="E3091" s="4"/>
    </row>
    <row r="3092" spans="1:5" x14ac:dyDescent="0.3">
      <c r="A3092" s="9">
        <v>3084</v>
      </c>
      <c r="B3092" s="10">
        <f t="shared" ca="1" si="48"/>
        <v>8.5744517695466135E-2</v>
      </c>
      <c r="C3092" s="10">
        <f ca="1">NPV(B3092,Project_FCF!C18:J18)+Project_FCF!B18</f>
        <v>891.08627297572866</v>
      </c>
      <c r="D3092" s="4"/>
      <c r="E3092" s="4"/>
    </row>
    <row r="3093" spans="1:5" x14ac:dyDescent="0.3">
      <c r="A3093" s="9">
        <v>3085</v>
      </c>
      <c r="B3093" s="10">
        <f t="shared" ca="1" si="48"/>
        <v>0.10397932260362763</v>
      </c>
      <c r="C3093" s="10">
        <f ca="1">NPV(B3093,Project_FCF!C18:J18)+Project_FCF!B18</f>
        <v>754.45400116574183</v>
      </c>
      <c r="D3093" s="4"/>
      <c r="E3093" s="4"/>
    </row>
    <row r="3094" spans="1:5" x14ac:dyDescent="0.3">
      <c r="A3094" s="9">
        <v>3086</v>
      </c>
      <c r="B3094" s="10">
        <f t="shared" ca="1" si="48"/>
        <v>7.4423747850466265E-2</v>
      </c>
      <c r="C3094" s="10">
        <f ca="1">NPV(B3094,Project_FCF!C18:J18)+Project_FCF!B18</f>
        <v>986.33006759884029</v>
      </c>
      <c r="D3094" s="4"/>
      <c r="E3094" s="4"/>
    </row>
    <row r="3095" spans="1:5" x14ac:dyDescent="0.3">
      <c r="A3095" s="9">
        <v>3087</v>
      </c>
      <c r="B3095" s="10">
        <f t="shared" ca="1" si="48"/>
        <v>6.5631960103909343E-2</v>
      </c>
      <c r="C3095" s="10">
        <f ca="1">NPV(B3095,Project_FCF!C18:J18)+Project_FCF!B18</f>
        <v>1066.4698320649534</v>
      </c>
      <c r="D3095" s="4"/>
      <c r="E3095" s="4"/>
    </row>
    <row r="3096" spans="1:5" x14ac:dyDescent="0.3">
      <c r="A3096" s="9">
        <v>3088</v>
      </c>
      <c r="B3096" s="10">
        <f t="shared" ca="1" si="48"/>
        <v>9.2158158721856814E-2</v>
      </c>
      <c r="C3096" s="10">
        <f ca="1">NPV(B3096,Project_FCF!C18:J18)+Project_FCF!B18</f>
        <v>840.79228733702303</v>
      </c>
      <c r="D3096" s="4"/>
      <c r="E3096" s="4"/>
    </row>
    <row r="3097" spans="1:5" x14ac:dyDescent="0.3">
      <c r="A3097" s="9">
        <v>3089</v>
      </c>
      <c r="B3097" s="10">
        <f t="shared" ca="1" si="48"/>
        <v>9.201517763545955E-2</v>
      </c>
      <c r="C3097" s="10">
        <f ca="1">NPV(B3097,Project_FCF!C18:J18)+Project_FCF!B18</f>
        <v>841.8861075592331</v>
      </c>
      <c r="D3097" s="4"/>
      <c r="E3097" s="4"/>
    </row>
    <row r="3098" spans="1:5" x14ac:dyDescent="0.3">
      <c r="A3098" s="9">
        <v>3090</v>
      </c>
      <c r="B3098" s="10">
        <f t="shared" ca="1" si="48"/>
        <v>8.3729546986589493E-2</v>
      </c>
      <c r="C3098" s="10">
        <f ca="1">NPV(B3098,Project_FCF!C18:J18)+Project_FCF!B18</f>
        <v>907.41910214884979</v>
      </c>
      <c r="D3098" s="4"/>
      <c r="E3098" s="4"/>
    </row>
    <row r="3099" spans="1:5" x14ac:dyDescent="0.3">
      <c r="A3099" s="9">
        <v>3091</v>
      </c>
      <c r="B3099" s="10">
        <f t="shared" ca="1" si="48"/>
        <v>9.6083408941179477E-2</v>
      </c>
      <c r="C3099" s="10">
        <f ca="1">NPV(B3099,Project_FCF!C18:J18)+Project_FCF!B18</f>
        <v>811.23687458032896</v>
      </c>
      <c r="D3099" s="4"/>
      <c r="E3099" s="4"/>
    </row>
    <row r="3100" spans="1:5" x14ac:dyDescent="0.3">
      <c r="A3100" s="9">
        <v>3092</v>
      </c>
      <c r="B3100" s="10">
        <f t="shared" ca="1" si="48"/>
        <v>8.3327691456088787E-2</v>
      </c>
      <c r="C3100" s="10">
        <f ca="1">NPV(B3100,Project_FCF!C18:J18)+Project_FCF!B18</f>
        <v>910.70767179238305</v>
      </c>
      <c r="D3100" s="4"/>
      <c r="E3100" s="4"/>
    </row>
    <row r="3101" spans="1:5" x14ac:dyDescent="0.3">
      <c r="A3101" s="9">
        <v>3093</v>
      </c>
      <c r="B3101" s="10">
        <f t="shared" ca="1" si="48"/>
        <v>9.9569219671488268E-2</v>
      </c>
      <c r="C3101" s="10">
        <f ca="1">NPV(B3101,Project_FCF!C18:J18)+Project_FCF!B18</f>
        <v>785.73878831572233</v>
      </c>
      <c r="D3101" s="4"/>
      <c r="E3101" s="4"/>
    </row>
    <row r="3102" spans="1:5" x14ac:dyDescent="0.3">
      <c r="A3102" s="9">
        <v>3094</v>
      </c>
      <c r="B3102" s="10">
        <f t="shared" ca="1" si="48"/>
        <v>7.7665336001641314E-2</v>
      </c>
      <c r="C3102" s="10">
        <f ca="1">NPV(B3102,Project_FCF!C18:J18)+Project_FCF!B18</f>
        <v>958.17679160562511</v>
      </c>
      <c r="D3102" s="4"/>
      <c r="E3102" s="4"/>
    </row>
    <row r="3103" spans="1:5" x14ac:dyDescent="0.3">
      <c r="A3103" s="9">
        <v>3095</v>
      </c>
      <c r="B3103" s="10">
        <f t="shared" ca="1" si="48"/>
        <v>9.9849697539723892E-2</v>
      </c>
      <c r="C3103" s="10">
        <f ca="1">NPV(B3103,Project_FCF!C18:J18)+Project_FCF!B18</f>
        <v>783.71706030478367</v>
      </c>
      <c r="D3103" s="4"/>
      <c r="E3103" s="4"/>
    </row>
    <row r="3104" spans="1:5" x14ac:dyDescent="0.3">
      <c r="A3104" s="9">
        <v>3096</v>
      </c>
      <c r="B3104" s="10">
        <f t="shared" ca="1" si="48"/>
        <v>8.8293396714588593E-2</v>
      </c>
      <c r="C3104" s="10">
        <f ca="1">NPV(B3104,Project_FCF!C18:J18)+Project_FCF!B18</f>
        <v>870.79430298654097</v>
      </c>
      <c r="D3104" s="4"/>
      <c r="E3104" s="4"/>
    </row>
    <row r="3105" spans="1:5" x14ac:dyDescent="0.3">
      <c r="A3105" s="9">
        <v>3097</v>
      </c>
      <c r="B3105" s="10">
        <f t="shared" ca="1" si="48"/>
        <v>7.6521429548054451E-2</v>
      </c>
      <c r="C3105" s="10">
        <f ca="1">NPV(B3105,Project_FCF!C18:J18)+Project_FCF!B18</f>
        <v>968.02865378915499</v>
      </c>
      <c r="D3105" s="4"/>
      <c r="E3105" s="4"/>
    </row>
    <row r="3106" spans="1:5" x14ac:dyDescent="0.3">
      <c r="A3106" s="9">
        <v>3098</v>
      </c>
      <c r="B3106" s="10">
        <f t="shared" ca="1" si="48"/>
        <v>9.1525819765699651E-2</v>
      </c>
      <c r="C3106" s="10">
        <f ca="1">NPV(B3106,Project_FCF!C18:J18)+Project_FCF!B18</f>
        <v>845.63903978763233</v>
      </c>
      <c r="D3106" s="4"/>
      <c r="E3106" s="4"/>
    </row>
    <row r="3107" spans="1:5" x14ac:dyDescent="0.3">
      <c r="A3107" s="9">
        <v>3099</v>
      </c>
      <c r="B3107" s="10">
        <f t="shared" ca="1" si="48"/>
        <v>9.8785016331591202E-2</v>
      </c>
      <c r="C3107" s="10">
        <f ca="1">NPV(B3107,Project_FCF!C18:J18)+Project_FCF!B18</f>
        <v>791.41490547910576</v>
      </c>
      <c r="D3107" s="4"/>
      <c r="E3107" s="4"/>
    </row>
    <row r="3108" spans="1:5" x14ac:dyDescent="0.3">
      <c r="A3108" s="9">
        <v>3100</v>
      </c>
      <c r="B3108" s="10">
        <f t="shared" ca="1" si="48"/>
        <v>7.4558191473904717E-2</v>
      </c>
      <c r="C3108" s="10">
        <f ca="1">NPV(B3108,Project_FCF!C18:J18)+Project_FCF!B18</f>
        <v>985.14788676918738</v>
      </c>
      <c r="D3108" s="4"/>
      <c r="E3108" s="4"/>
    </row>
    <row r="3109" spans="1:5" x14ac:dyDescent="0.3">
      <c r="A3109" s="9">
        <v>3101</v>
      </c>
      <c r="B3109" s="10">
        <f t="shared" ca="1" si="48"/>
        <v>8.9456330266693779E-2</v>
      </c>
      <c r="C3109" s="10">
        <f ca="1">NPV(B3109,Project_FCF!C18:J18)+Project_FCF!B18</f>
        <v>861.67047962648007</v>
      </c>
      <c r="D3109" s="4"/>
      <c r="E3109" s="4"/>
    </row>
    <row r="3110" spans="1:5" x14ac:dyDescent="0.3">
      <c r="A3110" s="9">
        <v>3102</v>
      </c>
      <c r="B3110" s="10">
        <f t="shared" ca="1" si="48"/>
        <v>6.7440759831359526E-2</v>
      </c>
      <c r="C3110" s="10">
        <f ca="1">NPV(B3110,Project_FCF!C18:J18)+Project_FCF!B18</f>
        <v>1049.5162623605841</v>
      </c>
      <c r="D3110" s="4"/>
      <c r="E3110" s="4"/>
    </row>
    <row r="3111" spans="1:5" x14ac:dyDescent="0.3">
      <c r="A3111" s="9">
        <v>3103</v>
      </c>
      <c r="B3111" s="10">
        <f t="shared" ca="1" si="48"/>
        <v>7.4607973557856588E-2</v>
      </c>
      <c r="C3111" s="10">
        <f ca="1">NPV(B3111,Project_FCF!C18:J18)+Project_FCF!B18</f>
        <v>984.71046827532587</v>
      </c>
      <c r="D3111" s="4"/>
      <c r="E3111" s="4"/>
    </row>
    <row r="3112" spans="1:5" x14ac:dyDescent="0.3">
      <c r="A3112" s="9">
        <v>3104</v>
      </c>
      <c r="B3112" s="10">
        <f t="shared" ca="1" si="48"/>
        <v>0.10281946285218652</v>
      </c>
      <c r="C3112" s="10">
        <f ca="1">NPV(B3112,Project_FCF!C18:J18)+Project_FCF!B18</f>
        <v>762.57851918155643</v>
      </c>
      <c r="D3112" s="4"/>
      <c r="E3112" s="4"/>
    </row>
    <row r="3113" spans="1:5" x14ac:dyDescent="0.3">
      <c r="A3113" s="9">
        <v>3105</v>
      </c>
      <c r="B3113" s="10">
        <f t="shared" ca="1" si="48"/>
        <v>9.993871446123595E-2</v>
      </c>
      <c r="C3113" s="10">
        <f ca="1">NPV(B3113,Project_FCF!C18:J18)+Project_FCF!B18</f>
        <v>783.0763334738815</v>
      </c>
      <c r="D3113" s="4"/>
      <c r="E3113" s="4"/>
    </row>
    <row r="3114" spans="1:5" x14ac:dyDescent="0.3">
      <c r="A3114" s="9">
        <v>3106</v>
      </c>
      <c r="B3114" s="10">
        <f t="shared" ca="1" si="48"/>
        <v>0.10380891903134713</v>
      </c>
      <c r="C3114" s="10">
        <f ca="1">NPV(B3114,Project_FCF!C18:J18)+Project_FCF!B18</f>
        <v>755.64306707374476</v>
      </c>
      <c r="D3114" s="4"/>
      <c r="E3114" s="4"/>
    </row>
    <row r="3115" spans="1:5" x14ac:dyDescent="0.3">
      <c r="A3115" s="9">
        <v>3107</v>
      </c>
      <c r="B3115" s="10">
        <f t="shared" ca="1" si="48"/>
        <v>0.10339624358023833</v>
      </c>
      <c r="C3115" s="10">
        <f ca="1">NPV(B3115,Project_FCF!C18:J18)+Project_FCF!B18</f>
        <v>758.52919837987884</v>
      </c>
      <c r="D3115" s="4"/>
      <c r="E3115" s="4"/>
    </row>
    <row r="3116" spans="1:5" x14ac:dyDescent="0.3">
      <c r="A3116" s="9">
        <v>3108</v>
      </c>
      <c r="B3116" s="10">
        <f t="shared" ca="1" si="48"/>
        <v>7.2611176713100328E-2</v>
      </c>
      <c r="C3116" s="10">
        <f ca="1">NPV(B3116,Project_FCF!C18:J18)+Project_FCF!B18</f>
        <v>1002.3929294083484</v>
      </c>
      <c r="D3116" s="4"/>
      <c r="E3116" s="4"/>
    </row>
    <row r="3117" spans="1:5" x14ac:dyDescent="0.3">
      <c r="A3117" s="9">
        <v>3109</v>
      </c>
      <c r="B3117" s="10">
        <f t="shared" ca="1" si="48"/>
        <v>7.4367213013248779E-2</v>
      </c>
      <c r="C3117" s="10">
        <f ca="1">NPV(B3117,Project_FCF!C18:J18)+Project_FCF!B18</f>
        <v>986.82756543344817</v>
      </c>
      <c r="D3117" s="4"/>
      <c r="E3117" s="4"/>
    </row>
    <row r="3118" spans="1:5" x14ac:dyDescent="0.3">
      <c r="A3118" s="9">
        <v>3110</v>
      </c>
      <c r="B3118" s="10">
        <f t="shared" ca="1" si="48"/>
        <v>7.4468698859866872E-2</v>
      </c>
      <c r="C3118" s="10">
        <f ca="1">NPV(B3118,Project_FCF!C18:J18)+Project_FCF!B18</f>
        <v>985.93466601511318</v>
      </c>
      <c r="D3118" s="4"/>
      <c r="E3118" s="4"/>
    </row>
    <row r="3119" spans="1:5" x14ac:dyDescent="0.3">
      <c r="A3119" s="9">
        <v>3111</v>
      </c>
      <c r="B3119" s="10">
        <f t="shared" ca="1" si="48"/>
        <v>9.1186487192753088E-2</v>
      </c>
      <c r="C3119" s="10">
        <f ca="1">NPV(B3119,Project_FCF!C18:J18)+Project_FCF!B18</f>
        <v>848.24988354277866</v>
      </c>
      <c r="D3119" s="4"/>
      <c r="E3119" s="4"/>
    </row>
    <row r="3120" spans="1:5" x14ac:dyDescent="0.3">
      <c r="A3120" s="9">
        <v>3112</v>
      </c>
      <c r="B3120" s="10">
        <f t="shared" ca="1" si="48"/>
        <v>9.6649716928758983E-2</v>
      </c>
      <c r="C3120" s="10">
        <f ca="1">NPV(B3120,Project_FCF!C18:J18)+Project_FCF!B18</f>
        <v>807.04716233874228</v>
      </c>
      <c r="D3120" s="4"/>
      <c r="E3120" s="4"/>
    </row>
    <row r="3121" spans="1:5" x14ac:dyDescent="0.3">
      <c r="A3121" s="9">
        <v>3113</v>
      </c>
      <c r="B3121" s="10">
        <f t="shared" ca="1" si="48"/>
        <v>7.560080799168617E-2</v>
      </c>
      <c r="C3121" s="10">
        <f ca="1">NPV(B3121,Project_FCF!C18:J18)+Project_FCF!B18</f>
        <v>976.02298571381971</v>
      </c>
      <c r="D3121" s="4"/>
      <c r="E3121" s="4"/>
    </row>
    <row r="3122" spans="1:5" x14ac:dyDescent="0.3">
      <c r="A3122" s="9">
        <v>3114</v>
      </c>
      <c r="B3122" s="10">
        <f t="shared" ca="1" si="48"/>
        <v>0.10014910500190902</v>
      </c>
      <c r="C3122" s="10">
        <f ca="1">NPV(B3122,Project_FCF!C18:J18)+Project_FCF!B18</f>
        <v>781.56374324628564</v>
      </c>
      <c r="D3122" s="4"/>
      <c r="E3122" s="4"/>
    </row>
    <row r="3123" spans="1:5" x14ac:dyDescent="0.3">
      <c r="A3123" s="9">
        <v>3115</v>
      </c>
      <c r="B3123" s="10">
        <f t="shared" ca="1" si="48"/>
        <v>7.2899145615368088E-2</v>
      </c>
      <c r="C3123" s="10">
        <f ca="1">NPV(B3123,Project_FCF!C18:J18)+Project_FCF!B18</f>
        <v>999.82538281234611</v>
      </c>
      <c r="D3123" s="4"/>
      <c r="E3123" s="4"/>
    </row>
    <row r="3124" spans="1:5" x14ac:dyDescent="0.3">
      <c r="A3124" s="9">
        <v>3116</v>
      </c>
      <c r="B3124" s="10">
        <f t="shared" ca="1" si="48"/>
        <v>9.1050087266675503E-2</v>
      </c>
      <c r="C3124" s="10">
        <f ca="1">NPV(B3124,Project_FCF!C18:J18)+Project_FCF!B18</f>
        <v>849.30131230343159</v>
      </c>
      <c r="D3124" s="4"/>
      <c r="E3124" s="4"/>
    </row>
    <row r="3125" spans="1:5" x14ac:dyDescent="0.3">
      <c r="A3125" s="9">
        <v>3117</v>
      </c>
      <c r="B3125" s="10">
        <f t="shared" ca="1" si="48"/>
        <v>7.1755177233784467E-2</v>
      </c>
      <c r="C3125" s="10">
        <f ca="1">NPV(B3125,Project_FCF!C18:J18)+Project_FCF!B18</f>
        <v>1010.0601201140139</v>
      </c>
      <c r="D3125" s="4"/>
      <c r="E3125" s="4"/>
    </row>
    <row r="3126" spans="1:5" x14ac:dyDescent="0.3">
      <c r="A3126" s="9">
        <v>3118</v>
      </c>
      <c r="B3126" s="10">
        <f t="shared" ca="1" si="48"/>
        <v>0.10276517521321388</v>
      </c>
      <c r="C3126" s="10">
        <f ca="1">NPV(B3126,Project_FCF!C18:J18)+Project_FCF!B18</f>
        <v>762.96058097404057</v>
      </c>
      <c r="D3126" s="4"/>
      <c r="E3126" s="4"/>
    </row>
    <row r="3127" spans="1:5" x14ac:dyDescent="0.3">
      <c r="A3127" s="9">
        <v>3119</v>
      </c>
      <c r="B3127" s="10">
        <f t="shared" ca="1" si="48"/>
        <v>8.5792237787877063E-2</v>
      </c>
      <c r="C3127" s="10">
        <f ca="1">NPV(B3127,Project_FCF!C18:J18)+Project_FCF!B18</f>
        <v>890.70260845535449</v>
      </c>
      <c r="D3127" s="4"/>
      <c r="E3127" s="4"/>
    </row>
    <row r="3128" spans="1:5" x14ac:dyDescent="0.3">
      <c r="A3128" s="9">
        <v>3120</v>
      </c>
      <c r="B3128" s="10">
        <f t="shared" ca="1" si="48"/>
        <v>8.298506345604155E-2</v>
      </c>
      <c r="C3128" s="10">
        <f ca="1">NPV(B3128,Project_FCF!C18:J18)+Project_FCF!B18</f>
        <v>913.51982632047248</v>
      </c>
      <c r="D3128" s="4"/>
      <c r="E3128" s="4"/>
    </row>
    <row r="3129" spans="1:5" x14ac:dyDescent="0.3">
      <c r="A3129" s="9">
        <v>3121</v>
      </c>
      <c r="B3129" s="10">
        <f t="shared" ca="1" si="48"/>
        <v>6.895615869707232E-2</v>
      </c>
      <c r="C3129" s="10">
        <f ca="1">NPV(B3129,Project_FCF!C18:J18)+Project_FCF!B18</f>
        <v>1035.5015622086917</v>
      </c>
      <c r="D3129" s="4"/>
      <c r="E3129" s="4"/>
    </row>
    <row r="3130" spans="1:5" x14ac:dyDescent="0.3">
      <c r="A3130" s="9">
        <v>3122</v>
      </c>
      <c r="B3130" s="10">
        <f t="shared" ca="1" si="48"/>
        <v>7.5426072797082216E-2</v>
      </c>
      <c r="C3130" s="10">
        <f ca="1">NPV(B3130,Project_FCF!C18:J18)+Project_FCF!B18</f>
        <v>977.54696166732515</v>
      </c>
      <c r="D3130" s="4"/>
      <c r="E3130" s="4"/>
    </row>
    <row r="3131" spans="1:5" x14ac:dyDescent="0.3">
      <c r="A3131" s="9">
        <v>3123</v>
      </c>
      <c r="B3131" s="10">
        <f t="shared" ca="1" si="48"/>
        <v>7.1950474185420901E-2</v>
      </c>
      <c r="C3131" s="10">
        <f ca="1">NPV(B3131,Project_FCF!C18:J18)+Project_FCF!B18</f>
        <v>1008.3062124442374</v>
      </c>
      <c r="D3131" s="4"/>
      <c r="E3131" s="4"/>
    </row>
    <row r="3132" spans="1:5" x14ac:dyDescent="0.3">
      <c r="A3132" s="9">
        <v>3124</v>
      </c>
      <c r="B3132" s="10">
        <f t="shared" ca="1" si="48"/>
        <v>8.5606993989003011E-2</v>
      </c>
      <c r="C3132" s="10">
        <f ca="1">NPV(B3132,Project_FCF!C18:J18)+Project_FCF!B18</f>
        <v>892.19275776426866</v>
      </c>
      <c r="D3132" s="4"/>
      <c r="E3132" s="4"/>
    </row>
    <row r="3133" spans="1:5" x14ac:dyDescent="0.3">
      <c r="A3133" s="9">
        <v>3125</v>
      </c>
      <c r="B3133" s="10">
        <f t="shared" ca="1" si="48"/>
        <v>8.9802050552860974E-2</v>
      </c>
      <c r="C3133" s="10">
        <f ca="1">NPV(B3133,Project_FCF!C18:J18)+Project_FCF!B18</f>
        <v>858.9741721059147</v>
      </c>
      <c r="D3133" s="4"/>
      <c r="E3133" s="4"/>
    </row>
    <row r="3134" spans="1:5" x14ac:dyDescent="0.3">
      <c r="A3134" s="9">
        <v>3126</v>
      </c>
      <c r="B3134" s="10">
        <f t="shared" ca="1" si="48"/>
        <v>8.1808401890881427E-2</v>
      </c>
      <c r="C3134" s="10">
        <f ca="1">NPV(B3134,Project_FCF!C18:J18)+Project_FCF!B18</f>
        <v>923.23569938150717</v>
      </c>
      <c r="D3134" s="4"/>
      <c r="E3134" s="4"/>
    </row>
    <row r="3135" spans="1:5" x14ac:dyDescent="0.3">
      <c r="A3135" s="9">
        <v>3127</v>
      </c>
      <c r="B3135" s="10">
        <f t="shared" ca="1" si="48"/>
        <v>8.4033455997389803E-2</v>
      </c>
      <c r="C3135" s="10">
        <f ca="1">NPV(B3135,Project_FCF!C18:J18)+Project_FCF!B18</f>
        <v>904.93900724683067</v>
      </c>
      <c r="D3135" s="4"/>
      <c r="E3135" s="4"/>
    </row>
    <row r="3136" spans="1:5" x14ac:dyDescent="0.3">
      <c r="A3136" s="9">
        <v>3128</v>
      </c>
      <c r="B3136" s="10">
        <f t="shared" ca="1" si="48"/>
        <v>0.10281521982539417</v>
      </c>
      <c r="C3136" s="10">
        <f ca="1">NPV(B3136,Project_FCF!C18:J18)+Project_FCF!B18</f>
        <v>762.6083746729837</v>
      </c>
      <c r="D3136" s="4"/>
      <c r="E3136" s="4"/>
    </row>
    <row r="3137" spans="1:5" x14ac:dyDescent="0.3">
      <c r="A3137" s="9">
        <v>3129</v>
      </c>
      <c r="B3137" s="10">
        <f t="shared" ca="1" si="48"/>
        <v>8.8459673750596199E-2</v>
      </c>
      <c r="C3137" s="10">
        <f ca="1">NPV(B3137,Project_FCF!C18:J18)+Project_FCF!B18</f>
        <v>869.48465259470822</v>
      </c>
      <c r="D3137" s="4"/>
      <c r="E3137" s="4"/>
    </row>
    <row r="3138" spans="1:5" x14ac:dyDescent="0.3">
      <c r="A3138" s="9">
        <v>3130</v>
      </c>
      <c r="B3138" s="10">
        <f t="shared" ca="1" si="48"/>
        <v>7.2472403042011094E-2</v>
      </c>
      <c r="C3138" s="10">
        <f ca="1">NPV(B3138,Project_FCF!C18:J18)+Project_FCF!B18</f>
        <v>1003.6323583221242</v>
      </c>
      <c r="D3138" s="4"/>
      <c r="E3138" s="4"/>
    </row>
    <row r="3139" spans="1:5" x14ac:dyDescent="0.3">
      <c r="A3139" s="9">
        <v>3131</v>
      </c>
      <c r="B3139" s="10">
        <f t="shared" ca="1" si="48"/>
        <v>0.10041565259772775</v>
      </c>
      <c r="C3139" s="10">
        <f ca="1">NPV(B3139,Project_FCF!C18:J18)+Project_FCF!B18</f>
        <v>779.65096276063036</v>
      </c>
      <c r="D3139" s="4"/>
      <c r="E3139" s="4"/>
    </row>
    <row r="3140" spans="1:5" x14ac:dyDescent="0.3">
      <c r="A3140" s="9">
        <v>3132</v>
      </c>
      <c r="B3140" s="10">
        <f t="shared" ca="1" si="48"/>
        <v>7.961287019180982E-2</v>
      </c>
      <c r="C3140" s="10">
        <f ca="1">NPV(B3140,Project_FCF!C18:J18)+Project_FCF!B18</f>
        <v>941.60871174047293</v>
      </c>
      <c r="D3140" s="4"/>
      <c r="E3140" s="4"/>
    </row>
    <row r="3141" spans="1:5" x14ac:dyDescent="0.3">
      <c r="A3141" s="9">
        <v>3133</v>
      </c>
      <c r="B3141" s="10">
        <f t="shared" ca="1" si="48"/>
        <v>7.8771999695305295E-2</v>
      </c>
      <c r="C3141" s="10">
        <f ca="1">NPV(B3141,Project_FCF!C18:J18)+Project_FCF!B18</f>
        <v>948.73070172850635</v>
      </c>
      <c r="D3141" s="4"/>
      <c r="E3141" s="4"/>
    </row>
    <row r="3142" spans="1:5" x14ac:dyDescent="0.3">
      <c r="A3142" s="9">
        <v>3134</v>
      </c>
      <c r="B3142" s="10">
        <f t="shared" ca="1" si="48"/>
        <v>8.0284597813438802E-2</v>
      </c>
      <c r="C3142" s="10">
        <f ca="1">NPV(B3142,Project_FCF!C18:J18)+Project_FCF!B18</f>
        <v>935.95341703316149</v>
      </c>
      <c r="D3142" s="4"/>
      <c r="E3142" s="4"/>
    </row>
    <row r="3143" spans="1:5" x14ac:dyDescent="0.3">
      <c r="A3143" s="9">
        <v>3135</v>
      </c>
      <c r="B3143" s="10">
        <f t="shared" ca="1" si="48"/>
        <v>9.6987730880981865E-2</v>
      </c>
      <c r="C3143" s="10">
        <f ca="1">NPV(B3143,Project_FCF!C18:J18)+Project_FCF!B18</f>
        <v>804.55524238870316</v>
      </c>
      <c r="D3143" s="4"/>
      <c r="E3143" s="4"/>
    </row>
    <row r="3144" spans="1:5" x14ac:dyDescent="0.3">
      <c r="A3144" s="9">
        <v>3136</v>
      </c>
      <c r="B3144" s="10">
        <f t="shared" ca="1" si="48"/>
        <v>6.4715984687308936E-2</v>
      </c>
      <c r="C3144" s="10">
        <f ca="1">NPV(B3144,Project_FCF!C18:J18)+Project_FCF!B18</f>
        <v>1075.149907905718</v>
      </c>
      <c r="D3144" s="4"/>
      <c r="E3144" s="4"/>
    </row>
    <row r="3145" spans="1:5" x14ac:dyDescent="0.3">
      <c r="A3145" s="9">
        <v>3137</v>
      </c>
      <c r="B3145" s="10">
        <f t="shared" ref="B3145:B3208" ca="1" si="49">$B$4+RAND()*($B$5-$B$4)</f>
        <v>9.540589682342368E-2</v>
      </c>
      <c r="C3145" s="10">
        <f ca="1">NPV(B3145,Project_FCF!C18:J18)+Project_FCF!B18</f>
        <v>816.27369914249766</v>
      </c>
      <c r="D3145" s="4"/>
      <c r="E3145" s="4"/>
    </row>
    <row r="3146" spans="1:5" x14ac:dyDescent="0.3">
      <c r="A3146" s="9">
        <v>3138</v>
      </c>
      <c r="B3146" s="10">
        <f t="shared" ca="1" si="49"/>
        <v>8.4391845240990582E-2</v>
      </c>
      <c r="C3146" s="10">
        <f ca="1">NPV(B3146,Project_FCF!C18:J18)+Project_FCF!B18</f>
        <v>902.02196621771714</v>
      </c>
      <c r="D3146" s="4"/>
      <c r="E3146" s="4"/>
    </row>
    <row r="3147" spans="1:5" x14ac:dyDescent="0.3">
      <c r="A3147" s="9">
        <v>3139</v>
      </c>
      <c r="B3147" s="10">
        <f t="shared" ca="1" si="49"/>
        <v>8.8414020108292149E-2</v>
      </c>
      <c r="C3147" s="10">
        <f ca="1">NPV(B3147,Project_FCF!C18:J18)+Project_FCF!B18</f>
        <v>869.84406442144336</v>
      </c>
      <c r="D3147" s="4"/>
      <c r="E3147" s="4"/>
    </row>
    <row r="3148" spans="1:5" x14ac:dyDescent="0.3">
      <c r="A3148" s="9">
        <v>3140</v>
      </c>
      <c r="B3148" s="10">
        <f t="shared" ca="1" si="49"/>
        <v>0.10395078886486839</v>
      </c>
      <c r="C3148" s="10">
        <f ca="1">NPV(B3148,Project_FCF!C18:J18)+Project_FCF!B18</f>
        <v>754.65299859645575</v>
      </c>
      <c r="D3148" s="4"/>
      <c r="E3148" s="4"/>
    </row>
    <row r="3149" spans="1:5" x14ac:dyDescent="0.3">
      <c r="A3149" s="9">
        <v>3141</v>
      </c>
      <c r="B3149" s="10">
        <f t="shared" ca="1" si="49"/>
        <v>8.5855139188047463E-2</v>
      </c>
      <c r="C3149" s="10">
        <f ca="1">NPV(B3149,Project_FCF!C18:J18)+Project_FCF!B18</f>
        <v>890.19710852929779</v>
      </c>
      <c r="D3149" s="4"/>
      <c r="E3149" s="4"/>
    </row>
    <row r="3150" spans="1:5" x14ac:dyDescent="0.3">
      <c r="A3150" s="9">
        <v>3142</v>
      </c>
      <c r="B3150" s="10">
        <f t="shared" ca="1" si="49"/>
        <v>7.4470994806260155E-2</v>
      </c>
      <c r="C3150" s="10">
        <f ca="1">NPV(B3150,Project_FCF!C18:J18)+Project_FCF!B18</f>
        <v>985.91447404379142</v>
      </c>
      <c r="D3150" s="4"/>
      <c r="E3150" s="4"/>
    </row>
    <row r="3151" spans="1:5" x14ac:dyDescent="0.3">
      <c r="A3151" s="9">
        <v>3143</v>
      </c>
      <c r="B3151" s="10">
        <f t="shared" ca="1" si="49"/>
        <v>0.10366010003755077</v>
      </c>
      <c r="C3151" s="10">
        <f ca="1">NPV(B3151,Project_FCF!C18:J18)+Project_FCF!B18</f>
        <v>756.68280072804123</v>
      </c>
      <c r="D3151" s="4"/>
      <c r="E3151" s="4"/>
    </row>
    <row r="3152" spans="1:5" x14ac:dyDescent="0.3">
      <c r="A3152" s="9">
        <v>3144</v>
      </c>
      <c r="B3152" s="10">
        <f t="shared" ca="1" si="49"/>
        <v>7.7586307104185376E-2</v>
      </c>
      <c r="C3152" s="10">
        <f ca="1">NPV(B3152,Project_FCF!C18:J18)+Project_FCF!B18</f>
        <v>958.85454272817287</v>
      </c>
      <c r="D3152" s="4"/>
      <c r="E3152" s="4"/>
    </row>
    <row r="3153" spans="1:5" x14ac:dyDescent="0.3">
      <c r="A3153" s="9">
        <v>3145</v>
      </c>
      <c r="B3153" s="10">
        <f t="shared" ca="1" si="49"/>
        <v>9.6972792376631992E-2</v>
      </c>
      <c r="C3153" s="10">
        <f ca="1">NPV(B3153,Project_FCF!C18:J18)+Project_FCF!B18</f>
        <v>804.6652339518098</v>
      </c>
      <c r="D3153" s="4"/>
      <c r="E3153" s="4"/>
    </row>
    <row r="3154" spans="1:5" x14ac:dyDescent="0.3">
      <c r="A3154" s="9">
        <v>3146</v>
      </c>
      <c r="B3154" s="10">
        <f t="shared" ca="1" si="49"/>
        <v>6.9157296317445188E-2</v>
      </c>
      <c r="C3154" s="10">
        <f ca="1">NPV(B3154,Project_FCF!C18:J18)+Project_FCF!B18</f>
        <v>1033.6542093749615</v>
      </c>
      <c r="D3154" s="4"/>
      <c r="E3154" s="4"/>
    </row>
    <row r="3155" spans="1:5" x14ac:dyDescent="0.3">
      <c r="A3155" s="9">
        <v>3147</v>
      </c>
      <c r="B3155" s="10">
        <f t="shared" ca="1" si="49"/>
        <v>0.10215797459115725</v>
      </c>
      <c r="C3155" s="10">
        <f ca="1">NPV(B3155,Project_FCF!C18:J18)+Project_FCF!B18</f>
        <v>767.24486739100485</v>
      </c>
      <c r="D3155" s="4"/>
      <c r="E3155" s="4"/>
    </row>
    <row r="3156" spans="1:5" x14ac:dyDescent="0.3">
      <c r="A3156" s="9">
        <v>3148</v>
      </c>
      <c r="B3156" s="10">
        <f t="shared" ca="1" si="49"/>
        <v>7.5551481869890552E-2</v>
      </c>
      <c r="C3156" s="10">
        <f ca="1">NPV(B3156,Project_FCF!C18:J18)+Project_FCF!B18</f>
        <v>976.4529746942419</v>
      </c>
      <c r="D3156" s="4"/>
      <c r="E3156" s="4"/>
    </row>
    <row r="3157" spans="1:5" x14ac:dyDescent="0.3">
      <c r="A3157" s="9">
        <v>3149</v>
      </c>
      <c r="B3157" s="10">
        <f t="shared" ca="1" si="49"/>
        <v>9.6876540522982058E-2</v>
      </c>
      <c r="C3157" s="10">
        <f ca="1">NPV(B3157,Project_FCF!C18:J18)+Project_FCF!B18</f>
        <v>805.37423950434209</v>
      </c>
      <c r="D3157" s="4"/>
      <c r="E3157" s="4"/>
    </row>
    <row r="3158" spans="1:5" x14ac:dyDescent="0.3">
      <c r="A3158" s="9">
        <v>3150</v>
      </c>
      <c r="B3158" s="10">
        <f t="shared" ca="1" si="49"/>
        <v>8.3777128136432552E-2</v>
      </c>
      <c r="C3158" s="10">
        <f ca="1">NPV(B3158,Project_FCF!C18:J18)+Project_FCF!B18</f>
        <v>907.03041536251294</v>
      </c>
      <c r="D3158" s="4"/>
      <c r="E3158" s="4"/>
    </row>
    <row r="3159" spans="1:5" x14ac:dyDescent="0.3">
      <c r="A3159" s="9">
        <v>3151</v>
      </c>
      <c r="B3159" s="10">
        <f t="shared" ca="1" si="49"/>
        <v>9.9705426319134816E-2</v>
      </c>
      <c r="C3159" s="10">
        <f ca="1">NPV(B3159,Project_FCF!C18:J18)+Project_FCF!B18</f>
        <v>784.75643905808124</v>
      </c>
      <c r="D3159" s="4"/>
      <c r="E3159" s="4"/>
    </row>
    <row r="3160" spans="1:5" x14ac:dyDescent="0.3">
      <c r="A3160" s="9">
        <v>3152</v>
      </c>
      <c r="B3160" s="10">
        <f t="shared" ca="1" si="49"/>
        <v>6.9992129363368211E-2</v>
      </c>
      <c r="C3160" s="10">
        <f ca="1">NPV(B3160,Project_FCF!C18:J18)+Project_FCF!B18</f>
        <v>1026.0184987979419</v>
      </c>
      <c r="D3160" s="4"/>
      <c r="E3160" s="4"/>
    </row>
    <row r="3161" spans="1:5" x14ac:dyDescent="0.3">
      <c r="A3161" s="9">
        <v>3153</v>
      </c>
      <c r="B3161" s="10">
        <f t="shared" ca="1" si="49"/>
        <v>0.10279602432276917</v>
      </c>
      <c r="C3161" s="10">
        <f ca="1">NPV(B3161,Project_FCF!C18:J18)+Project_FCF!B18</f>
        <v>762.74345352914224</v>
      </c>
      <c r="D3161" s="4"/>
      <c r="E3161" s="4"/>
    </row>
    <row r="3162" spans="1:5" x14ac:dyDescent="0.3">
      <c r="A3162" s="9">
        <v>3154</v>
      </c>
      <c r="B3162" s="10">
        <f t="shared" ca="1" si="49"/>
        <v>6.6377368373413889E-2</v>
      </c>
      <c r="C3162" s="10">
        <f ca="1">NPV(B3162,Project_FCF!C18:J18)+Project_FCF!B18</f>
        <v>1059.45329422806</v>
      </c>
      <c r="D3162" s="4"/>
      <c r="E3162" s="4"/>
    </row>
    <row r="3163" spans="1:5" x14ac:dyDescent="0.3">
      <c r="A3163" s="9">
        <v>3155</v>
      </c>
      <c r="B3163" s="10">
        <f t="shared" ca="1" si="49"/>
        <v>9.0057561486303464E-2</v>
      </c>
      <c r="C3163" s="10">
        <f ca="1">NPV(B3163,Project_FCF!C18:J18)+Project_FCF!B18</f>
        <v>856.98611873767732</v>
      </c>
      <c r="D3163" s="4"/>
      <c r="E3163" s="4"/>
    </row>
    <row r="3164" spans="1:5" x14ac:dyDescent="0.3">
      <c r="A3164" s="9">
        <v>3156</v>
      </c>
      <c r="B3164" s="10">
        <f t="shared" ca="1" si="49"/>
        <v>8.188386676431357E-2</v>
      </c>
      <c r="C3164" s="10">
        <f ca="1">NPV(B3164,Project_FCF!C18:J18)+Project_FCF!B18</f>
        <v>922.60985248826614</v>
      </c>
      <c r="D3164" s="4"/>
      <c r="E3164" s="4"/>
    </row>
    <row r="3165" spans="1:5" x14ac:dyDescent="0.3">
      <c r="A3165" s="9">
        <v>3157</v>
      </c>
      <c r="B3165" s="10">
        <f t="shared" ca="1" si="49"/>
        <v>8.7089118999736134E-2</v>
      </c>
      <c r="C3165" s="10">
        <f ca="1">NPV(B3165,Project_FCF!C18:J18)+Project_FCF!B18</f>
        <v>880.33092817932538</v>
      </c>
      <c r="D3165" s="4"/>
      <c r="E3165" s="4"/>
    </row>
    <row r="3166" spans="1:5" x14ac:dyDescent="0.3">
      <c r="A3166" s="9">
        <v>3158</v>
      </c>
      <c r="B3166" s="10">
        <f t="shared" ca="1" si="49"/>
        <v>0.10119144700131613</v>
      </c>
      <c r="C3166" s="10">
        <f ca="1">NPV(B3166,Project_FCF!C18:J18)+Project_FCF!B18</f>
        <v>774.10624284113055</v>
      </c>
      <c r="D3166" s="4"/>
      <c r="E3166" s="4"/>
    </row>
    <row r="3167" spans="1:5" x14ac:dyDescent="0.3">
      <c r="A3167" s="9">
        <v>3159</v>
      </c>
      <c r="B3167" s="10">
        <f t="shared" ca="1" si="49"/>
        <v>6.5735087709369533E-2</v>
      </c>
      <c r="C3167" s="10">
        <f ca="1">NPV(B3167,Project_FCF!C18:J18)+Project_FCF!B18</f>
        <v>1065.4965744764329</v>
      </c>
      <c r="D3167" s="4"/>
      <c r="E3167" s="4"/>
    </row>
    <row r="3168" spans="1:5" x14ac:dyDescent="0.3">
      <c r="A3168" s="9">
        <v>3160</v>
      </c>
      <c r="B3168" s="10">
        <f t="shared" ca="1" si="49"/>
        <v>6.4676479498041561E-2</v>
      </c>
      <c r="C3168" s="10">
        <f ca="1">NPV(B3168,Project_FCF!C18:J18)+Project_FCF!B18</f>
        <v>1075.5257175121144</v>
      </c>
      <c r="D3168" s="4"/>
      <c r="E3168" s="4"/>
    </row>
    <row r="3169" spans="1:5" x14ac:dyDescent="0.3">
      <c r="A3169" s="9">
        <v>3161</v>
      </c>
      <c r="B3169" s="10">
        <f t="shared" ca="1" si="49"/>
        <v>9.1453395966606149E-2</v>
      </c>
      <c r="C3169" s="10">
        <f ca="1">NPV(B3169,Project_FCF!C18:J18)+Project_FCF!B18</f>
        <v>846.19568932629363</v>
      </c>
      <c r="D3169" s="4"/>
      <c r="E3169" s="4"/>
    </row>
    <row r="3170" spans="1:5" x14ac:dyDescent="0.3">
      <c r="A3170" s="9">
        <v>3162</v>
      </c>
      <c r="B3170" s="10">
        <f t="shared" ca="1" si="49"/>
        <v>6.6745839633259516E-2</v>
      </c>
      <c r="C3170" s="10">
        <f ca="1">NPV(B3170,Project_FCF!C18:J18)+Project_FCF!B18</f>
        <v>1056.0004121588975</v>
      </c>
      <c r="D3170" s="4"/>
      <c r="E3170" s="4"/>
    </row>
    <row r="3171" spans="1:5" x14ac:dyDescent="0.3">
      <c r="A3171" s="9">
        <v>3163</v>
      </c>
      <c r="B3171" s="10">
        <f t="shared" ca="1" si="49"/>
        <v>6.7680111223839323E-2</v>
      </c>
      <c r="C3171" s="10">
        <f ca="1">NPV(B3171,Project_FCF!C18:J18)+Project_FCF!B18</f>
        <v>1047.2913146519718</v>
      </c>
      <c r="D3171" s="4"/>
      <c r="E3171" s="4"/>
    </row>
    <row r="3172" spans="1:5" x14ac:dyDescent="0.3">
      <c r="A3172" s="9">
        <v>3164</v>
      </c>
      <c r="B3172" s="10">
        <f t="shared" ca="1" si="49"/>
        <v>9.1818035600253811E-2</v>
      </c>
      <c r="C3172" s="10">
        <f ca="1">NPV(B3172,Project_FCF!C18:J18)+Project_FCF!B18</f>
        <v>843.39627674387134</v>
      </c>
      <c r="D3172" s="4"/>
      <c r="E3172" s="4"/>
    </row>
    <row r="3173" spans="1:5" x14ac:dyDescent="0.3">
      <c r="A3173" s="9">
        <v>3165</v>
      </c>
      <c r="B3173" s="10">
        <f t="shared" ca="1" si="49"/>
        <v>8.2583542931910406E-2</v>
      </c>
      <c r="C3173" s="10">
        <f ca="1">NPV(B3173,Project_FCF!C18:J18)+Project_FCF!B18</f>
        <v>916.8250691459416</v>
      </c>
      <c r="D3173" s="4"/>
      <c r="E3173" s="4"/>
    </row>
    <row r="3174" spans="1:5" x14ac:dyDescent="0.3">
      <c r="A3174" s="9">
        <v>3166</v>
      </c>
      <c r="B3174" s="10">
        <f t="shared" ca="1" si="49"/>
        <v>6.609789418370228E-2</v>
      </c>
      <c r="C3174" s="10">
        <f ca="1">NPV(B3174,Project_FCF!C18:J18)+Project_FCF!B18</f>
        <v>1062.0790475006045</v>
      </c>
      <c r="D3174" s="4"/>
      <c r="E3174" s="4"/>
    </row>
    <row r="3175" spans="1:5" x14ac:dyDescent="0.3">
      <c r="A3175" s="9">
        <v>3167</v>
      </c>
      <c r="B3175" s="10">
        <f t="shared" ca="1" si="49"/>
        <v>8.2087281199541701E-2</v>
      </c>
      <c r="C3175" s="10">
        <f ca="1">NPV(B3175,Project_FCF!C18:J18)+Project_FCF!B18</f>
        <v>920.92475470060799</v>
      </c>
      <c r="D3175" s="4"/>
      <c r="E3175" s="4"/>
    </row>
    <row r="3176" spans="1:5" x14ac:dyDescent="0.3">
      <c r="A3176" s="9">
        <v>3168</v>
      </c>
      <c r="B3176" s="10">
        <f t="shared" ca="1" si="49"/>
        <v>8.7246077965674171E-2</v>
      </c>
      <c r="C3176" s="10">
        <f ca="1">NPV(B3176,Project_FCF!C18:J18)+Project_FCF!B18</f>
        <v>879.08284342736647</v>
      </c>
      <c r="D3176" s="4"/>
      <c r="E3176" s="4"/>
    </row>
    <row r="3177" spans="1:5" x14ac:dyDescent="0.3">
      <c r="A3177" s="9">
        <v>3169</v>
      </c>
      <c r="B3177" s="10">
        <f t="shared" ca="1" si="49"/>
        <v>8.3735251365556332E-2</v>
      </c>
      <c r="C3177" s="10">
        <f ca="1">NPV(B3177,Project_FCF!C18:J18)+Project_FCF!B18</f>
        <v>907.3724957938357</v>
      </c>
      <c r="D3177" s="4"/>
      <c r="E3177" s="4"/>
    </row>
    <row r="3178" spans="1:5" x14ac:dyDescent="0.3">
      <c r="A3178" s="9">
        <v>3170</v>
      </c>
      <c r="B3178" s="10">
        <f t="shared" ca="1" si="49"/>
        <v>8.0105435267445263E-2</v>
      </c>
      <c r="C3178" s="10">
        <f ca="1">NPV(B3178,Project_FCF!C18:J18)+Project_FCF!B18</f>
        <v>937.45884262633217</v>
      </c>
      <c r="D3178" s="4"/>
      <c r="E3178" s="4"/>
    </row>
    <row r="3179" spans="1:5" x14ac:dyDescent="0.3">
      <c r="A3179" s="9">
        <v>3171</v>
      </c>
      <c r="B3179" s="10">
        <f t="shared" ca="1" si="49"/>
        <v>9.8767546968444447E-2</v>
      </c>
      <c r="C3179" s="10">
        <f ca="1">NPV(B3179,Project_FCF!C18:J18)+Project_FCF!B18</f>
        <v>791.54174464880566</v>
      </c>
      <c r="D3179" s="4"/>
      <c r="E3179" s="4"/>
    </row>
    <row r="3180" spans="1:5" x14ac:dyDescent="0.3">
      <c r="A3180" s="9">
        <v>3172</v>
      </c>
      <c r="B3180" s="10">
        <f t="shared" ca="1" si="49"/>
        <v>7.2229768129993183E-2</v>
      </c>
      <c r="C3180" s="10">
        <f ca="1">NPV(B3180,Project_FCF!C18:J18)+Project_FCF!B18</f>
        <v>1005.8027149862992</v>
      </c>
      <c r="D3180" s="4"/>
      <c r="E3180" s="4"/>
    </row>
    <row r="3181" spans="1:5" x14ac:dyDescent="0.3">
      <c r="A3181" s="9">
        <v>3173</v>
      </c>
      <c r="B3181" s="10">
        <f t="shared" ca="1" si="49"/>
        <v>0.10092285443892657</v>
      </c>
      <c r="C3181" s="10">
        <f ca="1">NPV(B3181,Project_FCF!C18:J18)+Project_FCF!B18</f>
        <v>776.02213556625384</v>
      </c>
      <c r="D3181" s="4"/>
      <c r="E3181" s="4"/>
    </row>
    <row r="3182" spans="1:5" x14ac:dyDescent="0.3">
      <c r="A3182" s="9">
        <v>3174</v>
      </c>
      <c r="B3182" s="10">
        <f t="shared" ca="1" si="49"/>
        <v>8.1068844447232377E-2</v>
      </c>
      <c r="C3182" s="10">
        <f ca="1">NPV(B3182,Project_FCF!C18:J18)+Project_FCF!B18</f>
        <v>929.38887004179333</v>
      </c>
      <c r="D3182" s="4"/>
      <c r="E3182" s="4"/>
    </row>
    <row r="3183" spans="1:5" x14ac:dyDescent="0.3">
      <c r="A3183" s="9">
        <v>3175</v>
      </c>
      <c r="B3183" s="10">
        <f t="shared" ca="1" si="49"/>
        <v>7.939349009699595E-2</v>
      </c>
      <c r="C3183" s="10">
        <f ca="1">NPV(B3183,Project_FCF!C18:J18)+Project_FCF!B18</f>
        <v>943.46222634240326</v>
      </c>
      <c r="D3183" s="4"/>
      <c r="E3183" s="4"/>
    </row>
    <row r="3184" spans="1:5" x14ac:dyDescent="0.3">
      <c r="A3184" s="9">
        <v>3176</v>
      </c>
      <c r="B3184" s="10">
        <f t="shared" ca="1" si="49"/>
        <v>8.4074423782723257E-2</v>
      </c>
      <c r="C3184" s="10">
        <f ca="1">NPV(B3184,Project_FCF!C18:J18)+Project_FCF!B18</f>
        <v>904.60513918805532</v>
      </c>
      <c r="D3184" s="4"/>
      <c r="E3184" s="4"/>
    </row>
    <row r="3185" spans="1:5" x14ac:dyDescent="0.3">
      <c r="A3185" s="9">
        <v>3177</v>
      </c>
      <c r="B3185" s="10">
        <f t="shared" ca="1" si="49"/>
        <v>8.2309344512009136E-2</v>
      </c>
      <c r="C3185" s="10">
        <f ca="1">NPV(B3185,Project_FCF!C18:J18)+Project_FCF!B18</f>
        <v>919.08826691815489</v>
      </c>
      <c r="D3185" s="4"/>
      <c r="E3185" s="4"/>
    </row>
    <row r="3186" spans="1:5" x14ac:dyDescent="0.3">
      <c r="A3186" s="9">
        <v>3178</v>
      </c>
      <c r="B3186" s="10">
        <f t="shared" ca="1" si="49"/>
        <v>7.9141156462542384E-2</v>
      </c>
      <c r="C3186" s="10">
        <f ca="1">NPV(B3186,Project_FCF!C18:J18)+Project_FCF!B18</f>
        <v>945.59816131334401</v>
      </c>
      <c r="D3186" s="4"/>
      <c r="E3186" s="4"/>
    </row>
    <row r="3187" spans="1:5" x14ac:dyDescent="0.3">
      <c r="A3187" s="9">
        <v>3179</v>
      </c>
      <c r="B3187" s="10">
        <f t="shared" ca="1" si="49"/>
        <v>8.9898053620087529E-2</v>
      </c>
      <c r="C3187" s="10">
        <f ca="1">NPV(B3187,Project_FCF!C18:J18)+Project_FCF!B18</f>
        <v>858.22673313334326</v>
      </c>
      <c r="D3187" s="4"/>
      <c r="E3187" s="4"/>
    </row>
    <row r="3188" spans="1:5" x14ac:dyDescent="0.3">
      <c r="A3188" s="9">
        <v>3180</v>
      </c>
      <c r="B3188" s="10">
        <f t="shared" ca="1" si="49"/>
        <v>8.5609784687473683E-2</v>
      </c>
      <c r="C3188" s="10">
        <f ca="1">NPV(B3188,Project_FCF!C18:J18)+Project_FCF!B18</f>
        <v>892.17029249068128</v>
      </c>
      <c r="D3188" s="4"/>
      <c r="E3188" s="4"/>
    </row>
    <row r="3189" spans="1:5" x14ac:dyDescent="0.3">
      <c r="A3189" s="9">
        <v>3181</v>
      </c>
      <c r="B3189" s="10">
        <f t="shared" ca="1" si="49"/>
        <v>8.9268609874111074E-2</v>
      </c>
      <c r="C3189" s="10">
        <f ca="1">NPV(B3189,Project_FCF!C18:J18)+Project_FCF!B18</f>
        <v>863.13760236550843</v>
      </c>
      <c r="D3189" s="4"/>
      <c r="E3189" s="4"/>
    </row>
    <row r="3190" spans="1:5" x14ac:dyDescent="0.3">
      <c r="A3190" s="9">
        <v>3182</v>
      </c>
      <c r="B3190" s="10">
        <f t="shared" ca="1" si="49"/>
        <v>8.1041160654863706E-2</v>
      </c>
      <c r="C3190" s="10">
        <f ca="1">NPV(B3190,Project_FCF!C18:J18)+Project_FCF!B18</f>
        <v>929.61990267639544</v>
      </c>
      <c r="D3190" s="4"/>
      <c r="E3190" s="4"/>
    </row>
    <row r="3191" spans="1:5" x14ac:dyDescent="0.3">
      <c r="A3191" s="9">
        <v>3183</v>
      </c>
      <c r="B3191" s="10">
        <f t="shared" ca="1" si="49"/>
        <v>7.4180974358276558E-2</v>
      </c>
      <c r="C3191" s="10">
        <f ca="1">NPV(B3191,Project_FCF!C18:J18)+Project_FCF!B18</f>
        <v>988.46802752858184</v>
      </c>
      <c r="D3191" s="4"/>
      <c r="E3191" s="4"/>
    </row>
    <row r="3192" spans="1:5" x14ac:dyDescent="0.3">
      <c r="A3192" s="9">
        <v>3184</v>
      </c>
      <c r="B3192" s="10">
        <f t="shared" ca="1" si="49"/>
        <v>6.7854797980337805E-2</v>
      </c>
      <c r="C3192" s="10">
        <f ca="1">NPV(B3192,Project_FCF!C18:J18)+Project_FCF!B18</f>
        <v>1045.6701763513943</v>
      </c>
      <c r="D3192" s="4"/>
      <c r="E3192" s="4"/>
    </row>
    <row r="3193" spans="1:5" x14ac:dyDescent="0.3">
      <c r="A3193" s="9">
        <v>3185</v>
      </c>
      <c r="B3193" s="10">
        <f t="shared" ca="1" si="49"/>
        <v>8.2608697247007631E-2</v>
      </c>
      <c r="C3193" s="10">
        <f ca="1">NPV(B3193,Project_FCF!C18:J18)+Project_FCF!B18</f>
        <v>916.61769476445647</v>
      </c>
      <c r="D3193" s="4"/>
      <c r="E3193" s="4"/>
    </row>
    <row r="3194" spans="1:5" x14ac:dyDescent="0.3">
      <c r="A3194" s="9">
        <v>3186</v>
      </c>
      <c r="B3194" s="10">
        <f t="shared" ca="1" si="49"/>
        <v>8.8963515500238746E-2</v>
      </c>
      <c r="C3194" s="10">
        <f ca="1">NPV(B3194,Project_FCF!C18:J18)+Project_FCF!B18</f>
        <v>865.52668239747254</v>
      </c>
      <c r="D3194" s="4"/>
      <c r="E3194" s="4"/>
    </row>
    <row r="3195" spans="1:5" x14ac:dyDescent="0.3">
      <c r="A3195" s="9">
        <v>3187</v>
      </c>
      <c r="B3195" s="10">
        <f t="shared" ca="1" si="49"/>
        <v>9.6155100537695631E-2</v>
      </c>
      <c r="C3195" s="10">
        <f ca="1">NPV(B3195,Project_FCF!C18:J18)+Project_FCF!B18</f>
        <v>810.70545507650672</v>
      </c>
      <c r="D3195" s="4"/>
      <c r="E3195" s="4"/>
    </row>
    <row r="3196" spans="1:5" x14ac:dyDescent="0.3">
      <c r="A3196" s="9">
        <v>3188</v>
      </c>
      <c r="B3196" s="10">
        <f t="shared" ca="1" si="49"/>
        <v>9.9186232116148229E-2</v>
      </c>
      <c r="C3196" s="10">
        <f ca="1">NPV(B3196,Project_FCF!C18:J18)+Project_FCF!B18</f>
        <v>788.50655266567833</v>
      </c>
      <c r="D3196" s="4"/>
      <c r="E3196" s="4"/>
    </row>
    <row r="3197" spans="1:5" x14ac:dyDescent="0.3">
      <c r="A3197" s="9">
        <v>3189</v>
      </c>
      <c r="B3197" s="10">
        <f t="shared" ca="1" si="49"/>
        <v>7.6252161629322857E-2</v>
      </c>
      <c r="C3197" s="10">
        <f ca="1">NPV(B3197,Project_FCF!C18:J18)+Project_FCF!B18</f>
        <v>970.36080481300019</v>
      </c>
      <c r="D3197" s="4"/>
      <c r="E3197" s="4"/>
    </row>
    <row r="3198" spans="1:5" x14ac:dyDescent="0.3">
      <c r="A3198" s="9">
        <v>3190</v>
      </c>
      <c r="B3198" s="10">
        <f t="shared" ca="1" si="49"/>
        <v>6.5575979995275216E-2</v>
      </c>
      <c r="C3198" s="10">
        <f ca="1">NPV(B3198,Project_FCF!C18:J18)+Project_FCF!B18</f>
        <v>1066.9984785187339</v>
      </c>
      <c r="D3198" s="4"/>
      <c r="E3198" s="4"/>
    </row>
    <row r="3199" spans="1:5" x14ac:dyDescent="0.3">
      <c r="A3199" s="9">
        <v>3191</v>
      </c>
      <c r="B3199" s="10">
        <f t="shared" ca="1" si="49"/>
        <v>7.8358562431847426E-2</v>
      </c>
      <c r="C3199" s="10">
        <f ca="1">NPV(B3199,Project_FCF!C18:J18)+Project_FCF!B18</f>
        <v>952.24992652992455</v>
      </c>
      <c r="D3199" s="4"/>
      <c r="E3199" s="4"/>
    </row>
    <row r="3200" spans="1:5" x14ac:dyDescent="0.3">
      <c r="A3200" s="9">
        <v>3192</v>
      </c>
      <c r="B3200" s="10">
        <f t="shared" ca="1" si="49"/>
        <v>6.452259418215564E-2</v>
      </c>
      <c r="C3200" s="10">
        <f ca="1">NPV(B3200,Project_FCF!C18:J18)+Project_FCF!B18</f>
        <v>1076.9907595939987</v>
      </c>
      <c r="D3200" s="4"/>
      <c r="E3200" s="4"/>
    </row>
    <row r="3201" spans="1:5" x14ac:dyDescent="0.3">
      <c r="A3201" s="9">
        <v>3193</v>
      </c>
      <c r="B3201" s="10">
        <f t="shared" ca="1" si="49"/>
        <v>7.0820872042302307E-2</v>
      </c>
      <c r="C3201" s="10">
        <f ca="1">NPV(B3201,Project_FCF!C18:J18)+Project_FCF!B18</f>
        <v>1018.488949045897</v>
      </c>
      <c r="D3201" s="4"/>
      <c r="E3201" s="4"/>
    </row>
    <row r="3202" spans="1:5" x14ac:dyDescent="0.3">
      <c r="A3202" s="9">
        <v>3194</v>
      </c>
      <c r="B3202" s="10">
        <f t="shared" ca="1" si="49"/>
        <v>9.7571683287879157E-2</v>
      </c>
      <c r="C3202" s="10">
        <f ca="1">NPV(B3202,Project_FCF!C18:J18)+Project_FCF!B18</f>
        <v>800.26564738156662</v>
      </c>
      <c r="D3202" s="4"/>
      <c r="E3202" s="4"/>
    </row>
    <row r="3203" spans="1:5" x14ac:dyDescent="0.3">
      <c r="A3203" s="9">
        <v>3195</v>
      </c>
      <c r="B3203" s="10">
        <f t="shared" ca="1" si="49"/>
        <v>7.5909738706436955E-2</v>
      </c>
      <c r="C3203" s="10">
        <f ca="1">NPV(B3203,Project_FCF!C18:J18)+Project_FCF!B18</f>
        <v>973.33380005706772</v>
      </c>
      <c r="D3203" s="4"/>
      <c r="E3203" s="4"/>
    </row>
    <row r="3204" spans="1:5" x14ac:dyDescent="0.3">
      <c r="A3204" s="9">
        <v>3196</v>
      </c>
      <c r="B3204" s="10">
        <f t="shared" ca="1" si="49"/>
        <v>0.10031005027856768</v>
      </c>
      <c r="C3204" s="10">
        <f ca="1">NPV(B3204,Project_FCF!C18:J18)+Project_FCF!B18</f>
        <v>780.40830507677401</v>
      </c>
      <c r="D3204" s="4"/>
      <c r="E3204" s="4"/>
    </row>
    <row r="3205" spans="1:5" x14ac:dyDescent="0.3">
      <c r="A3205" s="9">
        <v>3197</v>
      </c>
      <c r="B3205" s="10">
        <f t="shared" ca="1" si="49"/>
        <v>6.5694639369234017E-2</v>
      </c>
      <c r="C3205" s="10">
        <f ca="1">NPV(B3205,Project_FCF!C18:J18)+Project_FCF!B18</f>
        <v>1065.8782055767158</v>
      </c>
      <c r="D3205" s="4"/>
      <c r="E3205" s="4"/>
    </row>
    <row r="3206" spans="1:5" x14ac:dyDescent="0.3">
      <c r="A3206" s="9">
        <v>3198</v>
      </c>
      <c r="B3206" s="10">
        <f t="shared" ca="1" si="49"/>
        <v>9.545418990180829E-2</v>
      </c>
      <c r="C3206" s="10">
        <f ca="1">NPV(B3206,Project_FCF!C18:J18)+Project_FCF!B18</f>
        <v>815.91379152527975</v>
      </c>
      <c r="D3206" s="4"/>
      <c r="E3206" s="4"/>
    </row>
    <row r="3207" spans="1:5" x14ac:dyDescent="0.3">
      <c r="A3207" s="9">
        <v>3199</v>
      </c>
      <c r="B3207" s="10">
        <f t="shared" ca="1" si="49"/>
        <v>9.7716773848443739E-2</v>
      </c>
      <c r="C3207" s="10">
        <f ca="1">NPV(B3207,Project_FCF!C18:J18)+Project_FCF!B18</f>
        <v>799.20286617870079</v>
      </c>
      <c r="D3207" s="4"/>
      <c r="E3207" s="4"/>
    </row>
    <row r="3208" spans="1:5" x14ac:dyDescent="0.3">
      <c r="A3208" s="9">
        <v>3200</v>
      </c>
      <c r="B3208" s="10">
        <f t="shared" ca="1" si="49"/>
        <v>9.3101499545798397E-2</v>
      </c>
      <c r="C3208" s="10">
        <f ca="1">NPV(B3208,Project_FCF!C18:J18)+Project_FCF!B18</f>
        <v>833.60626505988625</v>
      </c>
      <c r="D3208" s="4"/>
      <c r="E3208" s="4"/>
    </row>
    <row r="3209" spans="1:5" x14ac:dyDescent="0.3">
      <c r="A3209" s="9">
        <v>3201</v>
      </c>
      <c r="B3209" s="10">
        <f t="shared" ref="B3209:B3272" ca="1" si="50">$B$4+RAND()*($B$5-$B$4)</f>
        <v>8.9645735947213687E-2</v>
      </c>
      <c r="C3209" s="10">
        <f ca="1">NPV(B3209,Project_FCF!C18:J18)+Project_FCF!B18</f>
        <v>860.19237817807766</v>
      </c>
      <c r="D3209" s="4"/>
      <c r="E3209" s="4"/>
    </row>
    <row r="3210" spans="1:5" x14ac:dyDescent="0.3">
      <c r="A3210" s="9">
        <v>3202</v>
      </c>
      <c r="B3210" s="10">
        <f t="shared" ca="1" si="50"/>
        <v>9.0971363850213302E-2</v>
      </c>
      <c r="C3210" s="10">
        <f ca="1">NPV(B3210,Project_FCF!C18:J18)+Project_FCF!B18</f>
        <v>849.90865835224963</v>
      </c>
      <c r="D3210" s="4"/>
      <c r="E3210" s="4"/>
    </row>
    <row r="3211" spans="1:5" x14ac:dyDescent="0.3">
      <c r="A3211" s="9">
        <v>3203</v>
      </c>
      <c r="B3211" s="10">
        <f t="shared" ca="1" si="50"/>
        <v>8.3492353392038837E-2</v>
      </c>
      <c r="C3211" s="10">
        <f ca="1">NPV(B3211,Project_FCF!C18:J18)+Project_FCF!B18</f>
        <v>909.35890251004503</v>
      </c>
      <c r="D3211" s="4"/>
      <c r="E3211" s="4"/>
    </row>
    <row r="3212" spans="1:5" x14ac:dyDescent="0.3">
      <c r="A3212" s="9">
        <v>3204</v>
      </c>
      <c r="B3212" s="10">
        <f t="shared" ca="1" si="50"/>
        <v>8.756465085305204E-2</v>
      </c>
      <c r="C3212" s="10">
        <f ca="1">NPV(B3212,Project_FCF!C18:J18)+Project_FCF!B18</f>
        <v>876.55440015533236</v>
      </c>
      <c r="D3212" s="4"/>
      <c r="E3212" s="4"/>
    </row>
    <row r="3213" spans="1:5" x14ac:dyDescent="0.3">
      <c r="A3213" s="9">
        <v>3205</v>
      </c>
      <c r="B3213" s="10">
        <f t="shared" ca="1" si="50"/>
        <v>8.2143495322393248E-2</v>
      </c>
      <c r="C3213" s="10">
        <f ca="1">NPV(B3213,Project_FCF!C18:J18)+Project_FCF!B18</f>
        <v>920.45955228075627</v>
      </c>
      <c r="D3213" s="4"/>
      <c r="E3213" s="4"/>
    </row>
    <row r="3214" spans="1:5" x14ac:dyDescent="0.3">
      <c r="A3214" s="9">
        <v>3206</v>
      </c>
      <c r="B3214" s="10">
        <f t="shared" ca="1" si="50"/>
        <v>0.10027009769277385</v>
      </c>
      <c r="C3214" s="10">
        <f ca="1">NPV(B3214,Project_FCF!C18:J18)+Project_FCF!B18</f>
        <v>780.69499287151052</v>
      </c>
      <c r="D3214" s="4"/>
      <c r="E3214" s="4"/>
    </row>
    <row r="3215" spans="1:5" x14ac:dyDescent="0.3">
      <c r="A3215" s="9">
        <v>3207</v>
      </c>
      <c r="B3215" s="10">
        <f t="shared" ca="1" si="50"/>
        <v>8.6366930288112723E-2</v>
      </c>
      <c r="C3215" s="10">
        <f ca="1">NPV(B3215,Project_FCF!C18:J18)+Project_FCF!B18</f>
        <v>886.09346975651351</v>
      </c>
      <c r="D3215" s="4"/>
      <c r="E3215" s="4"/>
    </row>
    <row r="3216" spans="1:5" x14ac:dyDescent="0.3">
      <c r="A3216" s="9">
        <v>3208</v>
      </c>
      <c r="B3216" s="10">
        <f t="shared" ca="1" si="50"/>
        <v>7.7380714375379855E-2</v>
      </c>
      <c r="C3216" s="10">
        <f ca="1">NPV(B3216,Project_FCF!C18:J18)+Project_FCF!B18</f>
        <v>960.61970360343116</v>
      </c>
      <c r="D3216" s="4"/>
      <c r="E3216" s="4"/>
    </row>
    <row r="3217" spans="1:5" x14ac:dyDescent="0.3">
      <c r="A3217" s="9">
        <v>3209</v>
      </c>
      <c r="B3217" s="10">
        <f t="shared" ca="1" si="50"/>
        <v>9.8167774788020495E-2</v>
      </c>
      <c r="C3217" s="10">
        <f ca="1">NPV(B3217,Project_FCF!C18:J18)+Project_FCF!B18</f>
        <v>795.90696638823079</v>
      </c>
      <c r="D3217" s="4"/>
      <c r="E3217" s="4"/>
    </row>
    <row r="3218" spans="1:5" x14ac:dyDescent="0.3">
      <c r="A3218" s="9">
        <v>3210</v>
      </c>
      <c r="B3218" s="10">
        <f t="shared" ca="1" si="50"/>
        <v>9.9134518852509013E-2</v>
      </c>
      <c r="C3218" s="10">
        <f ca="1">NPV(B3218,Project_FCF!C18:J18)+Project_FCF!B18</f>
        <v>788.88090488161174</v>
      </c>
      <c r="D3218" s="4"/>
      <c r="E3218" s="4"/>
    </row>
    <row r="3219" spans="1:5" x14ac:dyDescent="0.3">
      <c r="A3219" s="9">
        <v>3211</v>
      </c>
      <c r="B3219" s="10">
        <f t="shared" ca="1" si="50"/>
        <v>7.2599321382082305E-2</v>
      </c>
      <c r="C3219" s="10">
        <f ca="1">NPV(B3219,Project_FCF!C18:J18)+Project_FCF!B18</f>
        <v>1002.4987591026052</v>
      </c>
      <c r="D3219" s="4"/>
      <c r="E3219" s="4"/>
    </row>
    <row r="3220" spans="1:5" x14ac:dyDescent="0.3">
      <c r="A3220" s="9">
        <v>3212</v>
      </c>
      <c r="B3220" s="10">
        <f t="shared" ca="1" si="50"/>
        <v>7.3820381982514033E-2</v>
      </c>
      <c r="C3220" s="10">
        <f ca="1">NPV(B3220,Project_FCF!C18:J18)+Project_FCF!B18</f>
        <v>991.65121455026633</v>
      </c>
      <c r="D3220" s="4"/>
      <c r="E3220" s="4"/>
    </row>
    <row r="3221" spans="1:5" x14ac:dyDescent="0.3">
      <c r="A3221" s="9">
        <v>3213</v>
      </c>
      <c r="B3221" s="10">
        <f t="shared" ca="1" si="50"/>
        <v>0.1022582064202569</v>
      </c>
      <c r="C3221" s="10">
        <f ca="1">NPV(B3221,Project_FCF!C18:J18)+Project_FCF!B18</f>
        <v>766.53626123806134</v>
      </c>
      <c r="D3221" s="4"/>
      <c r="E3221" s="4"/>
    </row>
    <row r="3222" spans="1:5" x14ac:dyDescent="0.3">
      <c r="A3222" s="9">
        <v>3214</v>
      </c>
      <c r="B3222" s="10">
        <f t="shared" ca="1" si="50"/>
        <v>9.1722641492943138E-2</v>
      </c>
      <c r="C3222" s="10">
        <f ca="1">NPV(B3222,Project_FCF!C18:J18)+Project_FCF!B18</f>
        <v>844.12786368862317</v>
      </c>
      <c r="D3222" s="4"/>
      <c r="E3222" s="4"/>
    </row>
    <row r="3223" spans="1:5" x14ac:dyDescent="0.3">
      <c r="A3223" s="9">
        <v>3215</v>
      </c>
      <c r="B3223" s="10">
        <f t="shared" ca="1" si="50"/>
        <v>9.5746760288112298E-2</v>
      </c>
      <c r="C3223" s="10">
        <f ca="1">NPV(B3223,Project_FCF!C18:J18)+Project_FCF!B18</f>
        <v>813.73628947896214</v>
      </c>
      <c r="D3223" s="4"/>
      <c r="E3223" s="4"/>
    </row>
    <row r="3224" spans="1:5" x14ac:dyDescent="0.3">
      <c r="A3224" s="9">
        <v>3216</v>
      </c>
      <c r="B3224" s="10">
        <f t="shared" ca="1" si="50"/>
        <v>9.2309403831934048E-2</v>
      </c>
      <c r="C3224" s="10">
        <f ca="1">NPV(B3224,Project_FCF!C18:J18)+Project_FCF!B18</f>
        <v>839.6365798477284</v>
      </c>
      <c r="D3224" s="4"/>
      <c r="E3224" s="4"/>
    </row>
    <row r="3225" spans="1:5" x14ac:dyDescent="0.3">
      <c r="A3225" s="9">
        <v>3217</v>
      </c>
      <c r="B3225" s="10">
        <f t="shared" ca="1" si="50"/>
        <v>6.9575008134318467E-2</v>
      </c>
      <c r="C3225" s="10">
        <f ca="1">NPV(B3225,Project_FCF!C18:J18)+Project_FCF!B18</f>
        <v>1029.8272524341194</v>
      </c>
      <c r="D3225" s="4"/>
      <c r="E3225" s="4"/>
    </row>
    <row r="3226" spans="1:5" x14ac:dyDescent="0.3">
      <c r="A3226" s="9">
        <v>3218</v>
      </c>
      <c r="B3226" s="10">
        <f t="shared" ca="1" si="50"/>
        <v>8.1020869667127321E-2</v>
      </c>
      <c r="C3226" s="10">
        <f ca="1">NPV(B3226,Project_FCF!C18:J18)+Project_FCF!B18</f>
        <v>929.78927154237681</v>
      </c>
      <c r="D3226" s="4"/>
      <c r="E3226" s="4"/>
    </row>
    <row r="3227" spans="1:5" x14ac:dyDescent="0.3">
      <c r="A3227" s="9">
        <v>3219</v>
      </c>
      <c r="B3227" s="10">
        <f t="shared" ca="1" si="50"/>
        <v>8.0167356649464158E-2</v>
      </c>
      <c r="C3227" s="10">
        <f ca="1">NPV(B3227,Project_FCF!C18:J18)+Project_FCF!B18</f>
        <v>936.93830175614448</v>
      </c>
      <c r="D3227" s="4"/>
      <c r="E3227" s="4"/>
    </row>
    <row r="3228" spans="1:5" x14ac:dyDescent="0.3">
      <c r="A3228" s="9">
        <v>3220</v>
      </c>
      <c r="B3228" s="10">
        <f t="shared" ca="1" si="50"/>
        <v>0.10161034398402334</v>
      </c>
      <c r="C3228" s="10">
        <f ca="1">NPV(B3228,Project_FCF!C18:J18)+Project_FCF!B18</f>
        <v>771.12617685223404</v>
      </c>
      <c r="D3228" s="4"/>
      <c r="E3228" s="4"/>
    </row>
    <row r="3229" spans="1:5" x14ac:dyDescent="0.3">
      <c r="A3229" s="9">
        <v>3221</v>
      </c>
      <c r="B3229" s="10">
        <f t="shared" ca="1" si="50"/>
        <v>7.0874948604018884E-2</v>
      </c>
      <c r="C3229" s="10">
        <f ca="1">NPV(B3229,Project_FCF!C18:J18)+Project_FCF!B18</f>
        <v>1017.9993739618446</v>
      </c>
      <c r="D3229" s="4"/>
      <c r="E3229" s="4"/>
    </row>
    <row r="3230" spans="1:5" x14ac:dyDescent="0.3">
      <c r="A3230" s="9">
        <v>3222</v>
      </c>
      <c r="B3230" s="10">
        <f t="shared" ca="1" si="50"/>
        <v>0.10154842301847085</v>
      </c>
      <c r="C3230" s="10">
        <f ca="1">NPV(B3230,Project_FCF!C18:J18)+Project_FCF!B18</f>
        <v>771.5660775823153</v>
      </c>
      <c r="D3230" s="4"/>
      <c r="E3230" s="4"/>
    </row>
    <row r="3231" spans="1:5" x14ac:dyDescent="0.3">
      <c r="A3231" s="9">
        <v>3223</v>
      </c>
      <c r="B3231" s="10">
        <f t="shared" ca="1" si="50"/>
        <v>6.6527675478847595E-2</v>
      </c>
      <c r="C3231" s="10">
        <f ca="1">NPV(B3231,Project_FCF!C18:J18)+Project_FCF!B18</f>
        <v>1058.0435532784238</v>
      </c>
      <c r="D3231" s="4"/>
      <c r="E3231" s="4"/>
    </row>
    <row r="3232" spans="1:5" x14ac:dyDescent="0.3">
      <c r="A3232" s="9">
        <v>3224</v>
      </c>
      <c r="B3232" s="10">
        <f t="shared" ca="1" si="50"/>
        <v>7.9860050931111912E-2</v>
      </c>
      <c r="C3232" s="10">
        <f ca="1">NPV(B3232,Project_FCF!C18:J18)+Project_FCF!B18</f>
        <v>939.52418023888185</v>
      </c>
      <c r="D3232" s="4"/>
      <c r="E3232" s="4"/>
    </row>
    <row r="3233" spans="1:5" x14ac:dyDescent="0.3">
      <c r="A3233" s="9">
        <v>3225</v>
      </c>
      <c r="B3233" s="10">
        <f t="shared" ca="1" si="50"/>
        <v>6.4623953368667691E-2</v>
      </c>
      <c r="C3233" s="10">
        <f ca="1">NPV(B3233,Project_FCF!C18:J18)+Project_FCF!B18</f>
        <v>1076.0255799774022</v>
      </c>
      <c r="D3233" s="4"/>
      <c r="E3233" s="4"/>
    </row>
    <row r="3234" spans="1:5" x14ac:dyDescent="0.3">
      <c r="A3234" s="9">
        <v>3226</v>
      </c>
      <c r="B3234" s="10">
        <f t="shared" ca="1" si="50"/>
        <v>8.8930269505350573E-2</v>
      </c>
      <c r="C3234" s="10">
        <f ca="1">NPV(B3234,Project_FCF!C18:J18)+Project_FCF!B18</f>
        <v>865.78736588833158</v>
      </c>
      <c r="D3234" s="4"/>
      <c r="E3234" s="4"/>
    </row>
    <row r="3235" spans="1:5" x14ac:dyDescent="0.3">
      <c r="A3235" s="9">
        <v>3227</v>
      </c>
      <c r="B3235" s="10">
        <f t="shared" ca="1" si="50"/>
        <v>8.1931619063567787E-2</v>
      </c>
      <c r="C3235" s="10">
        <f ca="1">NPV(B3235,Project_FCF!C18:J18)+Project_FCF!B18</f>
        <v>922.21402544123839</v>
      </c>
      <c r="D3235" s="4"/>
      <c r="E3235" s="4"/>
    </row>
    <row r="3236" spans="1:5" x14ac:dyDescent="0.3">
      <c r="A3236" s="9">
        <v>3228</v>
      </c>
      <c r="B3236" s="10">
        <f t="shared" ca="1" si="50"/>
        <v>0.10396246439986517</v>
      </c>
      <c r="C3236" s="10">
        <f ca="1">NPV(B3236,Project_FCF!C18:J18)+Project_FCF!B18</f>
        <v>754.57156682049936</v>
      </c>
      <c r="D3236" s="4"/>
      <c r="E3236" s="4"/>
    </row>
    <row r="3237" spans="1:5" x14ac:dyDescent="0.3">
      <c r="A3237" s="9">
        <v>3229</v>
      </c>
      <c r="B3237" s="10">
        <f t="shared" ca="1" si="50"/>
        <v>9.9949227446510858E-2</v>
      </c>
      <c r="C3237" s="10">
        <f ca="1">NPV(B3237,Project_FCF!C18:J18)+Project_FCF!B18</f>
        <v>783.00069227522317</v>
      </c>
      <c r="D3237" s="4"/>
      <c r="E3237" s="4"/>
    </row>
    <row r="3238" spans="1:5" x14ac:dyDescent="0.3">
      <c r="A3238" s="9">
        <v>3230</v>
      </c>
      <c r="B3238" s="10">
        <f t="shared" ca="1" si="50"/>
        <v>7.0751734141923442E-2</v>
      </c>
      <c r="C3238" s="10">
        <f ca="1">NPV(B3238,Project_FCF!C18:J18)+Project_FCF!B18</f>
        <v>1019.1151894164236</v>
      </c>
      <c r="D3238" s="4"/>
      <c r="E3238" s="4"/>
    </row>
    <row r="3239" spans="1:5" x14ac:dyDescent="0.3">
      <c r="A3239" s="9">
        <v>3231</v>
      </c>
      <c r="B3239" s="10">
        <f t="shared" ca="1" si="50"/>
        <v>8.6725340677610466E-2</v>
      </c>
      <c r="C3239" s="10">
        <f ca="1">NPV(B3239,Project_FCF!C18:J18)+Project_FCF!B18</f>
        <v>883.22951380534914</v>
      </c>
      <c r="D3239" s="4"/>
      <c r="E3239" s="4"/>
    </row>
    <row r="3240" spans="1:5" x14ac:dyDescent="0.3">
      <c r="A3240" s="9">
        <v>3232</v>
      </c>
      <c r="B3240" s="10">
        <f t="shared" ca="1" si="50"/>
        <v>6.8999907166819044E-2</v>
      </c>
      <c r="C3240" s="10">
        <f ca="1">NPV(B3240,Project_FCF!C18:J18)+Project_FCF!B18</f>
        <v>1035.0994992494059</v>
      </c>
      <c r="D3240" s="4"/>
      <c r="E3240" s="4"/>
    </row>
    <row r="3241" spans="1:5" x14ac:dyDescent="0.3">
      <c r="A3241" s="9">
        <v>3233</v>
      </c>
      <c r="B3241" s="10">
        <f t="shared" ca="1" si="50"/>
        <v>7.8744583082716854E-2</v>
      </c>
      <c r="C3241" s="10">
        <f ca="1">NPV(B3241,Project_FCF!C18:J18)+Project_FCF!B18</f>
        <v>948.96371693126912</v>
      </c>
      <c r="D3241" s="4"/>
      <c r="E3241" s="4"/>
    </row>
    <row r="3242" spans="1:5" x14ac:dyDescent="0.3">
      <c r="A3242" s="9">
        <v>3234</v>
      </c>
      <c r="B3242" s="10">
        <f t="shared" ca="1" si="50"/>
        <v>9.5654230541000917E-2</v>
      </c>
      <c r="C3242" s="10">
        <f ca="1">NPV(B3242,Project_FCF!C18:J18)+Project_FCF!B18</f>
        <v>814.42441917464771</v>
      </c>
      <c r="D3242" s="4"/>
      <c r="E3242" s="4"/>
    </row>
    <row r="3243" spans="1:5" x14ac:dyDescent="0.3">
      <c r="A3243" s="9">
        <v>3235</v>
      </c>
      <c r="B3243" s="10">
        <f t="shared" ca="1" si="50"/>
        <v>9.4450674019687014E-2</v>
      </c>
      <c r="C3243" s="10">
        <f ca="1">NPV(B3243,Project_FCF!C18:J18)+Project_FCF!B18</f>
        <v>823.42054452223624</v>
      </c>
      <c r="D3243" s="4"/>
      <c r="E3243" s="4"/>
    </row>
    <row r="3244" spans="1:5" x14ac:dyDescent="0.3">
      <c r="A3244" s="9">
        <v>3236</v>
      </c>
      <c r="B3244" s="10">
        <f t="shared" ca="1" si="50"/>
        <v>8.9094261241919881E-2</v>
      </c>
      <c r="C3244" s="10">
        <f ca="1">NPV(B3244,Project_FCF!C18:J18)+Project_FCF!B18</f>
        <v>864.50215944562979</v>
      </c>
      <c r="D3244" s="4"/>
      <c r="E3244" s="4"/>
    </row>
    <row r="3245" spans="1:5" x14ac:dyDescent="0.3">
      <c r="A3245" s="9">
        <v>3237</v>
      </c>
      <c r="B3245" s="10">
        <f t="shared" ca="1" si="50"/>
        <v>7.9833346246674167E-2</v>
      </c>
      <c r="C3245" s="10">
        <f ca="1">NPV(B3245,Project_FCF!C18:J18)+Project_FCF!B18</f>
        <v>939.74918975418063</v>
      </c>
      <c r="D3245" s="4"/>
      <c r="E3245" s="4"/>
    </row>
    <row r="3246" spans="1:5" x14ac:dyDescent="0.3">
      <c r="A3246" s="9">
        <v>3238</v>
      </c>
      <c r="B3246" s="10">
        <f t="shared" ca="1" si="50"/>
        <v>9.6651989504461994E-2</v>
      </c>
      <c r="C3246" s="10">
        <f ca="1">NPV(B3246,Project_FCF!C18:J18)+Project_FCF!B18</f>
        <v>807.03038642109959</v>
      </c>
      <c r="D3246" s="4"/>
      <c r="E3246" s="4"/>
    </row>
    <row r="3247" spans="1:5" x14ac:dyDescent="0.3">
      <c r="A3247" s="9">
        <v>3239</v>
      </c>
      <c r="B3247" s="10">
        <f t="shared" ca="1" si="50"/>
        <v>8.9933871623724973E-2</v>
      </c>
      <c r="C3247" s="10">
        <f ca="1">NPV(B3247,Project_FCF!C18:J18)+Project_FCF!B18</f>
        <v>857.94801380786566</v>
      </c>
      <c r="D3247" s="4"/>
      <c r="E3247" s="4"/>
    </row>
    <row r="3248" spans="1:5" x14ac:dyDescent="0.3">
      <c r="A3248" s="9">
        <v>3240</v>
      </c>
      <c r="B3248" s="10">
        <f t="shared" ca="1" si="50"/>
        <v>7.1872036731972358E-2</v>
      </c>
      <c r="C3248" s="10">
        <f ca="1">NPV(B3248,Project_FCF!C18:J18)+Project_FCF!B18</f>
        <v>1009.0103076336727</v>
      </c>
      <c r="D3248" s="4"/>
      <c r="E3248" s="4"/>
    </row>
    <row r="3249" spans="1:5" x14ac:dyDescent="0.3">
      <c r="A3249" s="9">
        <v>3241</v>
      </c>
      <c r="B3249" s="10">
        <f t="shared" ca="1" si="50"/>
        <v>6.5664850574931891E-2</v>
      </c>
      <c r="C3249" s="10">
        <f ca="1">NPV(B3249,Project_FCF!C18:J18)+Project_FCF!B18</f>
        <v>1066.159343230978</v>
      </c>
      <c r="D3249" s="4"/>
      <c r="E3249" s="4"/>
    </row>
    <row r="3250" spans="1:5" x14ac:dyDescent="0.3">
      <c r="A3250" s="9">
        <v>3242</v>
      </c>
      <c r="B3250" s="10">
        <f t="shared" ca="1" si="50"/>
        <v>9.2274005521314276E-2</v>
      </c>
      <c r="C3250" s="10">
        <f ca="1">NPV(B3250,Project_FCF!C18:J18)+Project_FCF!B18</f>
        <v>839.90694576586475</v>
      </c>
      <c r="D3250" s="4"/>
      <c r="E3250" s="4"/>
    </row>
    <row r="3251" spans="1:5" x14ac:dyDescent="0.3">
      <c r="A3251" s="9">
        <v>3243</v>
      </c>
      <c r="B3251" s="10">
        <f t="shared" ca="1" si="50"/>
        <v>9.3379101153220623E-2</v>
      </c>
      <c r="C3251" s="10">
        <f ca="1">NPV(B3251,Project_FCF!C18:J18)+Project_FCF!B18</f>
        <v>831.50168923941646</v>
      </c>
      <c r="D3251" s="4"/>
      <c r="E3251" s="4"/>
    </row>
    <row r="3252" spans="1:5" x14ac:dyDescent="0.3">
      <c r="A3252" s="9">
        <v>3244</v>
      </c>
      <c r="B3252" s="10">
        <f t="shared" ca="1" si="50"/>
        <v>8.0594610512935705E-2</v>
      </c>
      <c r="C3252" s="10">
        <f ca="1">NPV(B3252,Project_FCF!C18:J18)+Project_FCF!B18</f>
        <v>933.35356705973072</v>
      </c>
      <c r="D3252" s="4"/>
      <c r="E3252" s="4"/>
    </row>
    <row r="3253" spans="1:5" x14ac:dyDescent="0.3">
      <c r="A3253" s="9">
        <v>3245</v>
      </c>
      <c r="B3253" s="10">
        <f t="shared" ca="1" si="50"/>
        <v>9.9215099967473602E-2</v>
      </c>
      <c r="C3253" s="10">
        <f ca="1">NPV(B3253,Project_FCF!C18:J18)+Project_FCF!B18</f>
        <v>788.2976438305086</v>
      </c>
      <c r="D3253" s="4"/>
      <c r="E3253" s="4"/>
    </row>
    <row r="3254" spans="1:5" x14ac:dyDescent="0.3">
      <c r="A3254" s="9">
        <v>3246</v>
      </c>
      <c r="B3254" s="10">
        <f t="shared" ca="1" si="50"/>
        <v>0.10222500930630317</v>
      </c>
      <c r="C3254" s="10">
        <f ca="1">NPV(B3254,Project_FCF!C18:J18)+Project_FCF!B18</f>
        <v>766.77089295766336</v>
      </c>
      <c r="D3254" s="4"/>
      <c r="E3254" s="4"/>
    </row>
    <row r="3255" spans="1:5" x14ac:dyDescent="0.3">
      <c r="A3255" s="9">
        <v>3247</v>
      </c>
      <c r="B3255" s="10">
        <f t="shared" ca="1" si="50"/>
        <v>8.52766614154368E-2</v>
      </c>
      <c r="C3255" s="10">
        <f ca="1">NPV(B3255,Project_FCF!C18:J18)+Project_FCF!B18</f>
        <v>894.85545268352598</v>
      </c>
      <c r="D3255" s="4"/>
      <c r="E3255" s="4"/>
    </row>
    <row r="3256" spans="1:5" x14ac:dyDescent="0.3">
      <c r="A3256" s="9">
        <v>3248</v>
      </c>
      <c r="B3256" s="10">
        <f t="shared" ca="1" si="50"/>
        <v>8.3265579900836093E-2</v>
      </c>
      <c r="C3256" s="10">
        <f ca="1">NPV(B3256,Project_FCF!C18:J18)+Project_FCF!B18</f>
        <v>911.21689301816605</v>
      </c>
      <c r="D3256" s="4"/>
      <c r="E3256" s="4"/>
    </row>
    <row r="3257" spans="1:5" x14ac:dyDescent="0.3">
      <c r="A3257" s="9">
        <v>3249</v>
      </c>
      <c r="B3257" s="10">
        <f t="shared" ca="1" si="50"/>
        <v>0.10305757755217607</v>
      </c>
      <c r="C3257" s="10">
        <f ca="1">NPV(B3257,Project_FCF!C18:J18)+Project_FCF!B18</f>
        <v>760.90462890015374</v>
      </c>
      <c r="D3257" s="4"/>
      <c r="E3257" s="4"/>
    </row>
    <row r="3258" spans="1:5" x14ac:dyDescent="0.3">
      <c r="A3258" s="9">
        <v>3250</v>
      </c>
      <c r="B3258" s="10">
        <f t="shared" ca="1" si="50"/>
        <v>6.4673626185645136E-2</v>
      </c>
      <c r="C3258" s="10">
        <f ca="1">NPV(B3258,Project_FCF!C18:J18)+Project_FCF!B18</f>
        <v>1075.5528654805069</v>
      </c>
      <c r="D3258" s="4"/>
      <c r="E3258" s="4"/>
    </row>
    <row r="3259" spans="1:5" x14ac:dyDescent="0.3">
      <c r="A3259" s="9">
        <v>3251</v>
      </c>
      <c r="B3259" s="10">
        <f t="shared" ca="1" si="50"/>
        <v>9.3542526953467625E-2</v>
      </c>
      <c r="C3259" s="10">
        <f ca="1">NPV(B3259,Project_FCF!C18:J18)+Project_FCF!B18</f>
        <v>830.26484931791651</v>
      </c>
      <c r="D3259" s="4"/>
      <c r="E3259" s="4"/>
    </row>
    <row r="3260" spans="1:5" x14ac:dyDescent="0.3">
      <c r="A3260" s="9">
        <v>3252</v>
      </c>
      <c r="B3260" s="10">
        <f t="shared" ca="1" si="50"/>
        <v>8.0776884265628096E-2</v>
      </c>
      <c r="C3260" s="10">
        <f ca="1">NPV(B3260,Project_FCF!C18:J18)+Project_FCF!B18</f>
        <v>931.82795410245944</v>
      </c>
      <c r="D3260" s="4"/>
      <c r="E3260" s="4"/>
    </row>
    <row r="3261" spans="1:5" x14ac:dyDescent="0.3">
      <c r="A3261" s="9">
        <v>3253</v>
      </c>
      <c r="B3261" s="10">
        <f t="shared" ca="1" si="50"/>
        <v>9.7944579465850751E-2</v>
      </c>
      <c r="C3261" s="10">
        <f ca="1">NPV(B3261,Project_FCF!C18:J18)+Project_FCF!B18</f>
        <v>797.53662323432422</v>
      </c>
      <c r="D3261" s="4"/>
      <c r="E3261" s="4"/>
    </row>
    <row r="3262" spans="1:5" x14ac:dyDescent="0.3">
      <c r="A3262" s="9">
        <v>3254</v>
      </c>
      <c r="B3262" s="10">
        <f t="shared" ca="1" si="50"/>
        <v>0.10303547950044931</v>
      </c>
      <c r="C3262" s="10">
        <f ca="1">NPV(B3262,Project_FCF!C18:J18)+Project_FCF!B18</f>
        <v>761.05984305267179</v>
      </c>
      <c r="D3262" s="4"/>
      <c r="E3262" s="4"/>
    </row>
    <row r="3263" spans="1:5" x14ac:dyDescent="0.3">
      <c r="A3263" s="9">
        <v>3255</v>
      </c>
      <c r="B3263" s="10">
        <f t="shared" ca="1" si="50"/>
        <v>8.9373542269213041E-2</v>
      </c>
      <c r="C3263" s="10">
        <f ca="1">NPV(B3263,Project_FCF!C18:J18)+Project_FCF!B18</f>
        <v>862.31723970305097</v>
      </c>
      <c r="D3263" s="4"/>
      <c r="E3263" s="4"/>
    </row>
    <row r="3264" spans="1:5" x14ac:dyDescent="0.3">
      <c r="A3264" s="9">
        <v>3256</v>
      </c>
      <c r="B3264" s="10">
        <f t="shared" ca="1" si="50"/>
        <v>7.5373158081694314E-2</v>
      </c>
      <c r="C3264" s="10">
        <f ca="1">NPV(B3264,Project_FCF!C18:J18)+Project_FCF!B18</f>
        <v>978.00888373586304</v>
      </c>
      <c r="D3264" s="4"/>
      <c r="E3264" s="4"/>
    </row>
    <row r="3265" spans="1:5" x14ac:dyDescent="0.3">
      <c r="A3265" s="9">
        <v>3257</v>
      </c>
      <c r="B3265" s="10">
        <f t="shared" ca="1" si="50"/>
        <v>0.10119329165463789</v>
      </c>
      <c r="C3265" s="10">
        <f ca="1">NPV(B3265,Project_FCF!C18:J18)+Project_FCF!B18</f>
        <v>774.09309858442975</v>
      </c>
      <c r="D3265" s="4"/>
      <c r="E3265" s="4"/>
    </row>
    <row r="3266" spans="1:5" x14ac:dyDescent="0.3">
      <c r="A3266" s="9">
        <v>3258</v>
      </c>
      <c r="B3266" s="10">
        <f t="shared" ca="1" si="50"/>
        <v>7.2552653176434473E-2</v>
      </c>
      <c r="C3266" s="10">
        <f ca="1">NPV(B3266,Project_FCF!C18:J18)+Project_FCF!B18</f>
        <v>1002.9154525886188</v>
      </c>
      <c r="D3266" s="4"/>
      <c r="E3266" s="4"/>
    </row>
    <row r="3267" spans="1:5" x14ac:dyDescent="0.3">
      <c r="A3267" s="9">
        <v>3259</v>
      </c>
      <c r="B3267" s="10">
        <f t="shared" ca="1" si="50"/>
        <v>0.10324109315621442</v>
      </c>
      <c r="C3267" s="10">
        <f ca="1">NPV(B3267,Project_FCF!C18:J18)+Project_FCF!B18</f>
        <v>759.61666250759663</v>
      </c>
      <c r="D3267" s="4"/>
      <c r="E3267" s="4"/>
    </row>
    <row r="3268" spans="1:5" x14ac:dyDescent="0.3">
      <c r="A3268" s="9">
        <v>3260</v>
      </c>
      <c r="B3268" s="10">
        <f t="shared" ca="1" si="50"/>
        <v>9.9271103869953137E-2</v>
      </c>
      <c r="C3268" s="10">
        <f ca="1">NPV(B3268,Project_FCF!C18:J18)+Project_FCF!B18</f>
        <v>787.89249248182773</v>
      </c>
      <c r="D3268" s="4"/>
      <c r="E3268" s="4"/>
    </row>
    <row r="3269" spans="1:5" x14ac:dyDescent="0.3">
      <c r="A3269" s="9">
        <v>3261</v>
      </c>
      <c r="B3269" s="10">
        <f t="shared" ca="1" si="50"/>
        <v>9.3491802026129833E-2</v>
      </c>
      <c r="C3269" s="10">
        <f ca="1">NPV(B3269,Project_FCF!C18:J18)+Project_FCF!B18</f>
        <v>830.6485766518249</v>
      </c>
      <c r="D3269" s="4"/>
      <c r="E3269" s="4"/>
    </row>
    <row r="3270" spans="1:5" x14ac:dyDescent="0.3">
      <c r="A3270" s="9">
        <v>3262</v>
      </c>
      <c r="B3270" s="10">
        <f t="shared" ca="1" si="50"/>
        <v>7.139891326693619E-2</v>
      </c>
      <c r="C3270" s="10">
        <f ca="1">NPV(B3270,Project_FCF!C18:J18)+Project_FCF!B18</f>
        <v>1013.2667079349833</v>
      </c>
      <c r="D3270" s="4"/>
      <c r="E3270" s="4"/>
    </row>
    <row r="3271" spans="1:5" x14ac:dyDescent="0.3">
      <c r="A3271" s="9">
        <v>3263</v>
      </c>
      <c r="B3271" s="10">
        <f t="shared" ca="1" si="50"/>
        <v>8.382861369821909E-2</v>
      </c>
      <c r="C3271" s="10">
        <f ca="1">NPV(B3271,Project_FCF!C18:J18)+Project_FCF!B18</f>
        <v>906.60999847933044</v>
      </c>
      <c r="D3271" s="4"/>
      <c r="E3271" s="4"/>
    </row>
    <row r="3272" spans="1:5" x14ac:dyDescent="0.3">
      <c r="A3272" s="9">
        <v>3264</v>
      </c>
      <c r="B3272" s="10">
        <f t="shared" ca="1" si="50"/>
        <v>7.7540090492769539E-2</v>
      </c>
      <c r="C3272" s="10">
        <f ca="1">NPV(B3272,Project_FCF!C18:J18)+Project_FCF!B18</f>
        <v>959.2510936687529</v>
      </c>
      <c r="D3272" s="4"/>
      <c r="E3272" s="4"/>
    </row>
    <row r="3273" spans="1:5" x14ac:dyDescent="0.3">
      <c r="A3273" s="9">
        <v>3265</v>
      </c>
      <c r="B3273" s="10">
        <f t="shared" ref="B3273:B3336" ca="1" si="51">$B$4+RAND()*($B$5-$B$4)</f>
        <v>6.7329809805987878E-2</v>
      </c>
      <c r="C3273" s="10">
        <f ca="1">NPV(B3273,Project_FCF!C18:J18)+Project_FCF!B18</f>
        <v>1050.5490799908159</v>
      </c>
      <c r="D3273" s="4"/>
      <c r="E3273" s="4"/>
    </row>
    <row r="3274" spans="1:5" x14ac:dyDescent="0.3">
      <c r="A3274" s="9">
        <v>3266</v>
      </c>
      <c r="B3274" s="10">
        <f t="shared" ca="1" si="51"/>
        <v>7.0962222542776246E-2</v>
      </c>
      <c r="C3274" s="10">
        <f ca="1">NPV(B3274,Project_FCF!C18:J18)+Project_FCF!B18</f>
        <v>1017.209698561481</v>
      </c>
      <c r="D3274" s="4"/>
      <c r="E3274" s="4"/>
    </row>
    <row r="3275" spans="1:5" x14ac:dyDescent="0.3">
      <c r="A3275" s="9">
        <v>3267</v>
      </c>
      <c r="B3275" s="10">
        <f t="shared" ca="1" si="51"/>
        <v>9.6156134545844749E-2</v>
      </c>
      <c r="C3275" s="10">
        <f ca="1">NPV(B3275,Project_FCF!C18:J18)+Project_FCF!B18</f>
        <v>810.69779258607059</v>
      </c>
      <c r="D3275" s="4"/>
      <c r="E3275" s="4"/>
    </row>
    <row r="3276" spans="1:5" x14ac:dyDescent="0.3">
      <c r="A3276" s="9">
        <v>3268</v>
      </c>
      <c r="B3276" s="10">
        <f t="shared" ca="1" si="51"/>
        <v>9.3792731185763478E-2</v>
      </c>
      <c r="C3276" s="10">
        <f ca="1">NPV(B3276,Project_FCF!C18:J18)+Project_FCF!B18</f>
        <v>828.374314665768</v>
      </c>
      <c r="D3276" s="4"/>
      <c r="E3276" s="4"/>
    </row>
    <row r="3277" spans="1:5" x14ac:dyDescent="0.3">
      <c r="A3277" s="9">
        <v>3269</v>
      </c>
      <c r="B3277" s="10">
        <f t="shared" ca="1" si="51"/>
        <v>9.7802487922785203E-2</v>
      </c>
      <c r="C3277" s="10">
        <f ca="1">NPV(B3277,Project_FCF!C18:J18)+Project_FCF!B18</f>
        <v>798.57557909155116</v>
      </c>
      <c r="D3277" s="4"/>
      <c r="E3277" s="4"/>
    </row>
    <row r="3278" spans="1:5" x14ac:dyDescent="0.3">
      <c r="A3278" s="9">
        <v>3270</v>
      </c>
      <c r="B3278" s="10">
        <f t="shared" ca="1" si="51"/>
        <v>8.0893575358687422E-2</v>
      </c>
      <c r="C3278" s="10">
        <f ca="1">NPV(B3278,Project_FCF!C18:J18)+Project_FCF!B18</f>
        <v>930.85241935791009</v>
      </c>
      <c r="D3278" s="4"/>
      <c r="E3278" s="4"/>
    </row>
    <row r="3279" spans="1:5" x14ac:dyDescent="0.3">
      <c r="A3279" s="9">
        <v>3271</v>
      </c>
      <c r="B3279" s="10">
        <f t="shared" ca="1" si="51"/>
        <v>8.0282688120208057E-2</v>
      </c>
      <c r="C3279" s="10">
        <f ca="1">NPV(B3279,Project_FCF!C18:J18)+Project_FCF!B18</f>
        <v>935.9694520722328</v>
      </c>
      <c r="D3279" s="4"/>
      <c r="E3279" s="4"/>
    </row>
    <row r="3280" spans="1:5" x14ac:dyDescent="0.3">
      <c r="A3280" s="9">
        <v>3272</v>
      </c>
      <c r="B3280" s="10">
        <f t="shared" ca="1" si="51"/>
        <v>9.9776371772266712E-2</v>
      </c>
      <c r="C3280" s="10">
        <f ca="1">NPV(B3280,Project_FCF!C18:J18)+Project_FCF!B18</f>
        <v>784.24517830590776</v>
      </c>
      <c r="D3280" s="4"/>
      <c r="E3280" s="4"/>
    </row>
    <row r="3281" spans="1:5" x14ac:dyDescent="0.3">
      <c r="A3281" s="9">
        <v>3273</v>
      </c>
      <c r="B3281" s="10">
        <f t="shared" ca="1" si="51"/>
        <v>9.598407679415355E-2</v>
      </c>
      <c r="C3281" s="10">
        <f ca="1">NPV(B3281,Project_FCF!C18:J18)+Project_FCF!B18</f>
        <v>811.97367339303469</v>
      </c>
      <c r="D3281" s="4"/>
      <c r="E3281" s="4"/>
    </row>
    <row r="3282" spans="1:5" x14ac:dyDescent="0.3">
      <c r="A3282" s="9">
        <v>3274</v>
      </c>
      <c r="B3282" s="10">
        <f t="shared" ca="1" si="51"/>
        <v>9.3764048004300451E-2</v>
      </c>
      <c r="C3282" s="10">
        <f ca="1">NPV(B3282,Project_FCF!C18:J18)+Project_FCF!B18</f>
        <v>828.59085601648849</v>
      </c>
      <c r="D3282" s="4"/>
      <c r="E3282" s="4"/>
    </row>
    <row r="3283" spans="1:5" x14ac:dyDescent="0.3">
      <c r="A3283" s="9">
        <v>3275</v>
      </c>
      <c r="B3283" s="10">
        <f t="shared" ca="1" si="51"/>
        <v>9.0003915689587974E-2</v>
      </c>
      <c r="C3283" s="10">
        <f ca="1">NPV(B3283,Project_FCF!C18:J18)+Project_FCF!B18</f>
        <v>857.40318953560063</v>
      </c>
      <c r="D3283" s="4"/>
      <c r="E3283" s="4"/>
    </row>
    <row r="3284" spans="1:5" x14ac:dyDescent="0.3">
      <c r="A3284" s="9">
        <v>3276</v>
      </c>
      <c r="B3284" s="10">
        <f t="shared" ca="1" si="51"/>
        <v>7.6619392488124369E-2</v>
      </c>
      <c r="C3284" s="10">
        <f ca="1">NPV(B3284,Project_FCF!C18:J18)+Project_FCF!B18</f>
        <v>967.18143023884113</v>
      </c>
      <c r="D3284" s="4"/>
      <c r="E3284" s="4"/>
    </row>
    <row r="3285" spans="1:5" x14ac:dyDescent="0.3">
      <c r="A3285" s="9">
        <v>3277</v>
      </c>
      <c r="B3285" s="10">
        <f t="shared" ca="1" si="51"/>
        <v>7.6145890634203822E-2</v>
      </c>
      <c r="C3285" s="10">
        <f ca="1">NPV(B3285,Project_FCF!C18:J18)+Project_FCF!B18</f>
        <v>971.2826054535758</v>
      </c>
      <c r="D3285" s="4"/>
      <c r="E3285" s="4"/>
    </row>
    <row r="3286" spans="1:5" x14ac:dyDescent="0.3">
      <c r="A3286" s="9">
        <v>3278</v>
      </c>
      <c r="B3286" s="10">
        <f t="shared" ca="1" si="51"/>
        <v>8.1977280826161986E-2</v>
      </c>
      <c r="C3286" s="10">
        <f ca="1">NPV(B3286,Project_FCF!C18:J18)+Project_FCF!B18</f>
        <v>921.83566729879635</v>
      </c>
      <c r="D3286" s="4"/>
      <c r="E3286" s="4"/>
    </row>
    <row r="3287" spans="1:5" x14ac:dyDescent="0.3">
      <c r="A3287" s="9">
        <v>3279</v>
      </c>
      <c r="B3287" s="10">
        <f t="shared" ca="1" si="51"/>
        <v>0.10094007492053009</v>
      </c>
      <c r="C3287" s="10">
        <f ca="1">NPV(B3287,Project_FCF!C18:J18)+Project_FCF!B18</f>
        <v>775.89918057130853</v>
      </c>
      <c r="D3287" s="4"/>
      <c r="E3287" s="4"/>
    </row>
    <row r="3288" spans="1:5" x14ac:dyDescent="0.3">
      <c r="A3288" s="9">
        <v>3280</v>
      </c>
      <c r="B3288" s="10">
        <f t="shared" ca="1" si="51"/>
        <v>9.4396465384896863E-2</v>
      </c>
      <c r="C3288" s="10">
        <f ca="1">NPV(B3288,Project_FCF!C18:J18)+Project_FCF!B18</f>
        <v>823.82772824623999</v>
      </c>
      <c r="D3288" s="4"/>
      <c r="E3288" s="4"/>
    </row>
    <row r="3289" spans="1:5" x14ac:dyDescent="0.3">
      <c r="A3289" s="9">
        <v>3281</v>
      </c>
      <c r="B3289" s="10">
        <f t="shared" ca="1" si="51"/>
        <v>8.7996284024257632E-2</v>
      </c>
      <c r="C3289" s="10">
        <f ca="1">NPV(B3289,Project_FCF!C18:J18)+Project_FCF!B18</f>
        <v>873.1387283611175</v>
      </c>
      <c r="D3289" s="4"/>
      <c r="E3289" s="4"/>
    </row>
    <row r="3290" spans="1:5" x14ac:dyDescent="0.3">
      <c r="A3290" s="9">
        <v>3282</v>
      </c>
      <c r="B3290" s="10">
        <f t="shared" ca="1" si="51"/>
        <v>8.7296778289413707E-2</v>
      </c>
      <c r="C3290" s="10">
        <f ca="1">NPV(B3290,Project_FCF!C18:J18)+Project_FCF!B18</f>
        <v>878.68002130075797</v>
      </c>
      <c r="D3290" s="4"/>
      <c r="E3290" s="4"/>
    </row>
    <row r="3291" spans="1:5" x14ac:dyDescent="0.3">
      <c r="A3291" s="9">
        <v>3283</v>
      </c>
      <c r="B3291" s="10">
        <f t="shared" ca="1" si="51"/>
        <v>7.2951798489241063E-2</v>
      </c>
      <c r="C3291" s="10">
        <f ca="1">NPV(B3291,Project_FCF!C18:J18)+Project_FCF!B18</f>
        <v>999.35656654251056</v>
      </c>
      <c r="D3291" s="4"/>
      <c r="E3291" s="4"/>
    </row>
    <row r="3292" spans="1:5" x14ac:dyDescent="0.3">
      <c r="A3292" s="9">
        <v>3284</v>
      </c>
      <c r="B3292" s="10">
        <f t="shared" ca="1" si="51"/>
        <v>9.0926092565143862E-2</v>
      </c>
      <c r="C3292" s="10">
        <f ca="1">NPV(B3292,Project_FCF!C18:J18)+Project_FCF!B18</f>
        <v>850.25809335309782</v>
      </c>
      <c r="D3292" s="4"/>
      <c r="E3292" s="4"/>
    </row>
    <row r="3293" spans="1:5" x14ac:dyDescent="0.3">
      <c r="A3293" s="9">
        <v>3285</v>
      </c>
      <c r="B3293" s="10">
        <f t="shared" ca="1" si="51"/>
        <v>8.407398396694013E-2</v>
      </c>
      <c r="C3293" s="10">
        <f ca="1">NPV(B3293,Project_FCF!C18:J18)+Project_FCF!B18</f>
        <v>904.60872290422094</v>
      </c>
      <c r="D3293" s="4"/>
      <c r="E3293" s="4"/>
    </row>
    <row r="3294" spans="1:5" x14ac:dyDescent="0.3">
      <c r="A3294" s="9">
        <v>3286</v>
      </c>
      <c r="B3294" s="10">
        <f t="shared" ca="1" si="51"/>
        <v>9.7287331433755356E-2</v>
      </c>
      <c r="C3294" s="10">
        <f ca="1">NPV(B3294,Project_FCF!C18:J18)+Project_FCF!B18</f>
        <v>802.35199905961031</v>
      </c>
      <c r="D3294" s="4"/>
      <c r="E3294" s="4"/>
    </row>
    <row r="3295" spans="1:5" x14ac:dyDescent="0.3">
      <c r="A3295" s="9">
        <v>3287</v>
      </c>
      <c r="B3295" s="10">
        <f t="shared" ca="1" si="51"/>
        <v>8.1207222010472105E-2</v>
      </c>
      <c r="C3295" s="10">
        <f ca="1">NPV(B3295,Project_FCF!C18:J18)+Project_FCF!B18</f>
        <v>928.23481267274542</v>
      </c>
      <c r="D3295" s="4"/>
      <c r="E3295" s="4"/>
    </row>
    <row r="3296" spans="1:5" x14ac:dyDescent="0.3">
      <c r="A3296" s="9">
        <v>3288</v>
      </c>
      <c r="B3296" s="10">
        <f t="shared" ca="1" si="51"/>
        <v>8.1854005851097894E-2</v>
      </c>
      <c r="C3296" s="10">
        <f ca="1">NPV(B3296,Project_FCF!C18:J18)+Project_FCF!B18</f>
        <v>922.85745089233978</v>
      </c>
      <c r="D3296" s="4"/>
      <c r="E3296" s="4"/>
    </row>
    <row r="3297" spans="1:5" x14ac:dyDescent="0.3">
      <c r="A3297" s="9">
        <v>3289</v>
      </c>
      <c r="B3297" s="10">
        <f t="shared" ca="1" si="51"/>
        <v>8.2635535698076301E-2</v>
      </c>
      <c r="C3297" s="10">
        <f ca="1">NPV(B3297,Project_FCF!C18:J18)+Project_FCF!B18</f>
        <v>916.39648176675064</v>
      </c>
      <c r="D3297" s="4"/>
      <c r="E3297" s="4"/>
    </row>
    <row r="3298" spans="1:5" x14ac:dyDescent="0.3">
      <c r="A3298" s="9">
        <v>3290</v>
      </c>
      <c r="B3298" s="10">
        <f t="shared" ca="1" si="51"/>
        <v>6.7078947294827107E-2</v>
      </c>
      <c r="C3298" s="10">
        <f ca="1">NPV(B3298,Project_FCF!C18:J18)+Project_FCF!B18</f>
        <v>1052.8877274826202</v>
      </c>
      <c r="D3298" s="4"/>
      <c r="E3298" s="4"/>
    </row>
    <row r="3299" spans="1:5" x14ac:dyDescent="0.3">
      <c r="A3299" s="9">
        <v>3291</v>
      </c>
      <c r="B3299" s="10">
        <f t="shared" ca="1" si="51"/>
        <v>6.912463913903881E-2</v>
      </c>
      <c r="C3299" s="10">
        <f ca="1">NPV(B3299,Project_FCF!C18:J18)+Project_FCF!B18</f>
        <v>1033.9539468961134</v>
      </c>
      <c r="D3299" s="4"/>
      <c r="E3299" s="4"/>
    </row>
    <row r="3300" spans="1:5" x14ac:dyDescent="0.3">
      <c r="A3300" s="9">
        <v>3292</v>
      </c>
      <c r="B3300" s="10">
        <f t="shared" ca="1" si="51"/>
        <v>6.8792923467729722E-2</v>
      </c>
      <c r="C3300" s="10">
        <f ca="1">NPV(B3300,Project_FCF!C18:J18)+Project_FCF!B18</f>
        <v>1037.0029968395527</v>
      </c>
      <c r="D3300" s="4"/>
      <c r="E3300" s="4"/>
    </row>
    <row r="3301" spans="1:5" x14ac:dyDescent="0.3">
      <c r="A3301" s="9">
        <v>3293</v>
      </c>
      <c r="B3301" s="10">
        <f t="shared" ca="1" si="51"/>
        <v>9.1222832024375769E-2</v>
      </c>
      <c r="C3301" s="10">
        <f ca="1">NPV(B3301,Project_FCF!C18:J18)+Project_FCF!B18</f>
        <v>847.969911912209</v>
      </c>
      <c r="D3301" s="4"/>
      <c r="E3301" s="4"/>
    </row>
    <row r="3302" spans="1:5" x14ac:dyDescent="0.3">
      <c r="A3302" s="9">
        <v>3294</v>
      </c>
      <c r="B3302" s="10">
        <f t="shared" ca="1" si="51"/>
        <v>6.9568353631501517E-2</v>
      </c>
      <c r="C3302" s="10">
        <f ca="1">NPV(B3302,Project_FCF!C18:J18)+Project_FCF!B18</f>
        <v>1029.8881184805743</v>
      </c>
      <c r="D3302" s="4"/>
      <c r="E3302" s="4"/>
    </row>
    <row r="3303" spans="1:5" x14ac:dyDescent="0.3">
      <c r="A3303" s="9">
        <v>3295</v>
      </c>
      <c r="B3303" s="10">
        <f t="shared" ca="1" si="51"/>
        <v>7.9579150218660868E-2</v>
      </c>
      <c r="C3303" s="10">
        <f ca="1">NPV(B3303,Project_FCF!C18:J18)+Project_FCF!B18</f>
        <v>941.89339740650144</v>
      </c>
      <c r="D3303" s="4"/>
      <c r="E3303" s="4"/>
    </row>
    <row r="3304" spans="1:5" x14ac:dyDescent="0.3">
      <c r="A3304" s="9">
        <v>3296</v>
      </c>
      <c r="B3304" s="10">
        <f t="shared" ca="1" si="51"/>
        <v>0.10138620997346995</v>
      </c>
      <c r="C3304" s="10">
        <f ca="1">NPV(B3304,Project_FCF!C18:J18)+Project_FCF!B18</f>
        <v>772.71947878495257</v>
      </c>
      <c r="D3304" s="4"/>
      <c r="E3304" s="4"/>
    </row>
    <row r="3305" spans="1:5" x14ac:dyDescent="0.3">
      <c r="A3305" s="9">
        <v>3297</v>
      </c>
      <c r="B3305" s="10">
        <f t="shared" ca="1" si="51"/>
        <v>8.8014813813803633E-2</v>
      </c>
      <c r="C3305" s="10">
        <f ca="1">NPV(B3305,Project_FCF!C18:J18)+Project_FCF!B18</f>
        <v>872.99235506959917</v>
      </c>
      <c r="D3305" s="4"/>
      <c r="E3305" s="4"/>
    </row>
    <row r="3306" spans="1:5" x14ac:dyDescent="0.3">
      <c r="A3306" s="9">
        <v>3298</v>
      </c>
      <c r="B3306" s="10">
        <f t="shared" ca="1" si="51"/>
        <v>6.8978877609950875E-2</v>
      </c>
      <c r="C3306" s="10">
        <f ca="1">NPV(B3306,Project_FCF!C18:J18)+Project_FCF!B18</f>
        <v>1035.2927502106043</v>
      </c>
      <c r="D3306" s="4"/>
      <c r="E3306" s="4"/>
    </row>
    <row r="3307" spans="1:5" x14ac:dyDescent="0.3">
      <c r="A3307" s="9">
        <v>3299</v>
      </c>
      <c r="B3307" s="10">
        <f t="shared" ca="1" si="51"/>
        <v>9.5910904951525489E-2</v>
      </c>
      <c r="C3307" s="10">
        <f ca="1">NPV(B3307,Project_FCF!C18:J18)+Project_FCF!B18</f>
        <v>812.51679298280396</v>
      </c>
      <c r="D3307" s="4"/>
      <c r="E3307" s="4"/>
    </row>
    <row r="3308" spans="1:5" x14ac:dyDescent="0.3">
      <c r="A3308" s="9">
        <v>3300</v>
      </c>
      <c r="B3308" s="10">
        <f t="shared" ca="1" si="51"/>
        <v>9.4028773196157711E-2</v>
      </c>
      <c r="C3308" s="10">
        <f ca="1">NPV(B3308,Project_FCF!C18:J18)+Project_FCF!B18</f>
        <v>826.59417878642239</v>
      </c>
      <c r="D3308" s="4"/>
      <c r="E3308" s="4"/>
    </row>
    <row r="3309" spans="1:5" x14ac:dyDescent="0.3">
      <c r="A3309" s="9">
        <v>3301</v>
      </c>
      <c r="B3309" s="10">
        <f t="shared" ca="1" si="51"/>
        <v>0.10356816362936766</v>
      </c>
      <c r="C3309" s="10">
        <f ca="1">NPV(B3309,Project_FCF!C18:J18)+Project_FCF!B18</f>
        <v>757.32571926713399</v>
      </c>
      <c r="D3309" s="4"/>
      <c r="E3309" s="4"/>
    </row>
    <row r="3310" spans="1:5" x14ac:dyDescent="0.3">
      <c r="A3310" s="9">
        <v>3302</v>
      </c>
      <c r="B3310" s="10">
        <f t="shared" ca="1" si="51"/>
        <v>9.3398762975919522E-2</v>
      </c>
      <c r="C3310" s="10">
        <f ca="1">NPV(B3310,Project_FCF!C18:J18)+Project_FCF!B18</f>
        <v>831.35280080333564</v>
      </c>
      <c r="D3310" s="4"/>
      <c r="E3310" s="4"/>
    </row>
    <row r="3311" spans="1:5" x14ac:dyDescent="0.3">
      <c r="A3311" s="9">
        <v>3303</v>
      </c>
      <c r="B3311" s="10">
        <f t="shared" ca="1" si="51"/>
        <v>8.4691975286651677E-2</v>
      </c>
      <c r="C3311" s="10">
        <f ca="1">NPV(B3311,Project_FCF!C18:J18)+Project_FCF!B18</f>
        <v>899.58546466707776</v>
      </c>
      <c r="D3311" s="4"/>
      <c r="E3311" s="4"/>
    </row>
    <row r="3312" spans="1:5" x14ac:dyDescent="0.3">
      <c r="A3312" s="9">
        <v>3304</v>
      </c>
      <c r="B3312" s="10">
        <f t="shared" ca="1" si="51"/>
        <v>9.2122543289476735E-2</v>
      </c>
      <c r="C3312" s="10">
        <f ca="1">NPV(B3312,Project_FCF!C18:J18)+Project_FCF!B18</f>
        <v>841.06463446936868</v>
      </c>
      <c r="D3312" s="4"/>
      <c r="E3312" s="4"/>
    </row>
    <row r="3313" spans="1:5" x14ac:dyDescent="0.3">
      <c r="A3313" s="9">
        <v>3305</v>
      </c>
      <c r="B3313" s="10">
        <f t="shared" ca="1" si="51"/>
        <v>8.0562842688249425E-2</v>
      </c>
      <c r="C3313" s="10">
        <f ca="1">NPV(B3313,Project_FCF!C18:J18)+Project_FCF!B18</f>
        <v>933.61968647205526</v>
      </c>
      <c r="D3313" s="4"/>
      <c r="E3313" s="4"/>
    </row>
    <row r="3314" spans="1:5" x14ac:dyDescent="0.3">
      <c r="A3314" s="9">
        <v>3306</v>
      </c>
      <c r="B3314" s="10">
        <f t="shared" ca="1" si="51"/>
        <v>8.1135562022888769E-2</v>
      </c>
      <c r="C3314" s="10">
        <f ca="1">NPV(B3314,Project_FCF!C18:J18)+Project_FCF!B18</f>
        <v>928.83229286525284</v>
      </c>
      <c r="D3314" s="4"/>
      <c r="E3314" s="4"/>
    </row>
    <row r="3315" spans="1:5" x14ac:dyDescent="0.3">
      <c r="A3315" s="9">
        <v>3307</v>
      </c>
      <c r="B3315" s="10">
        <f t="shared" ca="1" si="51"/>
        <v>7.0107367894960179E-2</v>
      </c>
      <c r="C3315" s="10">
        <f ca="1">NPV(B3315,Project_FCF!C18:J18)+Project_FCF!B18</f>
        <v>1024.9684975239948</v>
      </c>
      <c r="D3315" s="4"/>
      <c r="E3315" s="4"/>
    </row>
    <row r="3316" spans="1:5" x14ac:dyDescent="0.3">
      <c r="A3316" s="9">
        <v>3308</v>
      </c>
      <c r="B3316" s="10">
        <f t="shared" ca="1" si="51"/>
        <v>8.2864374137654295E-2</v>
      </c>
      <c r="C3316" s="10">
        <f ca="1">NPV(B3316,Project_FCF!C18:J18)+Project_FCF!B18</f>
        <v>914.51221417611919</v>
      </c>
      <c r="D3316" s="4"/>
      <c r="E3316" s="4"/>
    </row>
    <row r="3317" spans="1:5" x14ac:dyDescent="0.3">
      <c r="A3317" s="9">
        <v>3309</v>
      </c>
      <c r="B3317" s="10">
        <f t="shared" ca="1" si="51"/>
        <v>9.4083210763469122E-2</v>
      </c>
      <c r="C3317" s="10">
        <f ca="1">NPV(B3317,Project_FCF!C18:J18)+Project_FCF!B18</f>
        <v>826.18409833191163</v>
      </c>
      <c r="D3317" s="4"/>
      <c r="E3317" s="4"/>
    </row>
    <row r="3318" spans="1:5" x14ac:dyDescent="0.3">
      <c r="A3318" s="9">
        <v>3310</v>
      </c>
      <c r="B3318" s="10">
        <f t="shared" ca="1" si="51"/>
        <v>8.7035256320870211E-2</v>
      </c>
      <c r="C3318" s="10">
        <f ca="1">NPV(B3318,Project_FCF!C18:J18)+Project_FCF!B18</f>
        <v>880.75958195861062</v>
      </c>
      <c r="D3318" s="4"/>
      <c r="E3318" s="4"/>
    </row>
    <row r="3319" spans="1:5" x14ac:dyDescent="0.3">
      <c r="A3319" s="9">
        <v>3311</v>
      </c>
      <c r="B3319" s="10">
        <f t="shared" ca="1" si="51"/>
        <v>9.933406437101977E-2</v>
      </c>
      <c r="C3319" s="10">
        <f ca="1">NPV(B3319,Project_FCF!C18:J18)+Project_FCF!B18</f>
        <v>787.43722539993973</v>
      </c>
      <c r="D3319" s="4"/>
      <c r="E3319" s="4"/>
    </row>
    <row r="3320" spans="1:5" x14ac:dyDescent="0.3">
      <c r="A3320" s="9">
        <v>3312</v>
      </c>
      <c r="B3320" s="10">
        <f t="shared" ca="1" si="51"/>
        <v>7.8087667424027049E-2</v>
      </c>
      <c r="C3320" s="10">
        <f ca="1">NPV(B3320,Project_FCF!C18:J18)+Project_FCF!B18</f>
        <v>954.5621006953636</v>
      </c>
      <c r="D3320" s="4"/>
      <c r="E3320" s="4"/>
    </row>
    <row r="3321" spans="1:5" x14ac:dyDescent="0.3">
      <c r="A3321" s="9">
        <v>3313</v>
      </c>
      <c r="B3321" s="10">
        <f t="shared" ca="1" si="51"/>
        <v>7.2502660575093927E-2</v>
      </c>
      <c r="C3321" s="10">
        <f ca="1">NPV(B3321,Project_FCF!C18:J18)+Project_FCF!B18</f>
        <v>1003.3620018813774</v>
      </c>
      <c r="D3321" s="4"/>
      <c r="E3321" s="4"/>
    </row>
    <row r="3322" spans="1:5" x14ac:dyDescent="0.3">
      <c r="A3322" s="9">
        <v>3314</v>
      </c>
      <c r="B3322" s="10">
        <f t="shared" ca="1" si="51"/>
        <v>9.5265853444808452E-2</v>
      </c>
      <c r="C3322" s="10">
        <f ca="1">NPV(B3322,Project_FCF!C18:J18)+Project_FCF!B18</f>
        <v>817.31815041235927</v>
      </c>
      <c r="D3322" s="4"/>
      <c r="E3322" s="4"/>
    </row>
    <row r="3323" spans="1:5" x14ac:dyDescent="0.3">
      <c r="A3323" s="9">
        <v>3315</v>
      </c>
      <c r="B3323" s="10">
        <f t="shared" ca="1" si="51"/>
        <v>6.6591610204038185E-2</v>
      </c>
      <c r="C3323" s="10">
        <f ca="1">NPV(B3323,Project_FCF!C18:J18)+Project_FCF!B18</f>
        <v>1057.4444225178165</v>
      </c>
      <c r="D3323" s="4"/>
      <c r="E3323" s="4"/>
    </row>
    <row r="3324" spans="1:5" x14ac:dyDescent="0.3">
      <c r="A3324" s="9">
        <v>3316</v>
      </c>
      <c r="B3324" s="10">
        <f t="shared" ca="1" si="51"/>
        <v>9.0690012183943014E-2</v>
      </c>
      <c r="C3324" s="10">
        <f ca="1">NPV(B3324,Project_FCF!C18:J18)+Project_FCF!B18</f>
        <v>852.0823379700721</v>
      </c>
      <c r="D3324" s="4"/>
      <c r="E3324" s="4"/>
    </row>
    <row r="3325" spans="1:5" x14ac:dyDescent="0.3">
      <c r="A3325" s="9">
        <v>3317</v>
      </c>
      <c r="B3325" s="10">
        <f t="shared" ca="1" si="51"/>
        <v>7.8230775007796349E-2</v>
      </c>
      <c r="C3325" s="10">
        <f ca="1">NPV(B3325,Project_FCF!C18:J18)+Project_FCF!B18</f>
        <v>953.34001139466432</v>
      </c>
      <c r="D3325" s="4"/>
      <c r="E3325" s="4"/>
    </row>
    <row r="3326" spans="1:5" x14ac:dyDescent="0.3">
      <c r="A3326" s="9">
        <v>3318</v>
      </c>
      <c r="B3326" s="10">
        <f t="shared" ca="1" si="51"/>
        <v>9.4983768201381741E-2</v>
      </c>
      <c r="C3326" s="10">
        <f ca="1">NPV(B3326,Project_FCF!C18:J18)+Project_FCF!B18</f>
        <v>819.42542982678583</v>
      </c>
      <c r="D3326" s="4"/>
      <c r="E3326" s="4"/>
    </row>
    <row r="3327" spans="1:5" x14ac:dyDescent="0.3">
      <c r="A3327" s="9">
        <v>3319</v>
      </c>
      <c r="B3327" s="10">
        <f t="shared" ca="1" si="51"/>
        <v>6.6623062508631259E-2</v>
      </c>
      <c r="C3327" s="10">
        <f ca="1">NPV(B3327,Project_FCF!C18:J18)+Project_FCF!B18</f>
        <v>1057.1497970044566</v>
      </c>
      <c r="D3327" s="4"/>
      <c r="E3327" s="4"/>
    </row>
    <row r="3328" spans="1:5" x14ac:dyDescent="0.3">
      <c r="A3328" s="9">
        <v>3320</v>
      </c>
      <c r="B3328" s="10">
        <f t="shared" ca="1" si="51"/>
        <v>9.7138817630268798E-2</v>
      </c>
      <c r="C3328" s="10">
        <f ca="1">NPV(B3328,Project_FCF!C18:J18)+Project_FCF!B18</f>
        <v>803.44351688309689</v>
      </c>
      <c r="D3328" s="4"/>
      <c r="E3328" s="4"/>
    </row>
    <row r="3329" spans="1:5" x14ac:dyDescent="0.3">
      <c r="A3329" s="9">
        <v>3321</v>
      </c>
      <c r="B3329" s="10">
        <f t="shared" ca="1" si="51"/>
        <v>0.10074922893274342</v>
      </c>
      <c r="C3329" s="10">
        <f ca="1">NPV(B3329,Project_FCF!C18:J18)+Project_FCF!B18</f>
        <v>777.26274824226152</v>
      </c>
      <c r="D3329" s="4"/>
      <c r="E3329" s="4"/>
    </row>
    <row r="3330" spans="1:5" x14ac:dyDescent="0.3">
      <c r="A3330" s="9">
        <v>3322</v>
      </c>
      <c r="B3330" s="10">
        <f t="shared" ca="1" si="51"/>
        <v>8.4036203211118959E-2</v>
      </c>
      <c r="C3330" s="10">
        <f ca="1">NPV(B3330,Project_FCF!C18:J18)+Project_FCF!B18</f>
        <v>904.91661537200798</v>
      </c>
      <c r="D3330" s="4"/>
      <c r="E3330" s="4"/>
    </row>
    <row r="3331" spans="1:5" x14ac:dyDescent="0.3">
      <c r="A3331" s="9">
        <v>3323</v>
      </c>
      <c r="B3331" s="10">
        <f t="shared" ca="1" si="51"/>
        <v>6.6026079683994168E-2</v>
      </c>
      <c r="C3331" s="10">
        <f ca="1">NPV(B3331,Project_FCF!C18:J18)+Project_FCF!B18</f>
        <v>1062.7547247771508</v>
      </c>
      <c r="D3331" s="4"/>
      <c r="E3331" s="4"/>
    </row>
    <row r="3332" spans="1:5" x14ac:dyDescent="0.3">
      <c r="A3332" s="9">
        <v>3324</v>
      </c>
      <c r="B3332" s="10">
        <f t="shared" ca="1" si="51"/>
        <v>0.1007683327304586</v>
      </c>
      <c r="C3332" s="10">
        <f ca="1">NPV(B3332,Project_FCF!C18:J18)+Project_FCF!B18</f>
        <v>777.1261632716878</v>
      </c>
      <c r="D3332" s="4"/>
      <c r="E3332" s="4"/>
    </row>
    <row r="3333" spans="1:5" x14ac:dyDescent="0.3">
      <c r="A3333" s="9">
        <v>3325</v>
      </c>
      <c r="B3333" s="10">
        <f t="shared" ca="1" si="51"/>
        <v>6.7287210341977863E-2</v>
      </c>
      <c r="C3333" s="10">
        <f ca="1">NPV(B3333,Project_FCF!C18:J18)+Project_FCF!B18</f>
        <v>1050.945877421771</v>
      </c>
      <c r="D3333" s="4"/>
      <c r="E3333" s="4"/>
    </row>
    <row r="3334" spans="1:5" x14ac:dyDescent="0.3">
      <c r="A3334" s="9">
        <v>3326</v>
      </c>
      <c r="B3334" s="10">
        <f t="shared" ca="1" si="51"/>
        <v>7.2357839902183585E-2</v>
      </c>
      <c r="C3334" s="10">
        <f ca="1">NPV(B3334,Project_FCF!C18:J18)+Project_FCF!B18</f>
        <v>1004.6565941197459</v>
      </c>
      <c r="D3334" s="4"/>
      <c r="E3334" s="4"/>
    </row>
    <row r="3335" spans="1:5" x14ac:dyDescent="0.3">
      <c r="A3335" s="9">
        <v>3327</v>
      </c>
      <c r="B3335" s="10">
        <f t="shared" ca="1" si="51"/>
        <v>6.4668557009379096E-2</v>
      </c>
      <c r="C3335" s="10">
        <f ca="1">NPV(B3335,Project_FCF!C18:J18)+Project_FCF!B18</f>
        <v>1075.6010979277789</v>
      </c>
      <c r="D3335" s="4"/>
      <c r="E3335" s="4"/>
    </row>
    <row r="3336" spans="1:5" x14ac:dyDescent="0.3">
      <c r="A3336" s="9">
        <v>3328</v>
      </c>
      <c r="B3336" s="10">
        <f t="shared" ca="1" si="51"/>
        <v>6.4355116039898866E-2</v>
      </c>
      <c r="C3336" s="10">
        <f ca="1">NPV(B3336,Project_FCF!C18:J18)+Project_FCF!B18</f>
        <v>1078.587280946103</v>
      </c>
      <c r="D3336" s="4"/>
      <c r="E3336" s="4"/>
    </row>
    <row r="3337" spans="1:5" x14ac:dyDescent="0.3">
      <c r="A3337" s="9">
        <v>3329</v>
      </c>
      <c r="B3337" s="10">
        <f t="shared" ref="B3337:B3400" ca="1" si="52">$B$4+RAND()*($B$5-$B$4)</f>
        <v>8.0451302693728882E-2</v>
      </c>
      <c r="C3337" s="10">
        <f ca="1">NPV(B3337,Project_FCF!C18:J18)+Project_FCF!B18</f>
        <v>934.55458982546634</v>
      </c>
      <c r="D3337" s="4"/>
      <c r="E3337" s="4"/>
    </row>
    <row r="3338" spans="1:5" x14ac:dyDescent="0.3">
      <c r="A3338" s="9">
        <v>3330</v>
      </c>
      <c r="B3338" s="10">
        <f t="shared" ca="1" si="52"/>
        <v>7.7712073038361584E-2</v>
      </c>
      <c r="C3338" s="10">
        <f ca="1">NPV(B3338,Project_FCF!C18:J18)+Project_FCF!B18</f>
        <v>957.77617583820415</v>
      </c>
      <c r="D3338" s="4"/>
      <c r="E3338" s="4"/>
    </row>
    <row r="3339" spans="1:5" x14ac:dyDescent="0.3">
      <c r="A3339" s="9">
        <v>3331</v>
      </c>
      <c r="B3339" s="10">
        <f t="shared" ca="1" si="52"/>
        <v>7.1578093463332743E-2</v>
      </c>
      <c r="C3339" s="10">
        <f ca="1">NPV(B3339,Project_FCF!C18:J18)+Project_FCF!B18</f>
        <v>1011.652834936348</v>
      </c>
      <c r="D3339" s="4"/>
      <c r="E3339" s="4"/>
    </row>
    <row r="3340" spans="1:5" x14ac:dyDescent="0.3">
      <c r="A3340" s="9">
        <v>3332</v>
      </c>
      <c r="B3340" s="10">
        <f t="shared" ca="1" si="52"/>
        <v>7.2233921026291212E-2</v>
      </c>
      <c r="C3340" s="10">
        <f ca="1">NPV(B3340,Project_FCF!C18:J18)+Project_FCF!B18</f>
        <v>1005.7655320581505</v>
      </c>
      <c r="D3340" s="4"/>
      <c r="E3340" s="4"/>
    </row>
    <row r="3341" spans="1:5" x14ac:dyDescent="0.3">
      <c r="A3341" s="9">
        <v>3333</v>
      </c>
      <c r="B3341" s="10">
        <f t="shared" ca="1" si="52"/>
        <v>7.778283025543696E-2</v>
      </c>
      <c r="C3341" s="10">
        <f ca="1">NPV(B3341,Project_FCF!C18:J18)+Project_FCF!B18</f>
        <v>957.16994995438927</v>
      </c>
      <c r="D3341" s="4"/>
      <c r="E3341" s="4"/>
    </row>
    <row r="3342" spans="1:5" x14ac:dyDescent="0.3">
      <c r="A3342" s="9">
        <v>3334</v>
      </c>
      <c r="B3342" s="10">
        <f t="shared" ca="1" si="52"/>
        <v>8.1385440016382038E-2</v>
      </c>
      <c r="C3342" s="10">
        <f ca="1">NPV(B3342,Project_FCF!C18:J18)+Project_FCF!B18</f>
        <v>926.75035427255762</v>
      </c>
      <c r="D3342" s="4"/>
      <c r="E3342" s="4"/>
    </row>
    <row r="3343" spans="1:5" x14ac:dyDescent="0.3">
      <c r="A3343" s="9">
        <v>3335</v>
      </c>
      <c r="B3343" s="10">
        <f t="shared" ca="1" si="52"/>
        <v>6.5392416464251549E-2</v>
      </c>
      <c r="C3343" s="10">
        <f ca="1">NPV(B3343,Project_FCF!C18:J18)+Project_FCF!B18</f>
        <v>1068.7336312928114</v>
      </c>
      <c r="D3343" s="4"/>
      <c r="E3343" s="4"/>
    </row>
    <row r="3344" spans="1:5" x14ac:dyDescent="0.3">
      <c r="A3344" s="9">
        <v>3336</v>
      </c>
      <c r="B3344" s="10">
        <f t="shared" ca="1" si="52"/>
        <v>7.0000123196670996E-2</v>
      </c>
      <c r="C3344" s="10">
        <f ca="1">NPV(B3344,Project_FCF!C18:J18)+Project_FCF!B18</f>
        <v>1025.945631249383</v>
      </c>
      <c r="D3344" s="4"/>
      <c r="E3344" s="4"/>
    </row>
    <row r="3345" spans="1:5" x14ac:dyDescent="0.3">
      <c r="A3345" s="9">
        <v>3337</v>
      </c>
      <c r="B3345" s="10">
        <f t="shared" ca="1" si="52"/>
        <v>7.5642242259725531E-2</v>
      </c>
      <c r="C3345" s="10">
        <f ca="1">NPV(B3345,Project_FCF!C18:J18)+Project_FCF!B18</f>
        <v>975.66192291358516</v>
      </c>
      <c r="D3345" s="4"/>
      <c r="E3345" s="4"/>
    </row>
    <row r="3346" spans="1:5" x14ac:dyDescent="0.3">
      <c r="A3346" s="9">
        <v>3338</v>
      </c>
      <c r="B3346" s="10">
        <f t="shared" ca="1" si="52"/>
        <v>8.0521821926375067E-2</v>
      </c>
      <c r="C3346" s="10">
        <f ca="1">NPV(B3346,Project_FCF!C18:J18)+Project_FCF!B18</f>
        <v>933.96341712065009</v>
      </c>
      <c r="D3346" s="4"/>
      <c r="E3346" s="4"/>
    </row>
    <row r="3347" spans="1:5" x14ac:dyDescent="0.3">
      <c r="A3347" s="9">
        <v>3339</v>
      </c>
      <c r="B3347" s="10">
        <f t="shared" ca="1" si="52"/>
        <v>9.3804845567330042E-2</v>
      </c>
      <c r="C3347" s="10">
        <f ca="1">NPV(B3347,Project_FCF!C18:J18)+Project_FCF!B18</f>
        <v>828.28287272110265</v>
      </c>
      <c r="D3347" s="4"/>
      <c r="E3347" s="4"/>
    </row>
    <row r="3348" spans="1:5" x14ac:dyDescent="0.3">
      <c r="A3348" s="9">
        <v>3340</v>
      </c>
      <c r="B3348" s="10">
        <f t="shared" ca="1" si="52"/>
        <v>8.350357549986126E-2</v>
      </c>
      <c r="C3348" s="10">
        <f ca="1">NPV(B3348,Project_FCF!C18:J18)+Project_FCF!B18</f>
        <v>909.26704457979304</v>
      </c>
      <c r="D3348" s="4"/>
      <c r="E3348" s="4"/>
    </row>
    <row r="3349" spans="1:5" x14ac:dyDescent="0.3">
      <c r="A3349" s="9">
        <v>3341</v>
      </c>
      <c r="B3349" s="10">
        <f t="shared" ca="1" si="52"/>
        <v>9.7524556196113499E-2</v>
      </c>
      <c r="C3349" s="10">
        <f ca="1">NPV(B3349,Project_FCF!C18:J18)+Project_FCF!B18</f>
        <v>800.61110960024826</v>
      </c>
      <c r="D3349" s="4"/>
      <c r="E3349" s="4"/>
    </row>
    <row r="3350" spans="1:5" x14ac:dyDescent="0.3">
      <c r="A3350" s="9">
        <v>3342</v>
      </c>
      <c r="B3350" s="10">
        <f t="shared" ca="1" si="52"/>
        <v>7.4838862028914821E-2</v>
      </c>
      <c r="C3350" s="10">
        <f ca="1">NPV(B3350,Project_FCF!C18:J18)+Project_FCF!B18</f>
        <v>982.68400141585039</v>
      </c>
      <c r="D3350" s="4"/>
      <c r="E3350" s="4"/>
    </row>
    <row r="3351" spans="1:5" x14ac:dyDescent="0.3">
      <c r="A3351" s="9">
        <v>3343</v>
      </c>
      <c r="B3351" s="10">
        <f t="shared" ca="1" si="52"/>
        <v>9.3113077476487782E-2</v>
      </c>
      <c r="C3351" s="10">
        <f ca="1">NPV(B3351,Project_FCF!C18:J18)+Project_FCF!B18</f>
        <v>833.51839807500642</v>
      </c>
      <c r="D3351" s="4"/>
      <c r="E3351" s="4"/>
    </row>
    <row r="3352" spans="1:5" x14ac:dyDescent="0.3">
      <c r="A3352" s="9">
        <v>3344</v>
      </c>
      <c r="B3352" s="10">
        <f t="shared" ca="1" si="52"/>
        <v>7.5824482052357658E-2</v>
      </c>
      <c r="C3352" s="10">
        <f ca="1">NPV(B3352,Project_FCF!C18:J18)+Project_FCF!B18</f>
        <v>974.07528160870675</v>
      </c>
      <c r="D3352" s="4"/>
      <c r="E3352" s="4"/>
    </row>
    <row r="3353" spans="1:5" x14ac:dyDescent="0.3">
      <c r="A3353" s="9">
        <v>3345</v>
      </c>
      <c r="B3353" s="10">
        <f t="shared" ca="1" si="52"/>
        <v>7.3239257941752511E-2</v>
      </c>
      <c r="C3353" s="10">
        <f ca="1">NPV(B3353,Project_FCF!C18:J18)+Project_FCF!B18</f>
        <v>996.80053478221248</v>
      </c>
      <c r="D3353" s="4"/>
      <c r="E3353" s="4"/>
    </row>
    <row r="3354" spans="1:5" x14ac:dyDescent="0.3">
      <c r="A3354" s="9">
        <v>3346</v>
      </c>
      <c r="B3354" s="10">
        <f t="shared" ca="1" si="52"/>
        <v>9.4462992211443608E-2</v>
      </c>
      <c r="C3354" s="10">
        <f ca="1">NPV(B3354,Project_FCF!C18:J18)+Project_FCF!B18</f>
        <v>823.32804149461231</v>
      </c>
      <c r="D3354" s="4"/>
      <c r="E3354" s="4"/>
    </row>
    <row r="3355" spans="1:5" x14ac:dyDescent="0.3">
      <c r="A3355" s="9">
        <v>3347</v>
      </c>
      <c r="B3355" s="10">
        <f t="shared" ca="1" si="52"/>
        <v>8.2664649015444028E-2</v>
      </c>
      <c r="C3355" s="10">
        <f ca="1">NPV(B3355,Project_FCF!C18:J18)+Project_FCF!B18</f>
        <v>916.15657159101465</v>
      </c>
      <c r="D3355" s="4"/>
      <c r="E3355" s="4"/>
    </row>
    <row r="3356" spans="1:5" x14ac:dyDescent="0.3">
      <c r="A3356" s="9">
        <v>3348</v>
      </c>
      <c r="B3356" s="10">
        <f t="shared" ca="1" si="52"/>
        <v>9.3176884439432325E-2</v>
      </c>
      <c r="C3356" s="10">
        <f ca="1">NPV(B3356,Project_FCF!C18:J18)+Project_FCF!B18</f>
        <v>833.03429851671876</v>
      </c>
      <c r="D3356" s="4"/>
      <c r="E3356" s="4"/>
    </row>
    <row r="3357" spans="1:5" x14ac:dyDescent="0.3">
      <c r="A3357" s="9">
        <v>3349</v>
      </c>
      <c r="B3357" s="10">
        <f t="shared" ca="1" si="52"/>
        <v>9.5263603936677987E-2</v>
      </c>
      <c r="C3357" s="10">
        <f ca="1">NPV(B3357,Project_FCF!C18:J18)+Project_FCF!B18</f>
        <v>817.33493669400787</v>
      </c>
      <c r="D3357" s="4"/>
      <c r="E3357" s="4"/>
    </row>
    <row r="3358" spans="1:5" x14ac:dyDescent="0.3">
      <c r="A3358" s="9">
        <v>3350</v>
      </c>
      <c r="B3358" s="10">
        <f t="shared" ca="1" si="52"/>
        <v>6.8425819196444262E-2</v>
      </c>
      <c r="C3358" s="10">
        <f ca="1">NPV(B3358,Project_FCF!C18:J18)+Project_FCF!B18</f>
        <v>1040.3868230183584</v>
      </c>
      <c r="D3358" s="4"/>
      <c r="E3358" s="4"/>
    </row>
    <row r="3359" spans="1:5" x14ac:dyDescent="0.3">
      <c r="A3359" s="9">
        <v>3351</v>
      </c>
      <c r="B3359" s="10">
        <f t="shared" ca="1" si="52"/>
        <v>7.1071424323253973E-2</v>
      </c>
      <c r="C3359" s="10">
        <f ca="1">NPV(B3359,Project_FCF!C18:J18)+Project_FCF!B18</f>
        <v>1016.2223930532512</v>
      </c>
      <c r="D3359" s="4"/>
      <c r="E3359" s="4"/>
    </row>
    <row r="3360" spans="1:5" x14ac:dyDescent="0.3">
      <c r="A3360" s="9">
        <v>3352</v>
      </c>
      <c r="B3360" s="10">
        <f t="shared" ca="1" si="52"/>
        <v>6.5480936077287666E-2</v>
      </c>
      <c r="C3360" s="10">
        <f ca="1">NPV(B3360,Project_FCF!C18:J18)+Project_FCF!B18</f>
        <v>1067.8965698778266</v>
      </c>
      <c r="D3360" s="4"/>
      <c r="E3360" s="4"/>
    </row>
    <row r="3361" spans="1:5" x14ac:dyDescent="0.3">
      <c r="A3361" s="9">
        <v>3353</v>
      </c>
      <c r="B3361" s="10">
        <f t="shared" ca="1" si="52"/>
        <v>9.9687839431646857E-2</v>
      </c>
      <c r="C3361" s="10">
        <f ca="1">NPV(B3361,Project_FCF!C18:J18)+Project_FCF!B18</f>
        <v>784.88322068539264</v>
      </c>
      <c r="D3361" s="4"/>
      <c r="E3361" s="4"/>
    </row>
    <row r="3362" spans="1:5" x14ac:dyDescent="0.3">
      <c r="A3362" s="9">
        <v>3354</v>
      </c>
      <c r="B3362" s="10">
        <f t="shared" ca="1" si="52"/>
        <v>7.4302507111109889E-2</v>
      </c>
      <c r="C3362" s="10">
        <f ca="1">NPV(B3362,Project_FCF!C18:J18)+Project_FCF!B18</f>
        <v>987.39724327593058</v>
      </c>
      <c r="D3362" s="4"/>
      <c r="E3362" s="4"/>
    </row>
    <row r="3363" spans="1:5" x14ac:dyDescent="0.3">
      <c r="A3363" s="9">
        <v>3355</v>
      </c>
      <c r="B3363" s="10">
        <f t="shared" ca="1" si="52"/>
        <v>7.6364294462681406E-2</v>
      </c>
      <c r="C3363" s="10">
        <f ca="1">NPV(B3363,Project_FCF!C18:J18)+Project_FCF!B18</f>
        <v>969.38900490662741</v>
      </c>
      <c r="D3363" s="4"/>
      <c r="E3363" s="4"/>
    </row>
    <row r="3364" spans="1:5" x14ac:dyDescent="0.3">
      <c r="A3364" s="9">
        <v>3356</v>
      </c>
      <c r="B3364" s="10">
        <f t="shared" ca="1" si="52"/>
        <v>9.9058169995869055E-2</v>
      </c>
      <c r="C3364" s="10">
        <f ca="1">NPV(B3364,Project_FCF!C18:J18)+Project_FCF!B18</f>
        <v>789.43386947912086</v>
      </c>
      <c r="D3364" s="4"/>
      <c r="E3364" s="4"/>
    </row>
    <row r="3365" spans="1:5" x14ac:dyDescent="0.3">
      <c r="A3365" s="9">
        <v>3357</v>
      </c>
      <c r="B3365" s="10">
        <f t="shared" ca="1" si="52"/>
        <v>8.4141371569771833E-2</v>
      </c>
      <c r="C3365" s="10">
        <f ca="1">NPV(B3365,Project_FCF!C18:J18)+Project_FCF!B18</f>
        <v>904.05977913273819</v>
      </c>
      <c r="D3365" s="4"/>
      <c r="E3365" s="4"/>
    </row>
    <row r="3366" spans="1:5" x14ac:dyDescent="0.3">
      <c r="A3366" s="9">
        <v>3358</v>
      </c>
      <c r="B3366" s="10">
        <f t="shared" ca="1" si="52"/>
        <v>8.5528999785556892E-2</v>
      </c>
      <c r="C3366" s="10">
        <f ca="1">NPV(B3366,Project_FCF!C18:J18)+Project_FCF!B18</f>
        <v>892.82081556178196</v>
      </c>
      <c r="D3366" s="4"/>
      <c r="E3366" s="4"/>
    </row>
    <row r="3367" spans="1:5" x14ac:dyDescent="0.3">
      <c r="A3367" s="9">
        <v>3359</v>
      </c>
      <c r="B3367" s="10">
        <f t="shared" ca="1" si="52"/>
        <v>8.6024700043087071E-2</v>
      </c>
      <c r="C3367" s="10">
        <f ca="1">NPV(B3367,Project_FCF!C18:J18)+Project_FCF!B18</f>
        <v>888.83570127970756</v>
      </c>
      <c r="D3367" s="4"/>
      <c r="E3367" s="4"/>
    </row>
    <row r="3368" spans="1:5" x14ac:dyDescent="0.3">
      <c r="A3368" s="9">
        <v>3360</v>
      </c>
      <c r="B3368" s="10">
        <f t="shared" ca="1" si="52"/>
        <v>8.9499840660429583E-2</v>
      </c>
      <c r="C3368" s="10">
        <f ca="1">NPV(B3368,Project_FCF!C18:J18)+Project_FCF!B18</f>
        <v>861.3307344967518</v>
      </c>
      <c r="D3368" s="4"/>
      <c r="E3368" s="4"/>
    </row>
    <row r="3369" spans="1:5" x14ac:dyDescent="0.3">
      <c r="A3369" s="9">
        <v>3361</v>
      </c>
      <c r="B3369" s="10">
        <f t="shared" ca="1" si="52"/>
        <v>9.0500273599926712E-2</v>
      </c>
      <c r="C3369" s="10">
        <f ca="1">NPV(B3369,Project_FCF!C18:J18)+Project_FCF!B18</f>
        <v>853.55094193621949</v>
      </c>
      <c r="D3369" s="4"/>
      <c r="E3369" s="4"/>
    </row>
    <row r="3370" spans="1:5" x14ac:dyDescent="0.3">
      <c r="A3370" s="9">
        <v>3362</v>
      </c>
      <c r="B3370" s="10">
        <f t="shared" ca="1" si="52"/>
        <v>7.6607731901033385E-2</v>
      </c>
      <c r="C3370" s="10">
        <f ca="1">NPV(B3370,Project_FCF!C18:J18)+Project_FCF!B18</f>
        <v>967.28224107600317</v>
      </c>
      <c r="D3370" s="4"/>
      <c r="E3370" s="4"/>
    </row>
    <row r="3371" spans="1:5" x14ac:dyDescent="0.3">
      <c r="A3371" s="9">
        <v>3363</v>
      </c>
      <c r="B3371" s="10">
        <f t="shared" ca="1" si="52"/>
        <v>0.10170930985603267</v>
      </c>
      <c r="C3371" s="10">
        <f ca="1">NPV(B3371,Project_FCF!C18:J18)+Project_FCF!B18</f>
        <v>770.42353925610882</v>
      </c>
      <c r="D3371" s="4"/>
      <c r="E3371" s="4"/>
    </row>
    <row r="3372" spans="1:5" x14ac:dyDescent="0.3">
      <c r="A3372" s="9">
        <v>3364</v>
      </c>
      <c r="B3372" s="10">
        <f t="shared" ca="1" si="52"/>
        <v>9.4800274297466819E-2</v>
      </c>
      <c r="C3372" s="10">
        <f ca="1">NPV(B3372,Project_FCF!C18:J18)+Project_FCF!B18</f>
        <v>820.79869155240567</v>
      </c>
      <c r="D3372" s="4"/>
      <c r="E3372" s="4"/>
    </row>
    <row r="3373" spans="1:5" x14ac:dyDescent="0.3">
      <c r="A3373" s="9">
        <v>3365</v>
      </c>
      <c r="B3373" s="10">
        <f t="shared" ca="1" si="52"/>
        <v>9.0958761662613657E-2</v>
      </c>
      <c r="C3373" s="10">
        <f ca="1">NPV(B3373,Project_FCF!C18:J18)+Project_FCF!B18</f>
        <v>850.0059182578168</v>
      </c>
      <c r="D3373" s="4"/>
      <c r="E3373" s="4"/>
    </row>
    <row r="3374" spans="1:5" x14ac:dyDescent="0.3">
      <c r="A3374" s="9">
        <v>3366</v>
      </c>
      <c r="B3374" s="10">
        <f t="shared" ca="1" si="52"/>
        <v>7.9809202426729745E-2</v>
      </c>
      <c r="C3374" s="10">
        <f ca="1">NPV(B3374,Project_FCF!C18:J18)+Project_FCF!B18</f>
        <v>939.95266291302141</v>
      </c>
      <c r="D3374" s="4"/>
      <c r="E3374" s="4"/>
    </row>
    <row r="3375" spans="1:5" x14ac:dyDescent="0.3">
      <c r="A3375" s="9">
        <v>3367</v>
      </c>
      <c r="B3375" s="10">
        <f t="shared" ca="1" si="52"/>
        <v>6.4033266025359109E-2</v>
      </c>
      <c r="C3375" s="10">
        <f ca="1">NPV(B3375,Project_FCF!C18:J18)+Project_FCF!B18</f>
        <v>1081.6614567678241</v>
      </c>
      <c r="D3375" s="4"/>
      <c r="E3375" s="4"/>
    </row>
    <row r="3376" spans="1:5" x14ac:dyDescent="0.3">
      <c r="A3376" s="9">
        <v>3368</v>
      </c>
      <c r="B3376" s="10">
        <f t="shared" ca="1" si="52"/>
        <v>7.7580390356022974E-2</v>
      </c>
      <c r="C3376" s="10">
        <f ca="1">NPV(B3376,Project_FCF!C18:J18)+Project_FCF!B18</f>
        <v>958.90530187109789</v>
      </c>
      <c r="D3376" s="4"/>
      <c r="E3376" s="4"/>
    </row>
    <row r="3377" spans="1:5" x14ac:dyDescent="0.3">
      <c r="A3377" s="9">
        <v>3369</v>
      </c>
      <c r="B3377" s="10">
        <f t="shared" ca="1" si="52"/>
        <v>8.4061232353878676E-2</v>
      </c>
      <c r="C3377" s="10">
        <f ca="1">NPV(B3377,Project_FCF!C18:J18)+Project_FCF!B18</f>
        <v>904.71263128359283</v>
      </c>
      <c r="D3377" s="4"/>
      <c r="E3377" s="4"/>
    </row>
    <row r="3378" spans="1:5" x14ac:dyDescent="0.3">
      <c r="A3378" s="9">
        <v>3370</v>
      </c>
      <c r="B3378" s="10">
        <f t="shared" ca="1" si="52"/>
        <v>8.6699268562655044E-2</v>
      </c>
      <c r="C3378" s="10">
        <f ca="1">NPV(B3378,Project_FCF!C18:J18)+Project_FCF!B18</f>
        <v>883.43757582001376</v>
      </c>
      <c r="D3378" s="4"/>
      <c r="E3378" s="4"/>
    </row>
    <row r="3379" spans="1:5" x14ac:dyDescent="0.3">
      <c r="A3379" s="9">
        <v>3371</v>
      </c>
      <c r="B3379" s="10">
        <f t="shared" ca="1" si="52"/>
        <v>7.5318788653389646E-2</v>
      </c>
      <c r="C3379" s="10">
        <f ca="1">NPV(B3379,Project_FCF!C18:J18)+Project_FCF!B18</f>
        <v>978.48370807496281</v>
      </c>
      <c r="D3379" s="4"/>
      <c r="E3379" s="4"/>
    </row>
    <row r="3380" spans="1:5" x14ac:dyDescent="0.3">
      <c r="A3380" s="9">
        <v>3372</v>
      </c>
      <c r="B3380" s="10">
        <f t="shared" ca="1" si="52"/>
        <v>9.6413515284436258E-2</v>
      </c>
      <c r="C3380" s="10">
        <f ca="1">NPV(B3380,Project_FCF!C18:J18)+Project_FCF!B18</f>
        <v>808.79240111607533</v>
      </c>
      <c r="D3380" s="4"/>
      <c r="E3380" s="4"/>
    </row>
    <row r="3381" spans="1:5" x14ac:dyDescent="0.3">
      <c r="A3381" s="9">
        <v>3373</v>
      </c>
      <c r="B3381" s="10">
        <f t="shared" ca="1" si="52"/>
        <v>9.8764276734936041E-2</v>
      </c>
      <c r="C3381" s="10">
        <f ca="1">NPV(B3381,Project_FCF!C18:J18)+Project_FCF!B18</f>
        <v>791.5654906304967</v>
      </c>
      <c r="D3381" s="4"/>
      <c r="E3381" s="4"/>
    </row>
    <row r="3382" spans="1:5" x14ac:dyDescent="0.3">
      <c r="A3382" s="9">
        <v>3374</v>
      </c>
      <c r="B3382" s="10">
        <f t="shared" ca="1" si="52"/>
        <v>8.0498393572224491E-2</v>
      </c>
      <c r="C3382" s="10">
        <f ca="1">NPV(B3382,Project_FCF!C18:J18)+Project_FCF!B18</f>
        <v>934.15978362128226</v>
      </c>
      <c r="D3382" s="4"/>
      <c r="E3382" s="4"/>
    </row>
    <row r="3383" spans="1:5" x14ac:dyDescent="0.3">
      <c r="A3383" s="9">
        <v>3375</v>
      </c>
      <c r="B3383" s="10">
        <f t="shared" ca="1" si="52"/>
        <v>6.5276776852423682E-2</v>
      </c>
      <c r="C3383" s="10">
        <f ca="1">NPV(B3383,Project_FCF!C18:J18)+Project_FCF!B18</f>
        <v>1069.8280467163818</v>
      </c>
      <c r="D3383" s="4"/>
      <c r="E3383" s="4"/>
    </row>
    <row r="3384" spans="1:5" x14ac:dyDescent="0.3">
      <c r="A3384" s="9">
        <v>3376</v>
      </c>
      <c r="B3384" s="10">
        <f t="shared" ca="1" si="52"/>
        <v>7.367414273138205E-2</v>
      </c>
      <c r="C3384" s="10">
        <f ca="1">NPV(B3384,Project_FCF!C18:J18)+Project_FCF!B18</f>
        <v>992.94478287043671</v>
      </c>
      <c r="D3384" s="4"/>
      <c r="E3384" s="4"/>
    </row>
    <row r="3385" spans="1:5" x14ac:dyDescent="0.3">
      <c r="A3385" s="9">
        <v>3377</v>
      </c>
      <c r="B3385" s="10">
        <f t="shared" ca="1" si="52"/>
        <v>8.1715281286038693E-2</v>
      </c>
      <c r="C3385" s="10">
        <f ca="1">NPV(B3385,Project_FCF!C18:J18)+Project_FCF!B18</f>
        <v>924.00848533698445</v>
      </c>
      <c r="D3385" s="4"/>
      <c r="E3385" s="4"/>
    </row>
    <row r="3386" spans="1:5" x14ac:dyDescent="0.3">
      <c r="A3386" s="9">
        <v>3378</v>
      </c>
      <c r="B3386" s="10">
        <f t="shared" ca="1" si="52"/>
        <v>6.4129810674829674E-2</v>
      </c>
      <c r="C3386" s="10">
        <f ca="1">NPV(B3386,Project_FCF!C18:J18)+Project_FCF!B18</f>
        <v>1080.7384633509034</v>
      </c>
      <c r="D3386" s="4"/>
      <c r="E3386" s="4"/>
    </row>
    <row r="3387" spans="1:5" x14ac:dyDescent="0.3">
      <c r="A3387" s="9">
        <v>3379</v>
      </c>
      <c r="B3387" s="10">
        <f t="shared" ca="1" si="52"/>
        <v>0.1020518908162163</v>
      </c>
      <c r="C3387" s="10">
        <f ca="1">NPV(B3387,Project_FCF!C18:J18)+Project_FCF!B18</f>
        <v>767.99544499848798</v>
      </c>
      <c r="D3387" s="4"/>
      <c r="E3387" s="4"/>
    </row>
    <row r="3388" spans="1:5" x14ac:dyDescent="0.3">
      <c r="A3388" s="9">
        <v>3380</v>
      </c>
      <c r="B3388" s="10">
        <f t="shared" ca="1" si="52"/>
        <v>7.6887304358281505E-2</v>
      </c>
      <c r="C3388" s="10">
        <f ca="1">NPV(B3388,Project_FCF!C18:J18)+Project_FCF!B18</f>
        <v>964.86779466276585</v>
      </c>
      <c r="D3388" s="4"/>
      <c r="E3388" s="4"/>
    </row>
    <row r="3389" spans="1:5" x14ac:dyDescent="0.3">
      <c r="A3389" s="9">
        <v>3381</v>
      </c>
      <c r="B3389" s="10">
        <f t="shared" ca="1" si="52"/>
        <v>6.6623531342980435E-2</v>
      </c>
      <c r="C3389" s="10">
        <f ca="1">NPV(B3389,Project_FCF!C18:J18)+Project_FCF!B18</f>
        <v>1057.1454058224376</v>
      </c>
      <c r="D3389" s="4"/>
      <c r="E3389" s="4"/>
    </row>
    <row r="3390" spans="1:5" x14ac:dyDescent="0.3">
      <c r="A3390" s="9">
        <v>3382</v>
      </c>
      <c r="B3390" s="10">
        <f t="shared" ca="1" si="52"/>
        <v>0.10240988707709198</v>
      </c>
      <c r="C3390" s="10">
        <f ca="1">NPV(B3390,Project_FCF!C18:J18)+Project_FCF!B18</f>
        <v>765.46497534079617</v>
      </c>
      <c r="D3390" s="4"/>
      <c r="E3390" s="4"/>
    </row>
    <row r="3391" spans="1:5" x14ac:dyDescent="0.3">
      <c r="A3391" s="9">
        <v>3383</v>
      </c>
      <c r="B3391" s="10">
        <f t="shared" ca="1" si="52"/>
        <v>7.9946731183219835E-2</v>
      </c>
      <c r="C3391" s="10">
        <f ca="1">NPV(B3391,Project_FCF!C18:J18)+Project_FCF!B18</f>
        <v>938.79415472971687</v>
      </c>
      <c r="D3391" s="4"/>
      <c r="E3391" s="4"/>
    </row>
    <row r="3392" spans="1:5" x14ac:dyDescent="0.3">
      <c r="A3392" s="9">
        <v>3384</v>
      </c>
      <c r="B3392" s="10">
        <f t="shared" ca="1" si="52"/>
        <v>8.7494068172913747E-2</v>
      </c>
      <c r="C3392" s="10">
        <f ca="1">NPV(B3392,Project_FCF!C18:J18)+Project_FCF!B18</f>
        <v>877.11405232481775</v>
      </c>
      <c r="D3392" s="4"/>
      <c r="E3392" s="4"/>
    </row>
    <row r="3393" spans="1:5" x14ac:dyDescent="0.3">
      <c r="A3393" s="9">
        <v>3385</v>
      </c>
      <c r="B3393" s="10">
        <f t="shared" ca="1" si="52"/>
        <v>6.5917336471818508E-2</v>
      </c>
      <c r="C3393" s="10">
        <f ca="1">NPV(B3393,Project_FCF!C18:J18)+Project_FCF!B18</f>
        <v>1063.7785964326035</v>
      </c>
      <c r="D3393" s="4"/>
      <c r="E3393" s="4"/>
    </row>
    <row r="3394" spans="1:5" x14ac:dyDescent="0.3">
      <c r="A3394" s="9">
        <v>3386</v>
      </c>
      <c r="B3394" s="10">
        <f t="shared" ca="1" si="52"/>
        <v>7.2171402055506803E-2</v>
      </c>
      <c r="C3394" s="10">
        <f ca="1">NPV(B3394,Project_FCF!C18:J18)+Project_FCF!B18</f>
        <v>1006.3254260954157</v>
      </c>
      <c r="D3394" s="4"/>
      <c r="E3394" s="4"/>
    </row>
    <row r="3395" spans="1:5" x14ac:dyDescent="0.3">
      <c r="A3395" s="9">
        <v>3387</v>
      </c>
      <c r="B3395" s="10">
        <f t="shared" ca="1" si="52"/>
        <v>8.6806234778141034E-2</v>
      </c>
      <c r="C3395" s="10">
        <f ca="1">NPV(B3395,Project_FCF!C18:J18)+Project_FCF!B18</f>
        <v>882.58423074406119</v>
      </c>
      <c r="D3395" s="4"/>
      <c r="E3395" s="4"/>
    </row>
    <row r="3396" spans="1:5" x14ac:dyDescent="0.3">
      <c r="A3396" s="9">
        <v>3388</v>
      </c>
      <c r="B3396" s="10">
        <f t="shared" ca="1" si="52"/>
        <v>7.4137745685707399E-2</v>
      </c>
      <c r="C3396" s="10">
        <f ca="1">NPV(B3396,Project_FCF!C18:J18)+Project_FCF!B18</f>
        <v>988.84915168370503</v>
      </c>
      <c r="D3396" s="4"/>
      <c r="E3396" s="4"/>
    </row>
    <row r="3397" spans="1:5" x14ac:dyDescent="0.3">
      <c r="A3397" s="9">
        <v>3389</v>
      </c>
      <c r="B3397" s="10">
        <f t="shared" ca="1" si="52"/>
        <v>9.0628035081165514E-2</v>
      </c>
      <c r="C3397" s="10">
        <f ca="1">NPV(B3397,Project_FCF!C18:J18)+Project_FCF!B18</f>
        <v>852.56180909677732</v>
      </c>
      <c r="D3397" s="4"/>
      <c r="E3397" s="4"/>
    </row>
    <row r="3398" spans="1:5" x14ac:dyDescent="0.3">
      <c r="A3398" s="9">
        <v>3390</v>
      </c>
      <c r="B3398" s="10">
        <f t="shared" ca="1" si="52"/>
        <v>7.0319648704848095E-2</v>
      </c>
      <c r="C3398" s="10">
        <f ca="1">NPV(B3398,Project_FCF!C18:J18)+Project_FCF!B18</f>
        <v>1023.0368319789495</v>
      </c>
      <c r="D3398" s="4"/>
      <c r="E3398" s="4"/>
    </row>
    <row r="3399" spans="1:5" x14ac:dyDescent="0.3">
      <c r="A3399" s="9">
        <v>3391</v>
      </c>
      <c r="B3399" s="10">
        <f t="shared" ca="1" si="52"/>
        <v>8.9836516513079404E-2</v>
      </c>
      <c r="C3399" s="10">
        <f ca="1">NPV(B3399,Project_FCF!C18:J18)+Project_FCF!B18</f>
        <v>858.70576994813291</v>
      </c>
      <c r="D3399" s="4"/>
      <c r="E3399" s="4"/>
    </row>
    <row r="3400" spans="1:5" x14ac:dyDescent="0.3">
      <c r="A3400" s="9">
        <v>3392</v>
      </c>
      <c r="B3400" s="10">
        <f t="shared" ca="1" si="52"/>
        <v>8.399914412954429E-2</v>
      </c>
      <c r="C3400" s="10">
        <f ca="1">NPV(B3400,Project_FCF!C18:J18)+Project_FCF!B18</f>
        <v>905.21871596639699</v>
      </c>
      <c r="D3400" s="4"/>
      <c r="E3400" s="4"/>
    </row>
    <row r="3401" spans="1:5" x14ac:dyDescent="0.3">
      <c r="A3401" s="9">
        <v>3393</v>
      </c>
      <c r="B3401" s="10">
        <f t="shared" ref="B3401:B3464" ca="1" si="53">$B$4+RAND()*($B$5-$B$4)</f>
        <v>7.3344476366782527E-2</v>
      </c>
      <c r="C3401" s="10">
        <f ca="1">NPV(B3401,Project_FCF!C18:J18)+Project_FCF!B18</f>
        <v>995.86642247437521</v>
      </c>
      <c r="D3401" s="4"/>
      <c r="E3401" s="4"/>
    </row>
    <row r="3402" spans="1:5" x14ac:dyDescent="0.3">
      <c r="A3402" s="9">
        <v>3394</v>
      </c>
      <c r="B3402" s="10">
        <f t="shared" ca="1" si="53"/>
        <v>7.7435547765783569E-2</v>
      </c>
      <c r="C3402" s="10">
        <f ca="1">NPV(B3402,Project_FCF!C18:J18)+Project_FCF!B18</f>
        <v>960.1486369990605</v>
      </c>
      <c r="D3402" s="4"/>
      <c r="E3402" s="4"/>
    </row>
    <row r="3403" spans="1:5" x14ac:dyDescent="0.3">
      <c r="A3403" s="9">
        <v>3395</v>
      </c>
      <c r="B3403" s="10">
        <f t="shared" ca="1" si="53"/>
        <v>9.5283405615513184E-2</v>
      </c>
      <c r="C3403" s="10">
        <f ca="1">NPV(B3403,Project_FCF!C18:J18)+Project_FCF!B18</f>
        <v>817.18718271749481</v>
      </c>
      <c r="D3403" s="4"/>
      <c r="E3403" s="4"/>
    </row>
    <row r="3404" spans="1:5" x14ac:dyDescent="0.3">
      <c r="A3404" s="9">
        <v>3396</v>
      </c>
      <c r="B3404" s="10">
        <f t="shared" ca="1" si="53"/>
        <v>7.3763508433224323E-2</v>
      </c>
      <c r="C3404" s="10">
        <f ca="1">NPV(B3404,Project_FCF!C18:J18)+Project_FCF!B18</f>
        <v>992.15411329704398</v>
      </c>
      <c r="D3404" s="4"/>
      <c r="E3404" s="4"/>
    </row>
    <row r="3405" spans="1:5" x14ac:dyDescent="0.3">
      <c r="A3405" s="9">
        <v>3397</v>
      </c>
      <c r="B3405" s="10">
        <f t="shared" ca="1" si="53"/>
        <v>7.7990138317094601E-2</v>
      </c>
      <c r="C3405" s="10">
        <f ca="1">NPV(B3405,Project_FCF!C18:J18)+Project_FCF!B18</f>
        <v>955.39576343683348</v>
      </c>
      <c r="D3405" s="4"/>
      <c r="E3405" s="4"/>
    </row>
    <row r="3406" spans="1:5" x14ac:dyDescent="0.3">
      <c r="A3406" s="9">
        <v>3398</v>
      </c>
      <c r="B3406" s="10">
        <f t="shared" ca="1" si="53"/>
        <v>8.7537052974062182E-2</v>
      </c>
      <c r="C3406" s="10">
        <f ca="1">NPV(B3406,Project_FCF!C18:J18)+Project_FCF!B18</f>
        <v>876.77318751110101</v>
      </c>
      <c r="D3406" s="4"/>
      <c r="E3406" s="4"/>
    </row>
    <row r="3407" spans="1:5" x14ac:dyDescent="0.3">
      <c r="A3407" s="9">
        <v>3399</v>
      </c>
      <c r="B3407" s="10">
        <f t="shared" ca="1" si="53"/>
        <v>8.8799459828698135E-2</v>
      </c>
      <c r="C3407" s="10">
        <f ca="1">NPV(B3407,Project_FCF!C18:J18)+Project_FCF!B18</f>
        <v>866.8137130757957</v>
      </c>
      <c r="D3407" s="4"/>
      <c r="E3407" s="4"/>
    </row>
    <row r="3408" spans="1:5" x14ac:dyDescent="0.3">
      <c r="A3408" s="9">
        <v>3400</v>
      </c>
      <c r="B3408" s="10">
        <f t="shared" ca="1" si="53"/>
        <v>7.7712363390844447E-2</v>
      </c>
      <c r="C3408" s="10">
        <f ca="1">NPV(B3408,Project_FCF!C18:J18)+Project_FCF!B18</f>
        <v>957.77368749030961</v>
      </c>
      <c r="D3408" s="4"/>
      <c r="E3408" s="4"/>
    </row>
    <row r="3409" spans="1:5" x14ac:dyDescent="0.3">
      <c r="A3409" s="9">
        <v>3401</v>
      </c>
      <c r="B3409" s="10">
        <f t="shared" ca="1" si="53"/>
        <v>7.6620564925147502E-2</v>
      </c>
      <c r="C3409" s="10">
        <f ca="1">NPV(B3409,Project_FCF!C18:J18)+Project_FCF!B18</f>
        <v>967.17129453028178</v>
      </c>
      <c r="D3409" s="4"/>
      <c r="E3409" s="4"/>
    </row>
    <row r="3410" spans="1:5" x14ac:dyDescent="0.3">
      <c r="A3410" s="9">
        <v>3402</v>
      </c>
      <c r="B3410" s="10">
        <f t="shared" ca="1" si="53"/>
        <v>9.0665043536724194E-2</v>
      </c>
      <c r="C3410" s="10">
        <f ca="1">NPV(B3410,Project_FCF!C18:J18)+Project_FCF!B18</f>
        <v>852.27547391456028</v>
      </c>
      <c r="D3410" s="4"/>
      <c r="E3410" s="4"/>
    </row>
    <row r="3411" spans="1:5" x14ac:dyDescent="0.3">
      <c r="A3411" s="9">
        <v>3403</v>
      </c>
      <c r="B3411" s="10">
        <f t="shared" ca="1" si="53"/>
        <v>8.7539054210287098E-2</v>
      </c>
      <c r="C3411" s="10">
        <f ca="1">NPV(B3411,Project_FCF!C18:J18)+Project_FCF!B18</f>
        <v>876.75732073650579</v>
      </c>
      <c r="D3411" s="4"/>
      <c r="E3411" s="4"/>
    </row>
    <row r="3412" spans="1:5" x14ac:dyDescent="0.3">
      <c r="A3412" s="9">
        <v>3404</v>
      </c>
      <c r="B3412" s="10">
        <f t="shared" ca="1" si="53"/>
        <v>6.9174731138207435E-2</v>
      </c>
      <c r="C3412" s="10">
        <f ca="1">NPV(B3412,Project_FCF!C18:J18)+Project_FCF!B18</f>
        <v>1033.494219491788</v>
      </c>
      <c r="D3412" s="4"/>
      <c r="E3412" s="4"/>
    </row>
    <row r="3413" spans="1:5" x14ac:dyDescent="0.3">
      <c r="A3413" s="9">
        <v>3405</v>
      </c>
      <c r="B3413" s="10">
        <f t="shared" ca="1" si="53"/>
        <v>0.10151681263237849</v>
      </c>
      <c r="C3413" s="10">
        <f ca="1">NPV(B3413,Project_FCF!C18:J18)+Project_FCF!B18</f>
        <v>771.79072650517583</v>
      </c>
      <c r="D3413" s="4"/>
      <c r="E3413" s="4"/>
    </row>
    <row r="3414" spans="1:5" x14ac:dyDescent="0.3">
      <c r="A3414" s="9">
        <v>3406</v>
      </c>
      <c r="B3414" s="10">
        <f t="shared" ca="1" si="53"/>
        <v>0.102306332980914</v>
      </c>
      <c r="C3414" s="10">
        <f ca="1">NPV(B3414,Project_FCF!C18:J18)+Project_FCF!B18</f>
        <v>766.19621786700304</v>
      </c>
      <c r="D3414" s="4"/>
      <c r="E3414" s="4"/>
    </row>
    <row r="3415" spans="1:5" x14ac:dyDescent="0.3">
      <c r="A3415" s="9">
        <v>3407</v>
      </c>
      <c r="B3415" s="10">
        <f t="shared" ca="1" si="53"/>
        <v>0.10093312744357701</v>
      </c>
      <c r="C3415" s="10">
        <f ca="1">NPV(B3415,Project_FCF!C18:J18)+Project_FCF!B18</f>
        <v>775.94878388363986</v>
      </c>
      <c r="D3415" s="4"/>
      <c r="E3415" s="4"/>
    </row>
    <row r="3416" spans="1:5" x14ac:dyDescent="0.3">
      <c r="A3416" s="9">
        <v>3408</v>
      </c>
      <c r="B3416" s="10">
        <f t="shared" ca="1" si="53"/>
        <v>9.4538924117226961E-2</v>
      </c>
      <c r="C3416" s="10">
        <f ca="1">NPV(B3416,Project_FCF!C18:J18)+Project_FCF!B18</f>
        <v>822.75803018954866</v>
      </c>
      <c r="D3416" s="4"/>
      <c r="E3416" s="4"/>
    </row>
    <row r="3417" spans="1:5" x14ac:dyDescent="0.3">
      <c r="A3417" s="9">
        <v>3409</v>
      </c>
      <c r="B3417" s="10">
        <f t="shared" ca="1" si="53"/>
        <v>7.6471688368145274E-2</v>
      </c>
      <c r="C3417" s="10">
        <f ca="1">NPV(B3417,Project_FCF!C18:J18)+Project_FCF!B18</f>
        <v>968.45908918656551</v>
      </c>
      <c r="D3417" s="4"/>
      <c r="E3417" s="4"/>
    </row>
    <row r="3418" spans="1:5" x14ac:dyDescent="0.3">
      <c r="A3418" s="9">
        <v>3410</v>
      </c>
      <c r="B3418" s="10">
        <f t="shared" ca="1" si="53"/>
        <v>6.4942238352633727E-2</v>
      </c>
      <c r="C3418" s="10">
        <f ca="1">NPV(B3418,Project_FCF!C18:J18)+Project_FCF!B18</f>
        <v>1072.9998834305941</v>
      </c>
      <c r="D3418" s="4"/>
      <c r="E3418" s="4"/>
    </row>
    <row r="3419" spans="1:5" x14ac:dyDescent="0.3">
      <c r="A3419" s="9">
        <v>3411</v>
      </c>
      <c r="B3419" s="10">
        <f t="shared" ca="1" si="53"/>
        <v>8.7392159721849577E-2</v>
      </c>
      <c r="C3419" s="10">
        <f ca="1">NPV(B3419,Project_FCF!C18:J18)+Project_FCF!B18</f>
        <v>877.92263666423241</v>
      </c>
      <c r="D3419" s="4"/>
      <c r="E3419" s="4"/>
    </row>
    <row r="3420" spans="1:5" x14ac:dyDescent="0.3">
      <c r="A3420" s="9">
        <v>3412</v>
      </c>
      <c r="B3420" s="10">
        <f t="shared" ca="1" si="53"/>
        <v>9.6406398587621484E-2</v>
      </c>
      <c r="C3420" s="10">
        <f ca="1">NPV(B3420,Project_FCF!C18:J18)+Project_FCF!B18</f>
        <v>808.84503465018634</v>
      </c>
      <c r="D3420" s="4"/>
      <c r="E3420" s="4"/>
    </row>
    <row r="3421" spans="1:5" x14ac:dyDescent="0.3">
      <c r="A3421" s="9">
        <v>3413</v>
      </c>
      <c r="B3421" s="10">
        <f t="shared" ca="1" si="53"/>
        <v>8.606459276297726E-2</v>
      </c>
      <c r="C3421" s="10">
        <f ca="1">NPV(B3421,Project_FCF!C18:J18)+Project_FCF!B18</f>
        <v>888.51566649032407</v>
      </c>
      <c r="D3421" s="4"/>
      <c r="E3421" s="4"/>
    </row>
    <row r="3422" spans="1:5" x14ac:dyDescent="0.3">
      <c r="A3422" s="9">
        <v>3414</v>
      </c>
      <c r="B3422" s="10">
        <f t="shared" ca="1" si="53"/>
        <v>7.5072402095541363E-2</v>
      </c>
      <c r="C3422" s="10">
        <f ca="1">NPV(B3422,Project_FCF!C18:J18)+Project_FCF!B18</f>
        <v>980.6380600528048</v>
      </c>
      <c r="D3422" s="4"/>
      <c r="E3422" s="4"/>
    </row>
    <row r="3423" spans="1:5" x14ac:dyDescent="0.3">
      <c r="A3423" s="9">
        <v>3415</v>
      </c>
      <c r="B3423" s="10">
        <f t="shared" ca="1" si="53"/>
        <v>6.6516303160164644E-2</v>
      </c>
      <c r="C3423" s="10">
        <f ca="1">NPV(B3423,Project_FCF!C18:J18)+Project_FCF!B18</f>
        <v>1058.1501553459063</v>
      </c>
      <c r="D3423" s="4"/>
      <c r="E3423" s="4"/>
    </row>
    <row r="3424" spans="1:5" x14ac:dyDescent="0.3">
      <c r="A3424" s="9">
        <v>3416</v>
      </c>
      <c r="B3424" s="10">
        <f t="shared" ca="1" si="53"/>
        <v>8.7311074420260537E-2</v>
      </c>
      <c r="C3424" s="10">
        <f ca="1">NPV(B3424,Project_FCF!C18:J18)+Project_FCF!B18</f>
        <v>878.56646535288041</v>
      </c>
      <c r="D3424" s="4"/>
      <c r="E3424" s="4"/>
    </row>
    <row r="3425" spans="1:5" x14ac:dyDescent="0.3">
      <c r="A3425" s="9">
        <v>3417</v>
      </c>
      <c r="B3425" s="10">
        <f t="shared" ca="1" si="53"/>
        <v>9.4942185200736037E-2</v>
      </c>
      <c r="C3425" s="10">
        <f ca="1">NPV(B3425,Project_FCF!C18:J18)+Project_FCF!B18</f>
        <v>819.73646295643357</v>
      </c>
      <c r="D3425" s="4"/>
      <c r="E3425" s="4"/>
    </row>
    <row r="3426" spans="1:5" x14ac:dyDescent="0.3">
      <c r="A3426" s="9">
        <v>3418</v>
      </c>
      <c r="B3426" s="10">
        <f t="shared" ca="1" si="53"/>
        <v>8.8931914485088054E-2</v>
      </c>
      <c r="C3426" s="10">
        <f ca="1">NPV(B3426,Project_FCF!C18:J18)+Project_FCF!B18</f>
        <v>865.77446591778448</v>
      </c>
      <c r="D3426" s="4"/>
      <c r="E3426" s="4"/>
    </row>
    <row r="3427" spans="1:5" x14ac:dyDescent="0.3">
      <c r="A3427" s="9">
        <v>3419</v>
      </c>
      <c r="B3427" s="10">
        <f t="shared" ca="1" si="53"/>
        <v>7.4853513248056697E-2</v>
      </c>
      <c r="C3427" s="10">
        <f ca="1">NPV(B3427,Project_FCF!C18:J18)+Project_FCF!B18</f>
        <v>982.55553633991008</v>
      </c>
      <c r="D3427" s="4"/>
      <c r="E3427" s="4"/>
    </row>
    <row r="3428" spans="1:5" x14ac:dyDescent="0.3">
      <c r="A3428" s="9">
        <v>3420</v>
      </c>
      <c r="B3428" s="10">
        <f t="shared" ca="1" si="53"/>
        <v>7.0697235326848781E-2</v>
      </c>
      <c r="C3428" s="10">
        <f ca="1">NPV(B3428,Project_FCF!C18:J18)+Project_FCF!B18</f>
        <v>1019.6090761008604</v>
      </c>
      <c r="D3428" s="4"/>
      <c r="E3428" s="4"/>
    </row>
    <row r="3429" spans="1:5" x14ac:dyDescent="0.3">
      <c r="A3429" s="9">
        <v>3421</v>
      </c>
      <c r="B3429" s="10">
        <f t="shared" ca="1" si="53"/>
        <v>9.9115464638349818E-2</v>
      </c>
      <c r="C3429" s="10">
        <f ca="1">NPV(B3429,Project_FCF!C18:J18)+Project_FCF!B18</f>
        <v>789.01887627175984</v>
      </c>
      <c r="D3429" s="4"/>
      <c r="E3429" s="4"/>
    </row>
    <row r="3430" spans="1:5" x14ac:dyDescent="0.3">
      <c r="A3430" s="9">
        <v>3422</v>
      </c>
      <c r="B3430" s="10">
        <f t="shared" ca="1" si="53"/>
        <v>6.9530756793961659E-2</v>
      </c>
      <c r="C3430" s="10">
        <f ca="1">NPV(B3430,Project_FCF!C18:J18)+Project_FCF!B18</f>
        <v>1030.2320626785133</v>
      </c>
      <c r="D3430" s="4"/>
      <c r="E3430" s="4"/>
    </row>
    <row r="3431" spans="1:5" x14ac:dyDescent="0.3">
      <c r="A3431" s="9">
        <v>3423</v>
      </c>
      <c r="B3431" s="10">
        <f t="shared" ca="1" si="53"/>
        <v>8.7944077489706396E-2</v>
      </c>
      <c r="C3431" s="10">
        <f ca="1">NPV(B3431,Project_FCF!C18:J18)+Project_FCF!B18</f>
        <v>873.55124090586855</v>
      </c>
      <c r="D3431" s="4"/>
      <c r="E3431" s="4"/>
    </row>
    <row r="3432" spans="1:5" x14ac:dyDescent="0.3">
      <c r="A3432" s="9">
        <v>3424</v>
      </c>
      <c r="B3432" s="10">
        <f t="shared" ca="1" si="53"/>
        <v>8.8669656810968139E-2</v>
      </c>
      <c r="C3432" s="10">
        <f ca="1">NPV(B3432,Project_FCF!C18:J18)+Project_FCF!B18</f>
        <v>867.83320642106014</v>
      </c>
      <c r="D3432" s="4"/>
      <c r="E3432" s="4"/>
    </row>
    <row r="3433" spans="1:5" x14ac:dyDescent="0.3">
      <c r="A3433" s="9">
        <v>3425</v>
      </c>
      <c r="B3433" s="10">
        <f t="shared" ca="1" si="53"/>
        <v>7.8737473391032223E-2</v>
      </c>
      <c r="C3433" s="10">
        <f ca="1">NPV(B3433,Project_FCF!C18:J18)+Project_FCF!B18</f>
        <v>949.02415086364613</v>
      </c>
      <c r="D3433" s="4"/>
      <c r="E3433" s="4"/>
    </row>
    <row r="3434" spans="1:5" x14ac:dyDescent="0.3">
      <c r="A3434" s="9">
        <v>3426</v>
      </c>
      <c r="B3434" s="10">
        <f t="shared" ca="1" si="53"/>
        <v>7.1223498244852607E-2</v>
      </c>
      <c r="C3434" s="10">
        <f ca="1">NPV(B3434,Project_FCF!C18:J18)+Project_FCF!B18</f>
        <v>1014.8489153959506</v>
      </c>
      <c r="D3434" s="4"/>
      <c r="E3434" s="4"/>
    </row>
    <row r="3435" spans="1:5" x14ac:dyDescent="0.3">
      <c r="A3435" s="9">
        <v>3427</v>
      </c>
      <c r="B3435" s="10">
        <f t="shared" ca="1" si="53"/>
        <v>0.10080525767327281</v>
      </c>
      <c r="C3435" s="10">
        <f ca="1">NPV(B3435,Project_FCF!C18:J18)+Project_FCF!B18</f>
        <v>776.86222123802463</v>
      </c>
      <c r="D3435" s="4"/>
      <c r="E3435" s="4"/>
    </row>
    <row r="3436" spans="1:5" x14ac:dyDescent="0.3">
      <c r="A3436" s="9">
        <v>3428</v>
      </c>
      <c r="B3436" s="10">
        <f t="shared" ca="1" si="53"/>
        <v>0.10276665608701149</v>
      </c>
      <c r="C3436" s="10">
        <f ca="1">NPV(B3436,Project_FCF!C18:J18)+Project_FCF!B18</f>
        <v>762.95015685047269</v>
      </c>
      <c r="D3436" s="4"/>
      <c r="E3436" s="4"/>
    </row>
    <row r="3437" spans="1:5" x14ac:dyDescent="0.3">
      <c r="A3437" s="9">
        <v>3429</v>
      </c>
      <c r="B3437" s="10">
        <f t="shared" ca="1" si="53"/>
        <v>7.5871718105792907E-2</v>
      </c>
      <c r="C3437" s="10">
        <f ca="1">NPV(B3437,Project_FCF!C18:J18)+Project_FCF!B18</f>
        <v>973.66440489208003</v>
      </c>
      <c r="D3437" s="4"/>
      <c r="E3437" s="4"/>
    </row>
    <row r="3438" spans="1:5" x14ac:dyDescent="0.3">
      <c r="A3438" s="9">
        <v>3430</v>
      </c>
      <c r="B3438" s="10">
        <f t="shared" ca="1" si="53"/>
        <v>7.1873402384728086E-2</v>
      </c>
      <c r="C3438" s="10">
        <f ca="1">NPV(B3438,Project_FCF!C18:J18)+Project_FCF!B18</f>
        <v>1008.9980450419725</v>
      </c>
      <c r="D3438" s="4"/>
      <c r="E3438" s="4"/>
    </row>
    <row r="3439" spans="1:5" x14ac:dyDescent="0.3">
      <c r="A3439" s="9">
        <v>3431</v>
      </c>
      <c r="B3439" s="10">
        <f t="shared" ca="1" si="53"/>
        <v>6.4522216441168415E-2</v>
      </c>
      <c r="C3439" s="10">
        <f ca="1">NPV(B3439,Project_FCF!C18:J18)+Project_FCF!B18</f>
        <v>1076.9943580613221</v>
      </c>
      <c r="D3439" s="4"/>
      <c r="E3439" s="4"/>
    </row>
    <row r="3440" spans="1:5" x14ac:dyDescent="0.3">
      <c r="A3440" s="9">
        <v>3432</v>
      </c>
      <c r="B3440" s="10">
        <f t="shared" ca="1" si="53"/>
        <v>7.7896526478884884E-2</v>
      </c>
      <c r="C3440" s="10">
        <f ca="1">NPV(B3440,Project_FCF!C18:J18)+Project_FCF!B18</f>
        <v>956.19655093461392</v>
      </c>
      <c r="D3440" s="4"/>
      <c r="E3440" s="4"/>
    </row>
    <row r="3441" spans="1:5" x14ac:dyDescent="0.3">
      <c r="A3441" s="9">
        <v>3433</v>
      </c>
      <c r="B3441" s="10">
        <f t="shared" ca="1" si="53"/>
        <v>9.293513968671735E-2</v>
      </c>
      <c r="C3441" s="10">
        <f ca="1">NPV(B3441,Project_FCF!C18:J18)+Project_FCF!B18</f>
        <v>834.8696797192033</v>
      </c>
      <c r="D3441" s="4"/>
      <c r="E3441" s="4"/>
    </row>
    <row r="3442" spans="1:5" x14ac:dyDescent="0.3">
      <c r="A3442" s="9">
        <v>3434</v>
      </c>
      <c r="B3442" s="10">
        <f t="shared" ca="1" si="53"/>
        <v>9.3065541170928093E-2</v>
      </c>
      <c r="C3442" s="10">
        <f ca="1">NPV(B3442,Project_FCF!C18:J18)+Project_FCF!B18</f>
        <v>833.87921038527566</v>
      </c>
      <c r="D3442" s="4"/>
      <c r="E3442" s="4"/>
    </row>
    <row r="3443" spans="1:5" x14ac:dyDescent="0.3">
      <c r="A3443" s="9">
        <v>3435</v>
      </c>
      <c r="B3443" s="10">
        <f t="shared" ca="1" si="53"/>
        <v>7.5299223046016051E-2</v>
      </c>
      <c r="C3443" s="10">
        <f ca="1">NPV(B3443,Project_FCF!C18:J18)+Project_FCF!B18</f>
        <v>978.65463075627872</v>
      </c>
      <c r="D3443" s="4"/>
      <c r="E3443" s="4"/>
    </row>
    <row r="3444" spans="1:5" x14ac:dyDescent="0.3">
      <c r="A3444" s="9">
        <v>3436</v>
      </c>
      <c r="B3444" s="10">
        <f t="shared" ca="1" si="53"/>
        <v>9.4949317280838649E-2</v>
      </c>
      <c r="C3444" s="10">
        <f ca="1">NPV(B3444,Project_FCF!C18:J18)+Project_FCF!B18</f>
        <v>819.68310913956134</v>
      </c>
      <c r="D3444" s="4"/>
      <c r="E3444" s="4"/>
    </row>
    <row r="3445" spans="1:5" x14ac:dyDescent="0.3">
      <c r="A3445" s="9">
        <v>3437</v>
      </c>
      <c r="B3445" s="10">
        <f t="shared" ca="1" si="53"/>
        <v>8.5677230124150891E-2</v>
      </c>
      <c r="C3445" s="10">
        <f ca="1">NPV(B3445,Project_FCF!C18:J18)+Project_FCF!B18</f>
        <v>891.62750356040806</v>
      </c>
      <c r="D3445" s="4"/>
      <c r="E3445" s="4"/>
    </row>
    <row r="3446" spans="1:5" x14ac:dyDescent="0.3">
      <c r="A3446" s="9">
        <v>3438</v>
      </c>
      <c r="B3446" s="10">
        <f t="shared" ca="1" si="53"/>
        <v>6.782191243543402E-2</v>
      </c>
      <c r="C3446" s="10">
        <f ca="1">NPV(B3446,Project_FCF!C18:J18)+Project_FCF!B18</f>
        <v>1045.9751885866021</v>
      </c>
      <c r="D3446" s="4"/>
      <c r="E3446" s="4"/>
    </row>
    <row r="3447" spans="1:5" x14ac:dyDescent="0.3">
      <c r="A3447" s="9">
        <v>3439</v>
      </c>
      <c r="B3447" s="10">
        <f t="shared" ca="1" si="53"/>
        <v>9.3953117747914011E-2</v>
      </c>
      <c r="C3447" s="10">
        <f ca="1">NPV(B3447,Project_FCF!C18:J18)+Project_FCF!B18</f>
        <v>827.16438447433916</v>
      </c>
      <c r="D3447" s="4"/>
      <c r="E3447" s="4"/>
    </row>
    <row r="3448" spans="1:5" x14ac:dyDescent="0.3">
      <c r="A3448" s="9">
        <v>3440</v>
      </c>
      <c r="B3448" s="10">
        <f t="shared" ca="1" si="53"/>
        <v>6.8391106624415318E-2</v>
      </c>
      <c r="C3448" s="10">
        <f ca="1">NPV(B3448,Project_FCF!C18:J18)+Project_FCF!B18</f>
        <v>1040.707307454179</v>
      </c>
      <c r="D3448" s="4"/>
      <c r="E3448" s="4"/>
    </row>
    <row r="3449" spans="1:5" x14ac:dyDescent="0.3">
      <c r="A3449" s="9">
        <v>3441</v>
      </c>
      <c r="B3449" s="10">
        <f t="shared" ca="1" si="53"/>
        <v>7.0509422744051919E-2</v>
      </c>
      <c r="C3449" s="10">
        <f ca="1">NPV(B3449,Project_FCF!C18:J18)+Project_FCF!B18</f>
        <v>1021.3127526849282</v>
      </c>
      <c r="D3449" s="4"/>
      <c r="E3449" s="4"/>
    </row>
    <row r="3450" spans="1:5" x14ac:dyDescent="0.3">
      <c r="A3450" s="9">
        <v>3442</v>
      </c>
      <c r="B3450" s="10">
        <f t="shared" ca="1" si="53"/>
        <v>7.3770368788768637E-2</v>
      </c>
      <c r="C3450" s="10">
        <f ca="1">NPV(B3450,Project_FCF!C18:J18)+Project_FCF!B18</f>
        <v>992.09343914977671</v>
      </c>
      <c r="D3450" s="4"/>
      <c r="E3450" s="4"/>
    </row>
    <row r="3451" spans="1:5" x14ac:dyDescent="0.3">
      <c r="A3451" s="9">
        <v>3443</v>
      </c>
      <c r="B3451" s="10">
        <f t="shared" ca="1" si="53"/>
        <v>7.1929227972722526E-2</v>
      </c>
      <c r="C3451" s="10">
        <f ca="1">NPV(B3451,Project_FCF!C18:J18)+Project_FCF!B18</f>
        <v>1008.4968857536107</v>
      </c>
      <c r="D3451" s="4"/>
      <c r="E3451" s="4"/>
    </row>
    <row r="3452" spans="1:5" x14ac:dyDescent="0.3">
      <c r="A3452" s="9">
        <v>3444</v>
      </c>
      <c r="B3452" s="10">
        <f t="shared" ca="1" si="53"/>
        <v>0.1017707606928805</v>
      </c>
      <c r="C3452" s="10">
        <f ca="1">NPV(B3452,Project_FCF!C18:J18)+Project_FCF!B18</f>
        <v>769.98752218253048</v>
      </c>
      <c r="D3452" s="4"/>
      <c r="E3452" s="4"/>
    </row>
    <row r="3453" spans="1:5" x14ac:dyDescent="0.3">
      <c r="A3453" s="9">
        <v>3445</v>
      </c>
      <c r="B3453" s="10">
        <f t="shared" ca="1" si="53"/>
        <v>7.4606891827333432E-2</v>
      </c>
      <c r="C3453" s="10">
        <f ca="1">NPV(B3453,Project_FCF!C18:J18)+Project_FCF!B18</f>
        <v>984.71997123012807</v>
      </c>
      <c r="D3453" s="4"/>
      <c r="E3453" s="4"/>
    </row>
    <row r="3454" spans="1:5" x14ac:dyDescent="0.3">
      <c r="A3454" s="9">
        <v>3446</v>
      </c>
      <c r="B3454" s="10">
        <f t="shared" ca="1" si="53"/>
        <v>8.1668914777259016E-2</v>
      </c>
      <c r="C3454" s="10">
        <f ca="1">NPV(B3454,Project_FCF!C18:J18)+Project_FCF!B18</f>
        <v>924.39348285637038</v>
      </c>
      <c r="D3454" s="4"/>
      <c r="E3454" s="4"/>
    </row>
    <row r="3455" spans="1:5" x14ac:dyDescent="0.3">
      <c r="A3455" s="9">
        <v>3447</v>
      </c>
      <c r="B3455" s="10">
        <f t="shared" ca="1" si="53"/>
        <v>7.0709718630088653E-2</v>
      </c>
      <c r="C3455" s="10">
        <f ca="1">NPV(B3455,Project_FCF!C18:J18)+Project_FCF!B18</f>
        <v>1019.4959291194716</v>
      </c>
      <c r="D3455" s="4"/>
      <c r="E3455" s="4"/>
    </row>
    <row r="3456" spans="1:5" x14ac:dyDescent="0.3">
      <c r="A3456" s="9">
        <v>3448</v>
      </c>
      <c r="B3456" s="10">
        <f t="shared" ca="1" si="53"/>
        <v>9.478193554244374E-2</v>
      </c>
      <c r="C3456" s="10">
        <f ca="1">NPV(B3456,Project_FCF!C18:J18)+Project_FCF!B18</f>
        <v>820.9360464046149</v>
      </c>
      <c r="D3456" s="4"/>
      <c r="E3456" s="4"/>
    </row>
    <row r="3457" spans="1:5" x14ac:dyDescent="0.3">
      <c r="A3457" s="9">
        <v>3449</v>
      </c>
      <c r="B3457" s="10">
        <f t="shared" ca="1" si="53"/>
        <v>0.10321232980161152</v>
      </c>
      <c r="C3457" s="10">
        <f ca="1">NPV(B3457,Project_FCF!C18:J18)+Project_FCF!B18</f>
        <v>759.81841121553794</v>
      </c>
      <c r="D3457" s="4"/>
      <c r="E3457" s="4"/>
    </row>
    <row r="3458" spans="1:5" x14ac:dyDescent="0.3">
      <c r="A3458" s="9">
        <v>3450</v>
      </c>
      <c r="B3458" s="10">
        <f t="shared" ca="1" si="53"/>
        <v>7.2144047510719914E-2</v>
      </c>
      <c r="C3458" s="10">
        <f ca="1">NPV(B3458,Project_FCF!C18:J18)+Project_FCF!B18</f>
        <v>1006.5704902739189</v>
      </c>
      <c r="D3458" s="4"/>
      <c r="E3458" s="4"/>
    </row>
    <row r="3459" spans="1:5" x14ac:dyDescent="0.3">
      <c r="A3459" s="9">
        <v>3451</v>
      </c>
      <c r="B3459" s="10">
        <f t="shared" ca="1" si="53"/>
        <v>6.4390908770929525E-2</v>
      </c>
      <c r="C3459" s="10">
        <f ca="1">NPV(B3459,Project_FCF!C18:J18)+Project_FCF!B18</f>
        <v>1078.2458975439815</v>
      </c>
      <c r="D3459" s="4"/>
      <c r="E3459" s="4"/>
    </row>
    <row r="3460" spans="1:5" x14ac:dyDescent="0.3">
      <c r="A3460" s="9">
        <v>3452</v>
      </c>
      <c r="B3460" s="10">
        <f t="shared" ca="1" si="53"/>
        <v>7.261621922316068E-2</v>
      </c>
      <c r="C3460" s="10">
        <f ca="1">NPV(B3460,Project_FCF!C18:J18)+Project_FCF!B18</f>
        <v>1002.3479191762838</v>
      </c>
      <c r="D3460" s="4"/>
      <c r="E3460" s="4"/>
    </row>
    <row r="3461" spans="1:5" x14ac:dyDescent="0.3">
      <c r="A3461" s="9">
        <v>3453</v>
      </c>
      <c r="B3461" s="10">
        <f t="shared" ca="1" si="53"/>
        <v>7.0229007182653347E-2</v>
      </c>
      <c r="C3461" s="10">
        <f ca="1">NPV(B3461,Project_FCF!C18:J18)+Project_FCF!B18</f>
        <v>1023.8612288121008</v>
      </c>
      <c r="D3461" s="4"/>
      <c r="E3461" s="4"/>
    </row>
    <row r="3462" spans="1:5" x14ac:dyDescent="0.3">
      <c r="A3462" s="9">
        <v>3454</v>
      </c>
      <c r="B3462" s="10">
        <f t="shared" ca="1" si="53"/>
        <v>7.617427497402518E-2</v>
      </c>
      <c r="C3462" s="10">
        <f ca="1">NPV(B3462,Project_FCF!C18:J18)+Project_FCF!B18</f>
        <v>971.03632160760185</v>
      </c>
      <c r="D3462" s="4"/>
      <c r="E3462" s="4"/>
    </row>
    <row r="3463" spans="1:5" x14ac:dyDescent="0.3">
      <c r="A3463" s="9">
        <v>3455</v>
      </c>
      <c r="B3463" s="10">
        <f t="shared" ca="1" si="53"/>
        <v>7.6558879479172615E-2</v>
      </c>
      <c r="C3463" s="10">
        <f ca="1">NPV(B3463,Project_FCF!C18:J18)+Project_FCF!B18</f>
        <v>967.70469335283406</v>
      </c>
      <c r="D3463" s="4"/>
      <c r="E3463" s="4"/>
    </row>
    <row r="3464" spans="1:5" x14ac:dyDescent="0.3">
      <c r="A3464" s="9">
        <v>3456</v>
      </c>
      <c r="B3464" s="10">
        <f t="shared" ca="1" si="53"/>
        <v>7.7693038079199847E-2</v>
      </c>
      <c r="C3464" s="10">
        <f ca="1">NPV(B3464,Project_FCF!C18:J18)+Project_FCF!B18</f>
        <v>957.93931976692647</v>
      </c>
      <c r="D3464" s="4"/>
      <c r="E3464" s="4"/>
    </row>
    <row r="3465" spans="1:5" x14ac:dyDescent="0.3">
      <c r="A3465" s="9">
        <v>3457</v>
      </c>
      <c r="B3465" s="10">
        <f t="shared" ref="B3465:B3528" ca="1" si="54">$B$4+RAND()*($B$5-$B$4)</f>
        <v>9.4740683924348409E-2</v>
      </c>
      <c r="C3465" s="10">
        <f ca="1">NPV(B3465,Project_FCF!C18:J18)+Project_FCF!B18</f>
        <v>821.24508753454847</v>
      </c>
      <c r="D3465" s="4"/>
      <c r="E3465" s="4"/>
    </row>
    <row r="3466" spans="1:5" x14ac:dyDescent="0.3">
      <c r="A3466" s="9">
        <v>3458</v>
      </c>
      <c r="B3466" s="10">
        <f t="shared" ca="1" si="54"/>
        <v>0.10052346402713512</v>
      </c>
      <c r="C3466" s="10">
        <f ca="1">NPV(B3466,Project_FCF!C18:J18)+Project_FCF!B18</f>
        <v>778.8784181419378</v>
      </c>
      <c r="D3466" s="4"/>
      <c r="E3466" s="4"/>
    </row>
    <row r="3467" spans="1:5" x14ac:dyDescent="0.3">
      <c r="A3467" s="9">
        <v>3459</v>
      </c>
      <c r="B3467" s="10">
        <f t="shared" ca="1" si="54"/>
        <v>6.5225950335766239E-2</v>
      </c>
      <c r="C3467" s="10">
        <f ca="1">NPV(B3467,Project_FCF!C18:J18)+Project_FCF!B18</f>
        <v>1070.3093930259463</v>
      </c>
      <c r="D3467" s="4"/>
      <c r="E3467" s="4"/>
    </row>
    <row r="3468" spans="1:5" x14ac:dyDescent="0.3">
      <c r="A3468" s="9">
        <v>3460</v>
      </c>
      <c r="B3468" s="10">
        <f t="shared" ca="1" si="54"/>
        <v>0.10331807338207395</v>
      </c>
      <c r="C3468" s="10">
        <f ca="1">NPV(B3468,Project_FCF!C18:J18)+Project_FCF!B18</f>
        <v>759.07693744638846</v>
      </c>
      <c r="D3468" s="4"/>
      <c r="E3468" s="4"/>
    </row>
    <row r="3469" spans="1:5" x14ac:dyDescent="0.3">
      <c r="A3469" s="9">
        <v>3461</v>
      </c>
      <c r="B3469" s="10">
        <f t="shared" ca="1" si="54"/>
        <v>8.9729306735826533E-2</v>
      </c>
      <c r="C3469" s="10">
        <f ca="1">NPV(B3469,Project_FCF!C18:J18)+Project_FCF!B18</f>
        <v>859.54090008171124</v>
      </c>
      <c r="D3469" s="4"/>
      <c r="E3469" s="4"/>
    </row>
    <row r="3470" spans="1:5" x14ac:dyDescent="0.3">
      <c r="A3470" s="9">
        <v>3462</v>
      </c>
      <c r="B3470" s="10">
        <f t="shared" ca="1" si="54"/>
        <v>8.9746956472252351E-2</v>
      </c>
      <c r="C3470" s="10">
        <f ca="1">NPV(B3470,Project_FCF!C18:J18)+Project_FCF!B18</f>
        <v>859.403365852153</v>
      </c>
      <c r="D3470" s="4"/>
      <c r="E3470" s="4"/>
    </row>
    <row r="3471" spans="1:5" x14ac:dyDescent="0.3">
      <c r="A3471" s="9">
        <v>3463</v>
      </c>
      <c r="B3471" s="10">
        <f t="shared" ca="1" si="54"/>
        <v>7.1374314682379897E-2</v>
      </c>
      <c r="C3471" s="10">
        <f ca="1">NPV(B3471,Project_FCF!C18:J18)+Project_FCF!B18</f>
        <v>1013.4884479940561</v>
      </c>
      <c r="D3471" s="4"/>
      <c r="E3471" s="4"/>
    </row>
    <row r="3472" spans="1:5" x14ac:dyDescent="0.3">
      <c r="A3472" s="9">
        <v>3464</v>
      </c>
      <c r="B3472" s="10">
        <f t="shared" ca="1" si="54"/>
        <v>6.8586155147254066E-2</v>
      </c>
      <c r="C3472" s="10">
        <f ca="1">NPV(B3472,Project_FCF!C18:J18)+Project_FCF!B18</f>
        <v>1038.9076790448557</v>
      </c>
      <c r="D3472" s="4"/>
      <c r="E3472" s="4"/>
    </row>
    <row r="3473" spans="1:5" x14ac:dyDescent="0.3">
      <c r="A3473" s="9">
        <v>3465</v>
      </c>
      <c r="B3473" s="10">
        <f t="shared" ca="1" si="54"/>
        <v>9.993480793921497E-2</v>
      </c>
      <c r="C3473" s="10">
        <f ca="1">NPV(B3473,Project_FCF!C18:J18)+Project_FCF!B18</f>
        <v>783.10444257508652</v>
      </c>
      <c r="D3473" s="4"/>
      <c r="E3473" s="4"/>
    </row>
    <row r="3474" spans="1:5" x14ac:dyDescent="0.3">
      <c r="A3474" s="9">
        <v>3466</v>
      </c>
      <c r="B3474" s="10">
        <f t="shared" ca="1" si="54"/>
        <v>8.9288262968403684E-2</v>
      </c>
      <c r="C3474" s="10">
        <f ca="1">NPV(B3474,Project_FCF!C18:J18)+Project_FCF!B18</f>
        <v>862.98390273601831</v>
      </c>
      <c r="D3474" s="4"/>
      <c r="E3474" s="4"/>
    </row>
    <row r="3475" spans="1:5" x14ac:dyDescent="0.3">
      <c r="A3475" s="9">
        <v>3467</v>
      </c>
      <c r="B3475" s="10">
        <f t="shared" ca="1" si="54"/>
        <v>8.6082719468227889E-2</v>
      </c>
      <c r="C3475" s="10">
        <f ca="1">NPV(B3475,Project_FCF!C18:J18)+Project_FCF!B18</f>
        <v>888.37028034906439</v>
      </c>
      <c r="D3475" s="4"/>
      <c r="E3475" s="4"/>
    </row>
    <row r="3476" spans="1:5" x14ac:dyDescent="0.3">
      <c r="A3476" s="9">
        <v>3468</v>
      </c>
      <c r="B3476" s="10">
        <f t="shared" ca="1" si="54"/>
        <v>8.3386661678549273E-2</v>
      </c>
      <c r="C3476" s="10">
        <f ca="1">NPV(B3476,Project_FCF!C18:J18)+Project_FCF!B18</f>
        <v>910.22443633440707</v>
      </c>
      <c r="D3476" s="4"/>
      <c r="E3476" s="4"/>
    </row>
    <row r="3477" spans="1:5" x14ac:dyDescent="0.3">
      <c r="A3477" s="9">
        <v>3469</v>
      </c>
      <c r="B3477" s="10">
        <f t="shared" ca="1" si="54"/>
        <v>0.10269311401260584</v>
      </c>
      <c r="C3477" s="10">
        <f ca="1">NPV(B3477,Project_FCF!C18:J18)+Project_FCF!B18</f>
        <v>763.46797663125312</v>
      </c>
      <c r="D3477" s="4"/>
      <c r="E3477" s="4"/>
    </row>
    <row r="3478" spans="1:5" x14ac:dyDescent="0.3">
      <c r="A3478" s="9">
        <v>3470</v>
      </c>
      <c r="B3478" s="10">
        <f t="shared" ca="1" si="54"/>
        <v>8.6709898835318711E-2</v>
      </c>
      <c r="C3478" s="10">
        <f ca="1">NPV(B3478,Project_FCF!C18:J18)+Project_FCF!B18</f>
        <v>883.35273841450748</v>
      </c>
      <c r="D3478" s="4"/>
      <c r="E3478" s="4"/>
    </row>
    <row r="3479" spans="1:5" x14ac:dyDescent="0.3">
      <c r="A3479" s="9">
        <v>3471</v>
      </c>
      <c r="B3479" s="10">
        <f t="shared" ca="1" si="54"/>
        <v>8.9876354014191667E-2</v>
      </c>
      <c r="C3479" s="10">
        <f ca="1">NPV(B3479,Project_FCF!C18:J18)+Project_FCF!B18</f>
        <v>858.39562770304906</v>
      </c>
      <c r="D3479" s="4"/>
      <c r="E3479" s="4"/>
    </row>
    <row r="3480" spans="1:5" x14ac:dyDescent="0.3">
      <c r="A3480" s="9">
        <v>3472</v>
      </c>
      <c r="B3480" s="10">
        <f t="shared" ca="1" si="54"/>
        <v>8.6267544356215725E-2</v>
      </c>
      <c r="C3480" s="10">
        <f ca="1">NPV(B3480,Project_FCF!C18:J18)+Project_FCF!B18</f>
        <v>886.88906931148017</v>
      </c>
      <c r="D3480" s="4"/>
      <c r="E3480" s="4"/>
    </row>
    <row r="3481" spans="1:5" x14ac:dyDescent="0.3">
      <c r="A3481" s="9">
        <v>3473</v>
      </c>
      <c r="B3481" s="10">
        <f t="shared" ca="1" si="54"/>
        <v>9.8846157946205521E-2</v>
      </c>
      <c r="C3481" s="10">
        <f ca="1">NPV(B3481,Project_FCF!C18:J18)+Project_FCF!B18</f>
        <v>790.97111254172228</v>
      </c>
      <c r="D3481" s="4"/>
      <c r="E3481" s="4"/>
    </row>
    <row r="3482" spans="1:5" x14ac:dyDescent="0.3">
      <c r="A3482" s="9">
        <v>3474</v>
      </c>
      <c r="B3482" s="10">
        <f t="shared" ca="1" si="54"/>
        <v>7.7473461280946954E-2</v>
      </c>
      <c r="C3482" s="10">
        <f ca="1">NPV(B3482,Project_FCF!C18:J18)+Project_FCF!B18</f>
        <v>959.82304714278393</v>
      </c>
      <c r="D3482" s="4"/>
      <c r="E3482" s="4"/>
    </row>
    <row r="3483" spans="1:5" x14ac:dyDescent="0.3">
      <c r="A3483" s="9">
        <v>3475</v>
      </c>
      <c r="B3483" s="10">
        <f t="shared" ca="1" si="54"/>
        <v>6.5763161213469867E-2</v>
      </c>
      <c r="C3483" s="10">
        <f ca="1">NPV(B3483,Project_FCF!C18:J18)+Project_FCF!B18</f>
        <v>1065.2317734585215</v>
      </c>
      <c r="D3483" s="4"/>
      <c r="E3483" s="4"/>
    </row>
    <row r="3484" spans="1:5" x14ac:dyDescent="0.3">
      <c r="A3484" s="9">
        <v>3476</v>
      </c>
      <c r="B3484" s="10">
        <f t="shared" ca="1" si="54"/>
        <v>6.4860171434287517E-2</v>
      </c>
      <c r="C3484" s="10">
        <f ca="1">NPV(B3484,Project_FCF!C18:J18)+Project_FCF!B18</f>
        <v>1073.7792881635294</v>
      </c>
      <c r="D3484" s="4"/>
      <c r="E3484" s="4"/>
    </row>
    <row r="3485" spans="1:5" x14ac:dyDescent="0.3">
      <c r="A3485" s="9">
        <v>3477</v>
      </c>
      <c r="B3485" s="10">
        <f t="shared" ca="1" si="54"/>
        <v>9.2825276261307724E-2</v>
      </c>
      <c r="C3485" s="10">
        <f ca="1">NPV(B3485,Project_FCF!C18:J18)+Project_FCF!B18</f>
        <v>835.70493689342698</v>
      </c>
      <c r="D3485" s="4"/>
      <c r="E3485" s="4"/>
    </row>
    <row r="3486" spans="1:5" x14ac:dyDescent="0.3">
      <c r="A3486" s="9">
        <v>3478</v>
      </c>
      <c r="B3486" s="10">
        <f t="shared" ca="1" si="54"/>
        <v>7.659485696864439E-2</v>
      </c>
      <c r="C3486" s="10">
        <f ca="1">NPV(B3486,Project_FCF!C18:J18)+Project_FCF!B18</f>
        <v>967.39356134123841</v>
      </c>
      <c r="D3486" s="4"/>
      <c r="E3486" s="4"/>
    </row>
    <row r="3487" spans="1:5" x14ac:dyDescent="0.3">
      <c r="A3487" s="9">
        <v>3479</v>
      </c>
      <c r="B3487" s="10">
        <f t="shared" ca="1" si="54"/>
        <v>8.7424225888890303E-2</v>
      </c>
      <c r="C3487" s="10">
        <f ca="1">NPV(B3487,Project_FCF!C18:J18)+Project_FCF!B18</f>
        <v>877.66814026203883</v>
      </c>
      <c r="D3487" s="4"/>
      <c r="E3487" s="4"/>
    </row>
    <row r="3488" spans="1:5" x14ac:dyDescent="0.3">
      <c r="A3488" s="9">
        <v>3480</v>
      </c>
      <c r="B3488" s="10">
        <f t="shared" ca="1" si="54"/>
        <v>8.3135455078897441E-2</v>
      </c>
      <c r="C3488" s="10">
        <f ca="1">NPV(B3488,Project_FCF!C18:J18)+Project_FCF!B18</f>
        <v>912.28453249726726</v>
      </c>
      <c r="D3488" s="4"/>
      <c r="E3488" s="4"/>
    </row>
    <row r="3489" spans="1:5" x14ac:dyDescent="0.3">
      <c r="A3489" s="9">
        <v>3481</v>
      </c>
      <c r="B3489" s="10">
        <f t="shared" ca="1" si="54"/>
        <v>0.10120078900247623</v>
      </c>
      <c r="C3489" s="10">
        <f ca="1">NPV(B3489,Project_FCF!C18:J18)+Project_FCF!B18</f>
        <v>774.0396774398514</v>
      </c>
      <c r="D3489" s="4"/>
      <c r="E3489" s="4"/>
    </row>
    <row r="3490" spans="1:5" x14ac:dyDescent="0.3">
      <c r="A3490" s="9">
        <v>3482</v>
      </c>
      <c r="B3490" s="10">
        <f t="shared" ca="1" si="54"/>
        <v>7.407776576174574E-2</v>
      </c>
      <c r="C3490" s="10">
        <f ca="1">NPV(B3490,Project_FCF!C18:J18)+Project_FCF!B18</f>
        <v>989.37818086024618</v>
      </c>
      <c r="D3490" s="4"/>
      <c r="E3490" s="4"/>
    </row>
    <row r="3491" spans="1:5" x14ac:dyDescent="0.3">
      <c r="A3491" s="9">
        <v>3483</v>
      </c>
      <c r="B3491" s="10">
        <f t="shared" ca="1" si="54"/>
        <v>9.7237558046533945E-2</v>
      </c>
      <c r="C3491" s="10">
        <f ca="1">NPV(B3491,Project_FCF!C18:J18)+Project_FCF!B18</f>
        <v>802.71767303072966</v>
      </c>
      <c r="D3491" s="4"/>
      <c r="E3491" s="4"/>
    </row>
    <row r="3492" spans="1:5" x14ac:dyDescent="0.3">
      <c r="A3492" s="9">
        <v>3484</v>
      </c>
      <c r="B3492" s="10">
        <f t="shared" ca="1" si="54"/>
        <v>9.4600617440248225E-2</v>
      </c>
      <c r="C3492" s="10">
        <f ca="1">NPV(B3492,Project_FCF!C18:J18)+Project_FCF!B18</f>
        <v>822.29515522330053</v>
      </c>
      <c r="D3492" s="4"/>
      <c r="E3492" s="4"/>
    </row>
    <row r="3493" spans="1:5" x14ac:dyDescent="0.3">
      <c r="A3493" s="9">
        <v>3485</v>
      </c>
      <c r="B3493" s="10">
        <f t="shared" ca="1" si="54"/>
        <v>7.1568786051024597E-2</v>
      </c>
      <c r="C3493" s="10">
        <f ca="1">NPV(B3493,Project_FCF!C18:J18)+Project_FCF!B18</f>
        <v>1011.7366095774448</v>
      </c>
      <c r="D3493" s="4"/>
      <c r="E3493" s="4"/>
    </row>
    <row r="3494" spans="1:5" x14ac:dyDescent="0.3">
      <c r="A3494" s="9">
        <v>3486</v>
      </c>
      <c r="B3494" s="10">
        <f t="shared" ca="1" si="54"/>
        <v>7.9873785385824209E-2</v>
      </c>
      <c r="C3494" s="10">
        <f ca="1">NPV(B3494,Project_FCF!C18:J18)+Project_FCF!B18</f>
        <v>939.40847444626434</v>
      </c>
      <c r="D3494" s="4"/>
      <c r="E3494" s="4"/>
    </row>
    <row r="3495" spans="1:5" x14ac:dyDescent="0.3">
      <c r="A3495" s="9">
        <v>3487</v>
      </c>
      <c r="B3495" s="10">
        <f t="shared" ca="1" si="54"/>
        <v>7.3710041243325877E-2</v>
      </c>
      <c r="C3495" s="10">
        <f ca="1">NPV(B3495,Project_FCF!C18:J18)+Project_FCF!B18</f>
        <v>992.627100262775</v>
      </c>
      <c r="D3495" s="4"/>
      <c r="E3495" s="4"/>
    </row>
    <row r="3496" spans="1:5" x14ac:dyDescent="0.3">
      <c r="A3496" s="9">
        <v>3488</v>
      </c>
      <c r="B3496" s="10">
        <f t="shared" ca="1" si="54"/>
        <v>9.0303454238185671E-2</v>
      </c>
      <c r="C3496" s="10">
        <f ca="1">NPV(B3496,Project_FCF!C18:J18)+Project_FCF!B18</f>
        <v>855.07666591615839</v>
      </c>
      <c r="D3496" s="4"/>
      <c r="E3496" s="4"/>
    </row>
    <row r="3497" spans="1:5" x14ac:dyDescent="0.3">
      <c r="A3497" s="9">
        <v>3489</v>
      </c>
      <c r="B3497" s="10">
        <f t="shared" ca="1" si="54"/>
        <v>6.6284824084123922E-2</v>
      </c>
      <c r="C3497" s="10">
        <f ca="1">NPV(B3497,Project_FCF!C18:J18)+Project_FCF!B18</f>
        <v>1060.3221236092709</v>
      </c>
      <c r="D3497" s="4"/>
      <c r="E3497" s="4"/>
    </row>
    <row r="3498" spans="1:5" x14ac:dyDescent="0.3">
      <c r="A3498" s="9">
        <v>3490</v>
      </c>
      <c r="B3498" s="10">
        <f t="shared" ca="1" si="54"/>
        <v>7.3752305688227049E-2</v>
      </c>
      <c r="C3498" s="10">
        <f ca="1">NPV(B3498,Project_FCF!C18:J18)+Project_FCF!B18</f>
        <v>992.25319942835085</v>
      </c>
      <c r="D3498" s="4"/>
      <c r="E3498" s="4"/>
    </row>
    <row r="3499" spans="1:5" x14ac:dyDescent="0.3">
      <c r="A3499" s="9">
        <v>3491</v>
      </c>
      <c r="B3499" s="10">
        <f t="shared" ca="1" si="54"/>
        <v>9.6520400856692265E-2</v>
      </c>
      <c r="C3499" s="10">
        <f ca="1">NPV(B3499,Project_FCF!C18:J18)+Project_FCF!B18</f>
        <v>808.00225022693621</v>
      </c>
      <c r="D3499" s="4"/>
      <c r="E3499" s="4"/>
    </row>
    <row r="3500" spans="1:5" x14ac:dyDescent="0.3">
      <c r="A3500" s="9">
        <v>3492</v>
      </c>
      <c r="B3500" s="10">
        <f t="shared" ca="1" si="54"/>
        <v>9.3172271635054579E-2</v>
      </c>
      <c r="C3500" s="10">
        <f ca="1">NPV(B3500,Project_FCF!C18:J18)+Project_FCF!B18</f>
        <v>833.0692874744102</v>
      </c>
      <c r="D3500" s="4"/>
      <c r="E3500" s="4"/>
    </row>
    <row r="3501" spans="1:5" x14ac:dyDescent="0.3">
      <c r="A3501" s="9">
        <v>3493</v>
      </c>
      <c r="B3501" s="10">
        <f t="shared" ca="1" si="54"/>
        <v>9.3892364908366069E-2</v>
      </c>
      <c r="C3501" s="10">
        <f ca="1">NPV(B3501,Project_FCF!C18:J18)+Project_FCF!B18</f>
        <v>827.62251542286344</v>
      </c>
      <c r="D3501" s="4"/>
      <c r="E3501" s="4"/>
    </row>
    <row r="3502" spans="1:5" x14ac:dyDescent="0.3">
      <c r="A3502" s="9">
        <v>3494</v>
      </c>
      <c r="B3502" s="10">
        <f t="shared" ca="1" si="54"/>
        <v>8.3662443508496026E-2</v>
      </c>
      <c r="C3502" s="10">
        <f ca="1">NPV(B3502,Project_FCF!C18:J18)+Project_FCF!B18</f>
        <v>907.96751404344991</v>
      </c>
      <c r="D3502" s="4"/>
      <c r="E3502" s="4"/>
    </row>
    <row r="3503" spans="1:5" x14ac:dyDescent="0.3">
      <c r="A3503" s="9">
        <v>3495</v>
      </c>
      <c r="B3503" s="10">
        <f t="shared" ca="1" si="54"/>
        <v>6.7320827381321308E-2</v>
      </c>
      <c r="C3503" s="10">
        <f ca="1">NPV(B3503,Project_FCF!C18:J18)+Project_FCF!B18</f>
        <v>1050.6327364567792</v>
      </c>
      <c r="D3503" s="4"/>
      <c r="E3503" s="4"/>
    </row>
    <row r="3504" spans="1:5" x14ac:dyDescent="0.3">
      <c r="A3504" s="9">
        <v>3496</v>
      </c>
      <c r="B3504" s="10">
        <f t="shared" ca="1" si="54"/>
        <v>9.9314104351911209E-2</v>
      </c>
      <c r="C3504" s="10">
        <f ca="1">NPV(B3504,Project_FCF!C18:J18)+Project_FCF!B18</f>
        <v>787.58153206817838</v>
      </c>
      <c r="D3504" s="4"/>
      <c r="E3504" s="4"/>
    </row>
    <row r="3505" spans="1:5" x14ac:dyDescent="0.3">
      <c r="A3505" s="9">
        <v>3497</v>
      </c>
      <c r="B3505" s="10">
        <f t="shared" ca="1" si="54"/>
        <v>7.841376764112068E-2</v>
      </c>
      <c r="C3505" s="10">
        <f ca="1">NPV(B3505,Project_FCF!C18:J18)+Project_FCF!B18</f>
        <v>951.77934370329149</v>
      </c>
      <c r="D3505" s="4"/>
      <c r="E3505" s="4"/>
    </row>
    <row r="3506" spans="1:5" x14ac:dyDescent="0.3">
      <c r="A3506" s="9">
        <v>3498</v>
      </c>
      <c r="B3506" s="10">
        <f t="shared" ca="1" si="54"/>
        <v>8.9073929692838894E-2</v>
      </c>
      <c r="C3506" s="10">
        <f ca="1">NPV(B3506,Project_FCF!C18:J18)+Project_FCF!B18</f>
        <v>864.66140819437487</v>
      </c>
      <c r="D3506" s="4"/>
      <c r="E3506" s="4"/>
    </row>
    <row r="3507" spans="1:5" x14ac:dyDescent="0.3">
      <c r="A3507" s="9">
        <v>3499</v>
      </c>
      <c r="B3507" s="10">
        <f t="shared" ca="1" si="54"/>
        <v>8.4243941603306741E-2</v>
      </c>
      <c r="C3507" s="10">
        <f ca="1">NPV(B3507,Project_FCF!C18:J18)+Project_FCF!B18</f>
        <v>903.22479818380111</v>
      </c>
      <c r="D3507" s="4"/>
      <c r="E3507" s="4"/>
    </row>
    <row r="3508" spans="1:5" x14ac:dyDescent="0.3">
      <c r="A3508" s="9">
        <v>3500</v>
      </c>
      <c r="B3508" s="10">
        <f t="shared" ca="1" si="54"/>
        <v>9.7616780656501839E-2</v>
      </c>
      <c r="C3508" s="10">
        <f ca="1">NPV(B3508,Project_FCF!C18:J18)+Project_FCF!B18</f>
        <v>799.9351826855027</v>
      </c>
      <c r="D3508" s="4"/>
      <c r="E3508" s="4"/>
    </row>
    <row r="3509" spans="1:5" x14ac:dyDescent="0.3">
      <c r="A3509" s="9">
        <v>3501</v>
      </c>
      <c r="B3509" s="10">
        <f t="shared" ca="1" si="54"/>
        <v>9.5396896632017142E-2</v>
      </c>
      <c r="C3509" s="10">
        <f ca="1">NPV(B3509,Project_FCF!C18:J18)+Project_FCF!B18</f>
        <v>816.34078872069017</v>
      </c>
      <c r="D3509" s="4"/>
      <c r="E3509" s="4"/>
    </row>
    <row r="3510" spans="1:5" x14ac:dyDescent="0.3">
      <c r="A3510" s="9">
        <v>3502</v>
      </c>
      <c r="B3510" s="10">
        <f t="shared" ca="1" si="54"/>
        <v>7.0757908831336397E-2</v>
      </c>
      <c r="C3510" s="10">
        <f ca="1">NPV(B3510,Project_FCF!C18:J18)+Project_FCF!B18</f>
        <v>1019.059245911621</v>
      </c>
      <c r="D3510" s="4"/>
      <c r="E3510" s="4"/>
    </row>
    <row r="3511" spans="1:5" x14ac:dyDescent="0.3">
      <c r="A3511" s="9">
        <v>3503</v>
      </c>
      <c r="B3511" s="10">
        <f t="shared" ca="1" si="54"/>
        <v>8.293633368754405E-2</v>
      </c>
      <c r="C3511" s="10">
        <f ca="1">NPV(B3511,Project_FCF!C18:J18)+Project_FCF!B18</f>
        <v>913.9204007588578</v>
      </c>
      <c r="D3511" s="4"/>
      <c r="E3511" s="4"/>
    </row>
    <row r="3512" spans="1:5" x14ac:dyDescent="0.3">
      <c r="A3512" s="9">
        <v>3504</v>
      </c>
      <c r="B3512" s="10">
        <f t="shared" ca="1" si="54"/>
        <v>7.6288159143398704E-2</v>
      </c>
      <c r="C3512" s="10">
        <f ca="1">NPV(B3512,Project_FCF!C18:J18)+Project_FCF!B18</f>
        <v>970.04873742324207</v>
      </c>
      <c r="D3512" s="4"/>
      <c r="E3512" s="4"/>
    </row>
    <row r="3513" spans="1:5" x14ac:dyDescent="0.3">
      <c r="A3513" s="9">
        <v>3505</v>
      </c>
      <c r="B3513" s="10">
        <f t="shared" ca="1" si="54"/>
        <v>0.10183278876350946</v>
      </c>
      <c r="C3513" s="10">
        <f ca="1">NPV(B3513,Project_FCF!C18:J18)+Project_FCF!B18</f>
        <v>769.5476201393567</v>
      </c>
      <c r="D3513" s="4"/>
      <c r="E3513" s="4"/>
    </row>
    <row r="3514" spans="1:5" x14ac:dyDescent="0.3">
      <c r="A3514" s="9">
        <v>3506</v>
      </c>
      <c r="B3514" s="10">
        <f t="shared" ca="1" si="54"/>
        <v>7.5175496235667411E-2</v>
      </c>
      <c r="C3514" s="10">
        <f ca="1">NPV(B3514,Project_FCF!C18:J18)+Project_FCF!B18</f>
        <v>979.7361110236252</v>
      </c>
      <c r="D3514" s="4"/>
      <c r="E3514" s="4"/>
    </row>
    <row r="3515" spans="1:5" x14ac:dyDescent="0.3">
      <c r="A3515" s="9">
        <v>3507</v>
      </c>
      <c r="B3515" s="10">
        <f t="shared" ca="1" si="54"/>
        <v>9.2439730714044641E-2</v>
      </c>
      <c r="C3515" s="10">
        <f ca="1">NPV(B3515,Project_FCF!C18:J18)+Project_FCF!B18</f>
        <v>838.64181272764699</v>
      </c>
      <c r="D3515" s="4"/>
      <c r="E3515" s="4"/>
    </row>
    <row r="3516" spans="1:5" x14ac:dyDescent="0.3">
      <c r="A3516" s="9">
        <v>3508</v>
      </c>
      <c r="B3516" s="10">
        <f t="shared" ca="1" si="54"/>
        <v>6.9425132251805258E-2</v>
      </c>
      <c r="C3516" s="10">
        <f ca="1">NPV(B3516,Project_FCF!C18:J18)+Project_FCF!B18</f>
        <v>1031.1988954582876</v>
      </c>
      <c r="D3516" s="4"/>
      <c r="E3516" s="4"/>
    </row>
    <row r="3517" spans="1:5" x14ac:dyDescent="0.3">
      <c r="A3517" s="9">
        <v>3509</v>
      </c>
      <c r="B3517" s="10">
        <f t="shared" ca="1" si="54"/>
        <v>8.4894247781421975E-2</v>
      </c>
      <c r="C3517" s="10">
        <f ca="1">NPV(B3517,Project_FCF!C18:J18)+Project_FCF!B18</f>
        <v>897.94664216900469</v>
      </c>
      <c r="D3517" s="4"/>
      <c r="E3517" s="4"/>
    </row>
    <row r="3518" spans="1:5" x14ac:dyDescent="0.3">
      <c r="A3518" s="9">
        <v>3510</v>
      </c>
      <c r="B3518" s="10">
        <f t="shared" ca="1" si="54"/>
        <v>7.4591271460852718E-2</v>
      </c>
      <c r="C3518" s="10">
        <f ca="1">NPV(B3518,Project_FCF!C18:J18)+Project_FCF!B18</f>
        <v>984.85720461430037</v>
      </c>
      <c r="D3518" s="4"/>
      <c r="E3518" s="4"/>
    </row>
    <row r="3519" spans="1:5" x14ac:dyDescent="0.3">
      <c r="A3519" s="9">
        <v>3511</v>
      </c>
      <c r="B3519" s="10">
        <f t="shared" ca="1" si="54"/>
        <v>6.7319549257730094E-2</v>
      </c>
      <c r="C3519" s="10">
        <f ca="1">NPV(B3519,Project_FCF!C18:J18)+Project_FCF!B18</f>
        <v>1050.6446405610752</v>
      </c>
      <c r="D3519" s="4"/>
      <c r="E3519" s="4"/>
    </row>
    <row r="3520" spans="1:5" x14ac:dyDescent="0.3">
      <c r="A3520" s="9">
        <v>3512</v>
      </c>
      <c r="B3520" s="10">
        <f t="shared" ca="1" si="54"/>
        <v>9.2054480840932457E-2</v>
      </c>
      <c r="C3520" s="10">
        <f ca="1">NPV(B3520,Project_FCF!C18:J18)+Project_FCF!B18</f>
        <v>841.58531174918858</v>
      </c>
      <c r="D3520" s="4"/>
      <c r="E3520" s="4"/>
    </row>
    <row r="3521" spans="1:5" x14ac:dyDescent="0.3">
      <c r="A3521" s="9">
        <v>3513</v>
      </c>
      <c r="B3521" s="10">
        <f t="shared" ca="1" si="54"/>
        <v>0.10127249295923083</v>
      </c>
      <c r="C3521" s="10">
        <f ca="1">NPV(B3521,Project_FCF!C18:J18)+Project_FCF!B18</f>
        <v>773.52891944925477</v>
      </c>
      <c r="D3521" s="4"/>
      <c r="E3521" s="4"/>
    </row>
    <row r="3522" spans="1:5" x14ac:dyDescent="0.3">
      <c r="A3522" s="9">
        <v>3514</v>
      </c>
      <c r="B3522" s="10">
        <f t="shared" ca="1" si="54"/>
        <v>9.2848087754492215E-2</v>
      </c>
      <c r="C3522" s="10">
        <f ca="1">NPV(B3522,Project_FCF!C18:J18)+Project_FCF!B18</f>
        <v>835.53144913772962</v>
      </c>
      <c r="D3522" s="4"/>
      <c r="E3522" s="4"/>
    </row>
    <row r="3523" spans="1:5" x14ac:dyDescent="0.3">
      <c r="A3523" s="9">
        <v>3515</v>
      </c>
      <c r="B3523" s="10">
        <f t="shared" ca="1" si="54"/>
        <v>9.6547558071892386E-2</v>
      </c>
      <c r="C3523" s="10">
        <f ca="1">NPV(B3523,Project_FCF!C18:J18)+Project_FCF!B18</f>
        <v>807.80159563857637</v>
      </c>
      <c r="D3523" s="4"/>
      <c r="E3523" s="4"/>
    </row>
    <row r="3524" spans="1:5" x14ac:dyDescent="0.3">
      <c r="A3524" s="9">
        <v>3516</v>
      </c>
      <c r="B3524" s="10">
        <f t="shared" ca="1" si="54"/>
        <v>9.8740463376812318E-2</v>
      </c>
      <c r="C3524" s="10">
        <f ca="1">NPV(B3524,Project_FCF!C18:J18)+Project_FCF!B18</f>
        <v>791.7384235911029</v>
      </c>
      <c r="D3524" s="4"/>
      <c r="E3524" s="4"/>
    </row>
    <row r="3525" spans="1:5" x14ac:dyDescent="0.3">
      <c r="A3525" s="9">
        <v>3517</v>
      </c>
      <c r="B3525" s="10">
        <f t="shared" ca="1" si="54"/>
        <v>8.5240705015334289E-2</v>
      </c>
      <c r="C3525" s="10">
        <f ca="1">NPV(B3525,Project_FCF!C18:J18)+Project_FCF!B18</f>
        <v>895.14570394833095</v>
      </c>
      <c r="D3525" s="4"/>
      <c r="E3525" s="4"/>
    </row>
    <row r="3526" spans="1:5" x14ac:dyDescent="0.3">
      <c r="A3526" s="9">
        <v>3518</v>
      </c>
      <c r="B3526" s="10">
        <f t="shared" ca="1" si="54"/>
        <v>9.7204937260549962E-2</v>
      </c>
      <c r="C3526" s="10">
        <f ca="1">NPV(B3526,Project_FCF!C18:J18)+Project_FCF!B18</f>
        <v>802.95740764047537</v>
      </c>
      <c r="D3526" s="4"/>
      <c r="E3526" s="4"/>
    </row>
    <row r="3527" spans="1:5" x14ac:dyDescent="0.3">
      <c r="A3527" s="9">
        <v>3519</v>
      </c>
      <c r="B3527" s="10">
        <f t="shared" ca="1" si="54"/>
        <v>7.831463495165511E-2</v>
      </c>
      <c r="C3527" s="10">
        <f ca="1">NPV(B3527,Project_FCF!C18:J18)+Project_FCF!B18</f>
        <v>952.62452290893157</v>
      </c>
      <c r="D3527" s="4"/>
      <c r="E3527" s="4"/>
    </row>
    <row r="3528" spans="1:5" x14ac:dyDescent="0.3">
      <c r="A3528" s="9">
        <v>3520</v>
      </c>
      <c r="B3528" s="10">
        <f t="shared" ca="1" si="54"/>
        <v>9.0130836240261275E-2</v>
      </c>
      <c r="C3528" s="10">
        <f ca="1">NPV(B3528,Project_FCF!C18:J18)+Project_FCF!B18</f>
        <v>856.41672597237061</v>
      </c>
      <c r="D3528" s="4"/>
      <c r="E3528" s="4"/>
    </row>
    <row r="3529" spans="1:5" x14ac:dyDescent="0.3">
      <c r="A3529" s="9">
        <v>3521</v>
      </c>
      <c r="B3529" s="10">
        <f t="shared" ref="B3529:B3592" ca="1" si="55">$B$4+RAND()*($B$5-$B$4)</f>
        <v>8.1866406767855546E-2</v>
      </c>
      <c r="C3529" s="10">
        <f ca="1">NPV(B3529,Project_FCF!C18:J18)+Project_FCF!B18</f>
        <v>922.75461881767501</v>
      </c>
      <c r="D3529" s="4"/>
      <c r="E3529" s="4"/>
    </row>
    <row r="3530" spans="1:5" x14ac:dyDescent="0.3">
      <c r="A3530" s="9">
        <v>3522</v>
      </c>
      <c r="B3530" s="10">
        <f t="shared" ca="1" si="55"/>
        <v>6.730991244037518E-2</v>
      </c>
      <c r="C3530" s="10">
        <f ca="1">NPV(B3530,Project_FCF!C18:J18)+Project_FCF!B18</f>
        <v>1050.7343992678236</v>
      </c>
      <c r="D3530" s="4"/>
      <c r="E3530" s="4"/>
    </row>
    <row r="3531" spans="1:5" x14ac:dyDescent="0.3">
      <c r="A3531" s="9">
        <v>3523</v>
      </c>
      <c r="B3531" s="10">
        <f t="shared" ca="1" si="55"/>
        <v>9.3830018688975309E-2</v>
      </c>
      <c r="C3531" s="10">
        <f ca="1">NPV(B3531,Project_FCF!C18:J18)+Project_FCF!B18</f>
        <v>828.09288832625202</v>
      </c>
      <c r="D3531" s="4"/>
      <c r="E3531" s="4"/>
    </row>
    <row r="3532" spans="1:5" x14ac:dyDescent="0.3">
      <c r="A3532" s="9">
        <v>3524</v>
      </c>
      <c r="B3532" s="10">
        <f t="shared" ca="1" si="55"/>
        <v>7.1549817368479346E-2</v>
      </c>
      <c r="C3532" s="10">
        <f ca="1">NPV(B3532,Project_FCF!C18:J18)+Project_FCF!B18</f>
        <v>1011.9073632319323</v>
      </c>
      <c r="D3532" s="4"/>
      <c r="E3532" s="4"/>
    </row>
    <row r="3533" spans="1:5" x14ac:dyDescent="0.3">
      <c r="A3533" s="9">
        <v>3525</v>
      </c>
      <c r="B3533" s="10">
        <f t="shared" ca="1" si="55"/>
        <v>8.0727631747858603E-2</v>
      </c>
      <c r="C3533" s="10">
        <f ca="1">NPV(B3533,Project_FCF!C18:J18)+Project_FCF!B18</f>
        <v>932.23997514657071</v>
      </c>
      <c r="D3533" s="4"/>
      <c r="E3533" s="4"/>
    </row>
    <row r="3534" spans="1:5" x14ac:dyDescent="0.3">
      <c r="A3534" s="9">
        <v>3526</v>
      </c>
      <c r="B3534" s="10">
        <f t="shared" ca="1" si="55"/>
        <v>6.7876427570664463E-2</v>
      </c>
      <c r="C3534" s="10">
        <f ca="1">NPV(B3534,Project_FCF!C18:J18)+Project_FCF!B18</f>
        <v>1045.4696066906583</v>
      </c>
      <c r="D3534" s="4"/>
      <c r="E3534" s="4"/>
    </row>
    <row r="3535" spans="1:5" x14ac:dyDescent="0.3">
      <c r="A3535" s="9">
        <v>3527</v>
      </c>
      <c r="B3535" s="10">
        <f t="shared" ca="1" si="55"/>
        <v>9.2717664082439588E-2</v>
      </c>
      <c r="C3535" s="10">
        <f ca="1">NPV(B3535,Project_FCF!C18:J18)+Project_FCF!B18</f>
        <v>836.52377563109712</v>
      </c>
      <c r="D3535" s="4"/>
      <c r="E3535" s="4"/>
    </row>
    <row r="3536" spans="1:5" x14ac:dyDescent="0.3">
      <c r="A3536" s="9">
        <v>3528</v>
      </c>
      <c r="B3536" s="10">
        <f t="shared" ca="1" si="55"/>
        <v>8.7578830071316616E-2</v>
      </c>
      <c r="C3536" s="10">
        <f ca="1">NPV(B3536,Project_FCF!C18:J18)+Project_FCF!B18</f>
        <v>876.44201024093945</v>
      </c>
      <c r="D3536" s="4"/>
      <c r="E3536" s="4"/>
    </row>
    <row r="3537" spans="1:5" x14ac:dyDescent="0.3">
      <c r="A3537" s="9">
        <v>3529</v>
      </c>
      <c r="B3537" s="10">
        <f t="shared" ca="1" si="55"/>
        <v>8.0621837097094418E-2</v>
      </c>
      <c r="C3537" s="10">
        <f ca="1">NPV(B3537,Project_FCF!C18:J18)+Project_FCF!B18</f>
        <v>933.12554306014863</v>
      </c>
      <c r="D3537" s="4"/>
      <c r="E3537" s="4"/>
    </row>
    <row r="3538" spans="1:5" x14ac:dyDescent="0.3">
      <c r="A3538" s="9">
        <v>3530</v>
      </c>
      <c r="B3538" s="10">
        <f t="shared" ca="1" si="55"/>
        <v>9.0550765889377965E-2</v>
      </c>
      <c r="C3538" s="10">
        <f ca="1">NPV(B3538,Project_FCF!C18:J18)+Project_FCF!B18</f>
        <v>853.15991068203948</v>
      </c>
      <c r="D3538" s="4"/>
      <c r="E3538" s="4"/>
    </row>
    <row r="3539" spans="1:5" x14ac:dyDescent="0.3">
      <c r="A3539" s="9">
        <v>3531</v>
      </c>
      <c r="B3539" s="10">
        <f t="shared" ca="1" si="55"/>
        <v>9.7370432956558201E-2</v>
      </c>
      <c r="C3539" s="10">
        <f ca="1">NPV(B3539,Project_FCF!C18:J18)+Project_FCF!B18</f>
        <v>801.74178678490466</v>
      </c>
      <c r="D3539" s="4"/>
      <c r="E3539" s="4"/>
    </row>
    <row r="3540" spans="1:5" x14ac:dyDescent="0.3">
      <c r="A3540" s="9">
        <v>3532</v>
      </c>
      <c r="B3540" s="10">
        <f t="shared" ca="1" si="55"/>
        <v>7.6375893728860708E-2</v>
      </c>
      <c r="C3540" s="10">
        <f ca="1">NPV(B3540,Project_FCF!C18:J18)+Project_FCF!B18</f>
        <v>969.28852937510487</v>
      </c>
      <c r="D3540" s="4"/>
      <c r="E3540" s="4"/>
    </row>
    <row r="3541" spans="1:5" x14ac:dyDescent="0.3">
      <c r="A3541" s="9">
        <v>3533</v>
      </c>
      <c r="B3541" s="10">
        <f t="shared" ca="1" si="55"/>
        <v>6.8859540947439207E-2</v>
      </c>
      <c r="C3541" s="10">
        <f ca="1">NPV(B3541,Project_FCF!C18:J18)+Project_FCF!B18</f>
        <v>1036.3900125124135</v>
      </c>
      <c r="D3541" s="4"/>
      <c r="E3541" s="4"/>
    </row>
    <row r="3542" spans="1:5" x14ac:dyDescent="0.3">
      <c r="A3542" s="9">
        <v>3534</v>
      </c>
      <c r="B3542" s="10">
        <f t="shared" ca="1" si="55"/>
        <v>8.7706822193914111E-2</v>
      </c>
      <c r="C3542" s="10">
        <f ca="1">NPV(B3542,Project_FCF!C18:J18)+Project_FCF!B18</f>
        <v>875.42806350510909</v>
      </c>
      <c r="D3542" s="4"/>
      <c r="E3542" s="4"/>
    </row>
    <row r="3543" spans="1:5" x14ac:dyDescent="0.3">
      <c r="A3543" s="9">
        <v>3535</v>
      </c>
      <c r="B3543" s="10">
        <f t="shared" ca="1" si="55"/>
        <v>6.5147540490951575E-2</v>
      </c>
      <c r="C3543" s="10">
        <f ca="1">NPV(B3543,Project_FCF!C18:J18)+Project_FCF!B18</f>
        <v>1071.0523512693605</v>
      </c>
      <c r="D3543" s="4"/>
      <c r="E3543" s="4"/>
    </row>
    <row r="3544" spans="1:5" x14ac:dyDescent="0.3">
      <c r="A3544" s="9">
        <v>3536</v>
      </c>
      <c r="B3544" s="10">
        <f t="shared" ca="1" si="55"/>
        <v>7.823608673823218E-2</v>
      </c>
      <c r="C3544" s="10">
        <f ca="1">NPV(B3544,Project_FCF!C18:J18)+Project_FCF!B18</f>
        <v>953.29467783486143</v>
      </c>
      <c r="D3544" s="4"/>
      <c r="E3544" s="4"/>
    </row>
    <row r="3545" spans="1:5" x14ac:dyDescent="0.3">
      <c r="A3545" s="9">
        <v>3537</v>
      </c>
      <c r="B3545" s="10">
        <f t="shared" ca="1" si="55"/>
        <v>7.4481305355689545E-2</v>
      </c>
      <c r="C3545" s="10">
        <f ca="1">NPV(B3545,Project_FCF!C18:J18)+Project_FCF!B18</f>
        <v>985.82380126758903</v>
      </c>
      <c r="D3545" s="4"/>
      <c r="E3545" s="4"/>
    </row>
    <row r="3546" spans="1:5" x14ac:dyDescent="0.3">
      <c r="A3546" s="9">
        <v>3538</v>
      </c>
      <c r="B3546" s="10">
        <f t="shared" ca="1" si="55"/>
        <v>8.7636464135066802E-2</v>
      </c>
      <c r="C3546" s="10">
        <f ca="1">NPV(B3546,Project_FCF!C18:J18)+Project_FCF!B18</f>
        <v>875.98530976343136</v>
      </c>
      <c r="D3546" s="4"/>
      <c r="E3546" s="4"/>
    </row>
    <row r="3547" spans="1:5" x14ac:dyDescent="0.3">
      <c r="A3547" s="9">
        <v>3539</v>
      </c>
      <c r="B3547" s="10">
        <f t="shared" ca="1" si="55"/>
        <v>7.9435535910017174E-2</v>
      </c>
      <c r="C3547" s="10">
        <f ca="1">NPV(B3547,Project_FCF!C18:J18)+Project_FCF!B18</f>
        <v>943.10673625055142</v>
      </c>
      <c r="D3547" s="4"/>
      <c r="E3547" s="4"/>
    </row>
    <row r="3548" spans="1:5" x14ac:dyDescent="0.3">
      <c r="A3548" s="9">
        <v>3540</v>
      </c>
      <c r="B3548" s="10">
        <f t="shared" ca="1" si="55"/>
        <v>8.2674977012343998E-2</v>
      </c>
      <c r="C3548" s="10">
        <f ca="1">NPV(B3548,Project_FCF!C18:J18)+Project_FCF!B18</f>
        <v>916.07147635496972</v>
      </c>
      <c r="D3548" s="4"/>
      <c r="E3548" s="4"/>
    </row>
    <row r="3549" spans="1:5" x14ac:dyDescent="0.3">
      <c r="A3549" s="9">
        <v>3541</v>
      </c>
      <c r="B3549" s="10">
        <f t="shared" ca="1" si="55"/>
        <v>7.143928743262333E-2</v>
      </c>
      <c r="C3549" s="10">
        <f ca="1">NPV(B3549,Project_FCF!C18:J18)+Project_FCF!B18</f>
        <v>1012.9028561620819</v>
      </c>
      <c r="D3549" s="4"/>
      <c r="E3549" s="4"/>
    </row>
    <row r="3550" spans="1:5" x14ac:dyDescent="0.3">
      <c r="A3550" s="9">
        <v>3542</v>
      </c>
      <c r="B3550" s="10">
        <f t="shared" ca="1" si="55"/>
        <v>8.838463162333017E-2</v>
      </c>
      <c r="C3550" s="10">
        <f ca="1">NPV(B3550,Project_FCF!C18:J18)+Project_FCF!B18</f>
        <v>870.07549586767664</v>
      </c>
      <c r="D3550" s="4"/>
      <c r="E3550" s="4"/>
    </row>
    <row r="3551" spans="1:5" x14ac:dyDescent="0.3">
      <c r="A3551" s="9">
        <v>3543</v>
      </c>
      <c r="B3551" s="10">
        <f t="shared" ca="1" si="55"/>
        <v>8.6177207789706944E-2</v>
      </c>
      <c r="C3551" s="10">
        <f ca="1">NPV(B3551,Project_FCF!C18:J18)+Project_FCF!B18</f>
        <v>887.61276864439469</v>
      </c>
      <c r="D3551" s="4"/>
      <c r="E3551" s="4"/>
    </row>
    <row r="3552" spans="1:5" x14ac:dyDescent="0.3">
      <c r="A3552" s="9">
        <v>3544</v>
      </c>
      <c r="B3552" s="10">
        <f t="shared" ca="1" si="55"/>
        <v>7.4862889159557841E-2</v>
      </c>
      <c r="C3552" s="10">
        <f ca="1">NPV(B3552,Project_FCF!C18:J18)+Project_FCF!B18</f>
        <v>982.47333419641313</v>
      </c>
      <c r="D3552" s="4"/>
      <c r="E3552" s="4"/>
    </row>
    <row r="3553" spans="1:5" x14ac:dyDescent="0.3">
      <c r="A3553" s="9">
        <v>3545</v>
      </c>
      <c r="B3553" s="10">
        <f t="shared" ca="1" si="55"/>
        <v>8.0992519065100826E-2</v>
      </c>
      <c r="C3553" s="10">
        <f ca="1">NPV(B3553,Project_FCF!C18:J18)+Project_FCF!B18</f>
        <v>930.02595966926492</v>
      </c>
      <c r="D3553" s="4"/>
      <c r="E3553" s="4"/>
    </row>
    <row r="3554" spans="1:5" x14ac:dyDescent="0.3">
      <c r="A3554" s="9">
        <v>3546</v>
      </c>
      <c r="B3554" s="10">
        <f t="shared" ca="1" si="55"/>
        <v>9.4617534389068433E-2</v>
      </c>
      <c r="C3554" s="10">
        <f ca="1">NPV(B3554,Project_FCF!C18:J18)+Project_FCF!B18</f>
        <v>822.16826910327018</v>
      </c>
      <c r="D3554" s="4"/>
      <c r="E3554" s="4"/>
    </row>
    <row r="3555" spans="1:5" x14ac:dyDescent="0.3">
      <c r="A3555" s="9">
        <v>3547</v>
      </c>
      <c r="B3555" s="10">
        <f t="shared" ca="1" si="55"/>
        <v>8.4541677900482573E-2</v>
      </c>
      <c r="C3555" s="10">
        <f ca="1">NPV(B3555,Project_FCF!C18:J18)+Project_FCF!B18</f>
        <v>900.80487939954696</v>
      </c>
      <c r="D3555" s="4"/>
      <c r="E3555" s="4"/>
    </row>
    <row r="3556" spans="1:5" x14ac:dyDescent="0.3">
      <c r="A3556" s="9">
        <v>3548</v>
      </c>
      <c r="B3556" s="10">
        <f t="shared" ca="1" si="55"/>
        <v>7.5377419196701795E-2</v>
      </c>
      <c r="C3556" s="10">
        <f ca="1">NPV(B3556,Project_FCF!C18:J18)+Project_FCF!B18</f>
        <v>977.97167886250145</v>
      </c>
      <c r="D3556" s="4"/>
      <c r="E3556" s="4"/>
    </row>
    <row r="3557" spans="1:5" x14ac:dyDescent="0.3">
      <c r="A3557" s="9">
        <v>3549</v>
      </c>
      <c r="B3557" s="10">
        <f t="shared" ca="1" si="55"/>
        <v>8.2835088831695464E-2</v>
      </c>
      <c r="C3557" s="10">
        <f ca="1">NPV(B3557,Project_FCF!C18:J18)+Project_FCF!B18</f>
        <v>914.7531604379501</v>
      </c>
      <c r="D3557" s="4"/>
      <c r="E3557" s="4"/>
    </row>
    <row r="3558" spans="1:5" x14ac:dyDescent="0.3">
      <c r="A3558" s="9">
        <v>3550</v>
      </c>
      <c r="B3558" s="10">
        <f t="shared" ca="1" si="55"/>
        <v>9.937674744608184E-2</v>
      </c>
      <c r="C3558" s="10">
        <f ca="1">NPV(B3558,Project_FCF!C18:J18)+Project_FCF!B18</f>
        <v>787.12871105971908</v>
      </c>
      <c r="D3558" s="4"/>
      <c r="E3558" s="4"/>
    </row>
    <row r="3559" spans="1:5" x14ac:dyDescent="0.3">
      <c r="A3559" s="9">
        <v>3551</v>
      </c>
      <c r="B3559" s="10">
        <f t="shared" ca="1" si="55"/>
        <v>8.9590291855719872E-2</v>
      </c>
      <c r="C3559" s="10">
        <f ca="1">NPV(B3559,Project_FCF!C18:J18)+Project_FCF!B18</f>
        <v>860.62483010068172</v>
      </c>
      <c r="D3559" s="4"/>
      <c r="E3559" s="4"/>
    </row>
    <row r="3560" spans="1:5" x14ac:dyDescent="0.3">
      <c r="A3560" s="9">
        <v>3552</v>
      </c>
      <c r="B3560" s="10">
        <f t="shared" ca="1" si="55"/>
        <v>8.4496940922753755E-2</v>
      </c>
      <c r="C3560" s="10">
        <f ca="1">NPV(B3560,Project_FCF!C18:J18)+Project_FCF!B18</f>
        <v>901.16812579939938</v>
      </c>
      <c r="D3560" s="4"/>
      <c r="E3560" s="4"/>
    </row>
    <row r="3561" spans="1:5" x14ac:dyDescent="0.3">
      <c r="A3561" s="9">
        <v>3553</v>
      </c>
      <c r="B3561" s="10">
        <f t="shared" ca="1" si="55"/>
        <v>6.5976131047833536E-2</v>
      </c>
      <c r="C3561" s="10">
        <f ca="1">NPV(B3561,Project_FCF!C18:J18)+Project_FCF!B18</f>
        <v>1063.2249046394436</v>
      </c>
      <c r="D3561" s="4"/>
      <c r="E3561" s="4"/>
    </row>
    <row r="3562" spans="1:5" x14ac:dyDescent="0.3">
      <c r="A3562" s="9">
        <v>3554</v>
      </c>
      <c r="B3562" s="10">
        <f t="shared" ca="1" si="55"/>
        <v>9.2380696475733395E-2</v>
      </c>
      <c r="C3562" s="10">
        <f ca="1">NPV(B3562,Project_FCF!C18:J18)+Project_FCF!B18</f>
        <v>839.09228706390672</v>
      </c>
      <c r="D3562" s="4"/>
      <c r="E3562" s="4"/>
    </row>
    <row r="3563" spans="1:5" x14ac:dyDescent="0.3">
      <c r="A3563" s="9">
        <v>3555</v>
      </c>
      <c r="B3563" s="10">
        <f t="shared" ca="1" si="55"/>
        <v>8.4513417767453705E-2</v>
      </c>
      <c r="C3563" s="10">
        <f ca="1">NPV(B3563,Project_FCF!C18:J18)+Project_FCF!B18</f>
        <v>901.03432545757573</v>
      </c>
      <c r="D3563" s="4"/>
      <c r="E3563" s="4"/>
    </row>
    <row r="3564" spans="1:5" x14ac:dyDescent="0.3">
      <c r="A3564" s="9">
        <v>3556</v>
      </c>
      <c r="B3564" s="10">
        <f t="shared" ca="1" si="55"/>
        <v>0.10049976095815313</v>
      </c>
      <c r="C3564" s="10">
        <f ca="1">NPV(B3564,Project_FCF!C18:J18)+Project_FCF!B18</f>
        <v>779.04821180043746</v>
      </c>
      <c r="D3564" s="4"/>
      <c r="E3564" s="4"/>
    </row>
    <row r="3565" spans="1:5" x14ac:dyDescent="0.3">
      <c r="A3565" s="9">
        <v>3557</v>
      </c>
      <c r="B3565" s="10">
        <f t="shared" ca="1" si="55"/>
        <v>0.10380158894317118</v>
      </c>
      <c r="C3565" s="10">
        <f ca="1">NPV(B3565,Project_FCF!C18:J18)+Project_FCF!B18</f>
        <v>755.69425117704191</v>
      </c>
      <c r="D3565" s="4"/>
      <c r="E3565" s="4"/>
    </row>
    <row r="3566" spans="1:5" x14ac:dyDescent="0.3">
      <c r="A3566" s="9">
        <v>3558</v>
      </c>
      <c r="B3566" s="10">
        <f t="shared" ca="1" si="55"/>
        <v>8.1554257503755972E-2</v>
      </c>
      <c r="C3566" s="10">
        <f ca="1">NPV(B3566,Project_FCF!C18:J18)+Project_FCF!B18</f>
        <v>925.34613064927453</v>
      </c>
      <c r="D3566" s="4"/>
      <c r="E3566" s="4"/>
    </row>
    <row r="3567" spans="1:5" x14ac:dyDescent="0.3">
      <c r="A3567" s="9">
        <v>3559</v>
      </c>
      <c r="B3567" s="10">
        <f t="shared" ca="1" si="55"/>
        <v>0.10366379577772823</v>
      </c>
      <c r="C3567" s="10">
        <f ca="1">NPV(B3567,Project_FCF!C18:J18)+Project_FCF!B18</f>
        <v>756.65696569155921</v>
      </c>
      <c r="D3567" s="4"/>
      <c r="E3567" s="4"/>
    </row>
    <row r="3568" spans="1:5" x14ac:dyDescent="0.3">
      <c r="A3568" s="9">
        <v>3560</v>
      </c>
      <c r="B3568" s="10">
        <f t="shared" ca="1" si="55"/>
        <v>7.3983953098702995E-2</v>
      </c>
      <c r="C3568" s="10">
        <f ca="1">NPV(B3568,Project_FCF!C18:J18)+Project_FCF!B18</f>
        <v>990.20612709883335</v>
      </c>
      <c r="D3568" s="4"/>
      <c r="E3568" s="4"/>
    </row>
    <row r="3569" spans="1:5" x14ac:dyDescent="0.3">
      <c r="A3569" s="9">
        <v>3561</v>
      </c>
      <c r="B3569" s="10">
        <f t="shared" ca="1" si="55"/>
        <v>7.1654701149809943E-2</v>
      </c>
      <c r="C3569" s="10">
        <f ca="1">NPV(B3569,Project_FCF!C18:J18)+Project_FCF!B18</f>
        <v>1010.9635378491562</v>
      </c>
      <c r="D3569" s="4"/>
      <c r="E3569" s="4"/>
    </row>
    <row r="3570" spans="1:5" x14ac:dyDescent="0.3">
      <c r="A3570" s="9">
        <v>3562</v>
      </c>
      <c r="B3570" s="10">
        <f t="shared" ca="1" si="55"/>
        <v>6.8250749728689622E-2</v>
      </c>
      <c r="C3570" s="10">
        <f ca="1">NPV(B3570,Project_FCF!C18:J18)+Project_FCF!B18</f>
        <v>1042.0040677689942</v>
      </c>
      <c r="D3570" s="4"/>
      <c r="E3570" s="4"/>
    </row>
    <row r="3571" spans="1:5" x14ac:dyDescent="0.3">
      <c r="A3571" s="9">
        <v>3563</v>
      </c>
      <c r="B3571" s="10">
        <f t="shared" ca="1" si="55"/>
        <v>7.1687212400910166E-2</v>
      </c>
      <c r="C3571" s="10">
        <f ca="1">NPV(B3571,Project_FCF!C18:J18)+Project_FCF!B18</f>
        <v>1010.6711375166242</v>
      </c>
      <c r="D3571" s="4"/>
      <c r="E3571" s="4"/>
    </row>
    <row r="3572" spans="1:5" x14ac:dyDescent="0.3">
      <c r="A3572" s="9">
        <v>3564</v>
      </c>
      <c r="B3572" s="10">
        <f t="shared" ca="1" si="55"/>
        <v>9.6299987006153054E-2</v>
      </c>
      <c r="C3572" s="10">
        <f ca="1">NPV(B3572,Project_FCF!C18:J18)+Project_FCF!B18</f>
        <v>809.63238010288387</v>
      </c>
      <c r="D3572" s="4"/>
      <c r="E3572" s="4"/>
    </row>
    <row r="3573" spans="1:5" x14ac:dyDescent="0.3">
      <c r="A3573" s="9">
        <v>3565</v>
      </c>
      <c r="B3573" s="10">
        <f t="shared" ca="1" si="55"/>
        <v>6.9915173608405892E-2</v>
      </c>
      <c r="C3573" s="10">
        <f ca="1">NPV(B3573,Project_FCF!C18:J18)+Project_FCF!B18</f>
        <v>1026.7202259770445</v>
      </c>
      <c r="D3573" s="4"/>
      <c r="E3573" s="4"/>
    </row>
    <row r="3574" spans="1:5" x14ac:dyDescent="0.3">
      <c r="A3574" s="9">
        <v>3566</v>
      </c>
      <c r="B3574" s="10">
        <f t="shared" ca="1" si="55"/>
        <v>8.9148169472677313E-2</v>
      </c>
      <c r="C3574" s="10">
        <f ca="1">NPV(B3574,Project_FCF!C18:J18)+Project_FCF!B18</f>
        <v>864.08004145157224</v>
      </c>
      <c r="D3574" s="4"/>
      <c r="E3574" s="4"/>
    </row>
    <row r="3575" spans="1:5" x14ac:dyDescent="0.3">
      <c r="A3575" s="9">
        <v>3567</v>
      </c>
      <c r="B3575" s="10">
        <f t="shared" ca="1" si="55"/>
        <v>0.10241026158500133</v>
      </c>
      <c r="C3575" s="10">
        <f ca="1">NPV(B3575,Project_FCF!C18:J18)+Project_FCF!B18</f>
        <v>765.46233183542427</v>
      </c>
      <c r="D3575" s="4"/>
      <c r="E3575" s="4"/>
    </row>
    <row r="3576" spans="1:5" x14ac:dyDescent="0.3">
      <c r="A3576" s="9">
        <v>3568</v>
      </c>
      <c r="B3576" s="10">
        <f t="shared" ca="1" si="55"/>
        <v>8.8789030360135829E-2</v>
      </c>
      <c r="C3576" s="10">
        <f ca="1">NPV(B3576,Project_FCF!C18:J18)+Project_FCF!B18</f>
        <v>866.89558930644785</v>
      </c>
      <c r="D3576" s="4"/>
      <c r="E3576" s="4"/>
    </row>
    <row r="3577" spans="1:5" x14ac:dyDescent="0.3">
      <c r="A3577" s="9">
        <v>3569</v>
      </c>
      <c r="B3577" s="10">
        <f t="shared" ca="1" si="55"/>
        <v>8.2791753998971623E-2</v>
      </c>
      <c r="C3577" s="10">
        <f ca="1">NPV(B3577,Project_FCF!C18:J18)+Project_FCF!B18</f>
        <v>915.10980237504964</v>
      </c>
      <c r="D3577" s="4"/>
      <c r="E3577" s="4"/>
    </row>
    <row r="3578" spans="1:5" x14ac:dyDescent="0.3">
      <c r="A3578" s="9">
        <v>3570</v>
      </c>
      <c r="B3578" s="10">
        <f t="shared" ca="1" si="55"/>
        <v>9.0846628128542148E-2</v>
      </c>
      <c r="C3578" s="10">
        <f ca="1">NPV(B3578,Project_FCF!C18:J18)+Project_FCF!B18</f>
        <v>850.87175500029844</v>
      </c>
      <c r="D3578" s="4"/>
      <c r="E3578" s="4"/>
    </row>
    <row r="3579" spans="1:5" x14ac:dyDescent="0.3">
      <c r="A3579" s="9">
        <v>3571</v>
      </c>
      <c r="B3579" s="10">
        <f t="shared" ca="1" si="55"/>
        <v>7.4277854425978646E-2</v>
      </c>
      <c r="C3579" s="10">
        <f ca="1">NPV(B3579,Project_FCF!C18:J18)+Project_FCF!B18</f>
        <v>987.6143657218397</v>
      </c>
      <c r="D3579" s="4"/>
      <c r="E3579" s="4"/>
    </row>
    <row r="3580" spans="1:5" x14ac:dyDescent="0.3">
      <c r="A3580" s="9">
        <v>3572</v>
      </c>
      <c r="B3580" s="10">
        <f t="shared" ca="1" si="55"/>
        <v>6.4011935786481483E-2</v>
      </c>
      <c r="C3580" s="10">
        <f ca="1">NPV(B3580,Project_FCF!C18:J18)+Project_FCF!B18</f>
        <v>1081.8654768691474</v>
      </c>
      <c r="D3580" s="4"/>
      <c r="E3580" s="4"/>
    </row>
    <row r="3581" spans="1:5" x14ac:dyDescent="0.3">
      <c r="A3581" s="9">
        <v>3573</v>
      </c>
      <c r="B3581" s="10">
        <f t="shared" ca="1" si="55"/>
        <v>8.4393211608346799E-2</v>
      </c>
      <c r="C3581" s="10">
        <f ca="1">NPV(B3581,Project_FCF!C18:J18)+Project_FCF!B18</f>
        <v>902.01086073764122</v>
      </c>
      <c r="D3581" s="4"/>
      <c r="E3581" s="4"/>
    </row>
    <row r="3582" spans="1:5" x14ac:dyDescent="0.3">
      <c r="A3582" s="9">
        <v>3574</v>
      </c>
      <c r="B3582" s="10">
        <f t="shared" ca="1" si="55"/>
        <v>6.9920759966818097E-2</v>
      </c>
      <c r="C3582" s="10">
        <f ca="1">NPV(B3582,Project_FCF!C18:J18)+Project_FCF!B18</f>
        <v>1026.6692717256287</v>
      </c>
      <c r="D3582" s="4"/>
      <c r="E3582" s="4"/>
    </row>
    <row r="3583" spans="1:5" x14ac:dyDescent="0.3">
      <c r="A3583" s="9">
        <v>3575</v>
      </c>
      <c r="B3583" s="10">
        <f t="shared" ca="1" si="55"/>
        <v>7.1893857294685337E-2</v>
      </c>
      <c r="C3583" s="10">
        <f ca="1">NPV(B3583,Project_FCF!C18:J18)+Project_FCF!B18</f>
        <v>1008.8143905358654</v>
      </c>
      <c r="D3583" s="4"/>
      <c r="E3583" s="4"/>
    </row>
    <row r="3584" spans="1:5" x14ac:dyDescent="0.3">
      <c r="A3584" s="9">
        <v>3576</v>
      </c>
      <c r="B3584" s="10">
        <f t="shared" ca="1" si="55"/>
        <v>8.0884023167793612E-2</v>
      </c>
      <c r="C3584" s="10">
        <f ca="1">NPV(B3584,Project_FCF!C18:J18)+Project_FCF!B18</f>
        <v>930.93224150557717</v>
      </c>
      <c r="D3584" s="4"/>
      <c r="E3584" s="4"/>
    </row>
    <row r="3585" spans="1:5" x14ac:dyDescent="0.3">
      <c r="A3585" s="9">
        <v>3577</v>
      </c>
      <c r="B3585" s="10">
        <f t="shared" ca="1" si="55"/>
        <v>8.4004766183554888E-2</v>
      </c>
      <c r="C3585" s="10">
        <f ca="1">NPV(B3585,Project_FCF!C18:J18)+Project_FCF!B18</f>
        <v>905.17288004980037</v>
      </c>
      <c r="D3585" s="4"/>
      <c r="E3585" s="4"/>
    </row>
    <row r="3586" spans="1:5" x14ac:dyDescent="0.3">
      <c r="A3586" s="9">
        <v>3578</v>
      </c>
      <c r="B3586" s="10">
        <f t="shared" ca="1" si="55"/>
        <v>7.543579043769863E-2</v>
      </c>
      <c r="C3586" s="10">
        <f ca="1">NPV(B3586,Project_FCF!C18:J18)+Project_FCF!B18</f>
        <v>977.46215216409109</v>
      </c>
      <c r="D3586" s="4"/>
      <c r="E3586" s="4"/>
    </row>
    <row r="3587" spans="1:5" x14ac:dyDescent="0.3">
      <c r="A3587" s="9">
        <v>3579</v>
      </c>
      <c r="B3587" s="10">
        <f t="shared" ca="1" si="55"/>
        <v>9.1775842370571112E-2</v>
      </c>
      <c r="C3587" s="10">
        <f ca="1">NPV(B3587,Project_FCF!C18:J18)+Project_FCF!B18</f>
        <v>843.71979334715888</v>
      </c>
      <c r="D3587" s="4"/>
      <c r="E3587" s="4"/>
    </row>
    <row r="3588" spans="1:5" x14ac:dyDescent="0.3">
      <c r="A3588" s="9">
        <v>3580</v>
      </c>
      <c r="B3588" s="10">
        <f t="shared" ca="1" si="55"/>
        <v>7.2808578059271392E-2</v>
      </c>
      <c r="C3588" s="10">
        <f ca="1">NPV(B3588,Project_FCF!C18:J18)+Project_FCF!B18</f>
        <v>1000.6322502177948</v>
      </c>
      <c r="D3588" s="4"/>
      <c r="E3588" s="4"/>
    </row>
    <row r="3589" spans="1:5" x14ac:dyDescent="0.3">
      <c r="A3589" s="9">
        <v>3581</v>
      </c>
      <c r="B3589" s="10">
        <f t="shared" ca="1" si="55"/>
        <v>9.4420920833763383E-2</v>
      </c>
      <c r="C3589" s="10">
        <f ca="1">NPV(B3589,Project_FCF!C18:J18)+Project_FCF!B18</f>
        <v>823.64401177631862</v>
      </c>
      <c r="D3589" s="4"/>
      <c r="E3589" s="4"/>
    </row>
    <row r="3590" spans="1:5" x14ac:dyDescent="0.3">
      <c r="A3590" s="9">
        <v>3582</v>
      </c>
      <c r="B3590" s="10">
        <f t="shared" ca="1" si="55"/>
        <v>9.9116780840846658E-2</v>
      </c>
      <c r="C3590" s="10">
        <f ca="1">NPV(B3590,Project_FCF!C18:J18)+Project_FCF!B18</f>
        <v>789.00934500397489</v>
      </c>
      <c r="D3590" s="4"/>
      <c r="E3590" s="4"/>
    </row>
    <row r="3591" spans="1:5" x14ac:dyDescent="0.3">
      <c r="A3591" s="9">
        <v>3583</v>
      </c>
      <c r="B3591" s="10">
        <f t="shared" ca="1" si="55"/>
        <v>9.4343906151446694E-2</v>
      </c>
      <c r="C3591" s="10">
        <f ca="1">NPV(B3591,Project_FCF!C18:J18)+Project_FCF!B18</f>
        <v>824.22268745289284</v>
      </c>
      <c r="D3591" s="4"/>
      <c r="E3591" s="4"/>
    </row>
    <row r="3592" spans="1:5" x14ac:dyDescent="0.3">
      <c r="A3592" s="9">
        <v>3584</v>
      </c>
      <c r="B3592" s="10">
        <f t="shared" ca="1" si="55"/>
        <v>8.7940787641926657E-2</v>
      </c>
      <c r="C3592" s="10">
        <f ca="1">NPV(B3592,Project_FCF!C18:J18)+Project_FCF!B18</f>
        <v>873.57724148257967</v>
      </c>
      <c r="D3592" s="4"/>
      <c r="E3592" s="4"/>
    </row>
    <row r="3593" spans="1:5" x14ac:dyDescent="0.3">
      <c r="A3593" s="9">
        <v>3585</v>
      </c>
      <c r="B3593" s="10">
        <f t="shared" ref="B3593:B3656" ca="1" si="56">$B$4+RAND()*($B$5-$B$4)</f>
        <v>8.9035376797105603E-2</v>
      </c>
      <c r="C3593" s="10">
        <f ca="1">NPV(B3593,Project_FCF!C18:J18)+Project_FCF!B18</f>
        <v>864.96344726293364</v>
      </c>
      <c r="D3593" s="4"/>
      <c r="E3593" s="4"/>
    </row>
    <row r="3594" spans="1:5" x14ac:dyDescent="0.3">
      <c r="A3594" s="9">
        <v>3586</v>
      </c>
      <c r="B3594" s="10">
        <f t="shared" ca="1" si="56"/>
        <v>9.1658351796949339E-2</v>
      </c>
      <c r="C3594" s="10">
        <f ca="1">NPV(B3594,Project_FCF!C18:J18)+Project_FCF!B18</f>
        <v>844.62121657459261</v>
      </c>
      <c r="D3594" s="4"/>
      <c r="E3594" s="4"/>
    </row>
    <row r="3595" spans="1:5" x14ac:dyDescent="0.3">
      <c r="A3595" s="9">
        <v>3587</v>
      </c>
      <c r="B3595" s="10">
        <f t="shared" ca="1" si="56"/>
        <v>8.5795716548831988E-2</v>
      </c>
      <c r="C3595" s="10">
        <f ca="1">NPV(B3595,Project_FCF!C18:J18)+Project_FCF!B18</f>
        <v>890.67464523390913</v>
      </c>
      <c r="D3595" s="4"/>
      <c r="E3595" s="4"/>
    </row>
    <row r="3596" spans="1:5" x14ac:dyDescent="0.3">
      <c r="A3596" s="9">
        <v>3588</v>
      </c>
      <c r="B3596" s="10">
        <f t="shared" ca="1" si="56"/>
        <v>7.4300073310269318E-2</v>
      </c>
      <c r="C3596" s="10">
        <f ca="1">NPV(B3596,Project_FCF!C18:J18)+Project_FCF!B18</f>
        <v>987.41867647372919</v>
      </c>
      <c r="D3596" s="4"/>
      <c r="E3596" s="4"/>
    </row>
    <row r="3597" spans="1:5" x14ac:dyDescent="0.3">
      <c r="A3597" s="9">
        <v>3589</v>
      </c>
      <c r="B3597" s="10">
        <f t="shared" ca="1" si="56"/>
        <v>8.794975339327768E-2</v>
      </c>
      <c r="C3597" s="10">
        <f ca="1">NPV(B3597,Project_FCF!C18:J18)+Project_FCF!B18</f>
        <v>873.50638425381089</v>
      </c>
      <c r="D3597" s="4"/>
      <c r="E3597" s="4"/>
    </row>
    <row r="3598" spans="1:5" x14ac:dyDescent="0.3">
      <c r="A3598" s="9">
        <v>3590</v>
      </c>
      <c r="B3598" s="10">
        <f t="shared" ca="1" si="56"/>
        <v>8.2626735096003323E-2</v>
      </c>
      <c r="C3598" s="10">
        <f ca="1">NPV(B3598,Project_FCF!C18:J18)+Project_FCF!B18</f>
        <v>916.46901458583056</v>
      </c>
      <c r="D3598" s="4"/>
      <c r="E3598" s="4"/>
    </row>
    <row r="3599" spans="1:5" x14ac:dyDescent="0.3">
      <c r="A3599" s="9">
        <v>3591</v>
      </c>
      <c r="B3599" s="10">
        <f t="shared" ca="1" si="56"/>
        <v>8.1829316448112949E-2</v>
      </c>
      <c r="C3599" s="10">
        <f ca="1">NPV(B3599,Project_FCF!C18:J18)+Project_FCF!B18</f>
        <v>923.06221283095738</v>
      </c>
      <c r="D3599" s="4"/>
      <c r="E3599" s="4"/>
    </row>
    <row r="3600" spans="1:5" x14ac:dyDescent="0.3">
      <c r="A3600" s="9">
        <v>3592</v>
      </c>
      <c r="B3600" s="10">
        <f t="shared" ca="1" si="56"/>
        <v>8.8497860741132223E-2</v>
      </c>
      <c r="C3600" s="10">
        <f ca="1">NPV(B3600,Project_FCF!C18:J18)+Project_FCF!B18</f>
        <v>869.1841217209419</v>
      </c>
      <c r="D3600" s="4"/>
      <c r="E3600" s="4"/>
    </row>
    <row r="3601" spans="1:5" x14ac:dyDescent="0.3">
      <c r="A3601" s="9">
        <v>3593</v>
      </c>
      <c r="B3601" s="10">
        <f t="shared" ca="1" si="56"/>
        <v>7.7591992987213906E-2</v>
      </c>
      <c r="C3601" s="10">
        <f ca="1">NPV(B3601,Project_FCF!C18:J18)+Project_FCF!B18</f>
        <v>958.80576640560912</v>
      </c>
      <c r="D3601" s="4"/>
      <c r="E3601" s="4"/>
    </row>
    <row r="3602" spans="1:5" x14ac:dyDescent="0.3">
      <c r="A3602" s="9">
        <v>3594</v>
      </c>
      <c r="B3602" s="10">
        <f t="shared" ca="1" si="56"/>
        <v>9.2078371236099771E-2</v>
      </c>
      <c r="C3602" s="10">
        <f ca="1">NPV(B3602,Project_FCF!C18:J18)+Project_FCF!B18</f>
        <v>841.40251874334808</v>
      </c>
      <c r="D3602" s="4"/>
      <c r="E3602" s="4"/>
    </row>
    <row r="3603" spans="1:5" x14ac:dyDescent="0.3">
      <c r="A3603" s="9">
        <v>3595</v>
      </c>
      <c r="B3603" s="10">
        <f t="shared" ca="1" si="56"/>
        <v>7.8593241672456529E-2</v>
      </c>
      <c r="C3603" s="10">
        <f ca="1">NPV(B3603,Project_FCF!C18:J18)+Project_FCF!B18</f>
        <v>950.25089013046932</v>
      </c>
      <c r="D3603" s="4"/>
      <c r="E3603" s="4"/>
    </row>
    <row r="3604" spans="1:5" x14ac:dyDescent="0.3">
      <c r="A3604" s="9">
        <v>3596</v>
      </c>
      <c r="B3604" s="10">
        <f t="shared" ca="1" si="56"/>
        <v>7.5576366344677876E-2</v>
      </c>
      <c r="C3604" s="10">
        <f ca="1">NPV(B3604,Project_FCF!C18:J18)+Project_FCF!B18</f>
        <v>976.23602892369217</v>
      </c>
      <c r="D3604" s="4"/>
      <c r="E3604" s="4"/>
    </row>
    <row r="3605" spans="1:5" x14ac:dyDescent="0.3">
      <c r="A3605" s="9">
        <v>3597</v>
      </c>
      <c r="B3605" s="10">
        <f t="shared" ca="1" si="56"/>
        <v>7.0375566645929269E-2</v>
      </c>
      <c r="C3605" s="10">
        <f ca="1">NPV(B3605,Project_FCF!C18:J18)+Project_FCF!B18</f>
        <v>1022.5285498419576</v>
      </c>
      <c r="D3605" s="4"/>
      <c r="E3605" s="4"/>
    </row>
    <row r="3606" spans="1:5" x14ac:dyDescent="0.3">
      <c r="A3606" s="9">
        <v>3598</v>
      </c>
      <c r="B3606" s="10">
        <f t="shared" ca="1" si="56"/>
        <v>0.10166752106878257</v>
      </c>
      <c r="C3606" s="10">
        <f ca="1">NPV(B3606,Project_FCF!C18:J18)+Project_FCF!B18</f>
        <v>770.72016535956436</v>
      </c>
      <c r="D3606" s="4"/>
      <c r="E3606" s="4"/>
    </row>
    <row r="3607" spans="1:5" x14ac:dyDescent="0.3">
      <c r="A3607" s="9">
        <v>3599</v>
      </c>
      <c r="B3607" s="10">
        <f t="shared" ca="1" si="56"/>
        <v>9.7755631374763008E-2</v>
      </c>
      <c r="C3607" s="10">
        <f ca="1">NPV(B3607,Project_FCF!C18:J18)+Project_FCF!B18</f>
        <v>798.91844062005339</v>
      </c>
      <c r="D3607" s="4"/>
      <c r="E3607" s="4"/>
    </row>
    <row r="3608" spans="1:5" x14ac:dyDescent="0.3">
      <c r="A3608" s="9">
        <v>3600</v>
      </c>
      <c r="B3608" s="10">
        <f t="shared" ca="1" si="56"/>
        <v>7.5948603852691393E-2</v>
      </c>
      <c r="C3608" s="10">
        <f ca="1">NPV(B3608,Project_FCF!C18:J18)+Project_FCF!B18</f>
        <v>972.99595517587477</v>
      </c>
      <c r="D3608" s="4"/>
      <c r="E3608" s="4"/>
    </row>
    <row r="3609" spans="1:5" x14ac:dyDescent="0.3">
      <c r="A3609" s="9">
        <v>3601</v>
      </c>
      <c r="B3609" s="10">
        <f t="shared" ca="1" si="56"/>
        <v>9.2886406445097755E-2</v>
      </c>
      <c r="C3609" s="10">
        <f ca="1">NPV(B3609,Project_FCF!C18:J18)+Project_FCF!B18</f>
        <v>835.24009458379874</v>
      </c>
      <c r="D3609" s="4"/>
      <c r="E3609" s="4"/>
    </row>
    <row r="3610" spans="1:5" x14ac:dyDescent="0.3">
      <c r="A3610" s="9">
        <v>3602</v>
      </c>
      <c r="B3610" s="10">
        <f t="shared" ca="1" si="56"/>
        <v>8.4075144495458401E-2</v>
      </c>
      <c r="C3610" s="10">
        <f ca="1">NPV(B3610,Project_FCF!C18:J18)+Project_FCF!B18</f>
        <v>904.59926668841285</v>
      </c>
      <c r="D3610" s="4"/>
      <c r="E3610" s="4"/>
    </row>
    <row r="3611" spans="1:5" x14ac:dyDescent="0.3">
      <c r="A3611" s="9">
        <v>3603</v>
      </c>
      <c r="B3611" s="10">
        <f t="shared" ca="1" si="56"/>
        <v>9.4046459454001363E-2</v>
      </c>
      <c r="C3611" s="10">
        <f ca="1">NPV(B3611,Project_FCF!C18:J18)+Project_FCF!B18</f>
        <v>826.46092832155955</v>
      </c>
      <c r="D3611" s="4"/>
      <c r="E3611" s="4"/>
    </row>
    <row r="3612" spans="1:5" x14ac:dyDescent="0.3">
      <c r="A3612" s="9">
        <v>3604</v>
      </c>
      <c r="B3612" s="10">
        <f t="shared" ca="1" si="56"/>
        <v>9.6221493037301625E-2</v>
      </c>
      <c r="C3612" s="10">
        <f ca="1">NPV(B3612,Project_FCF!C18:J18)+Project_FCF!B18</f>
        <v>810.21358064127958</v>
      </c>
      <c r="D3612" s="4"/>
      <c r="E3612" s="4"/>
    </row>
    <row r="3613" spans="1:5" x14ac:dyDescent="0.3">
      <c r="A3613" s="9">
        <v>3605</v>
      </c>
      <c r="B3613" s="10">
        <f t="shared" ca="1" si="56"/>
        <v>9.8414078416850626E-2</v>
      </c>
      <c r="C3613" s="10">
        <f ca="1">NPV(B3613,Project_FCF!C18:J18)+Project_FCF!B18</f>
        <v>794.11186907468777</v>
      </c>
      <c r="D3613" s="4"/>
      <c r="E3613" s="4"/>
    </row>
    <row r="3614" spans="1:5" x14ac:dyDescent="0.3">
      <c r="A3614" s="9">
        <v>3606</v>
      </c>
      <c r="B3614" s="10">
        <f t="shared" ca="1" si="56"/>
        <v>7.2624864715120988E-2</v>
      </c>
      <c r="C3614" s="10">
        <f ca="1">NPV(B3614,Project_FCF!C18:J18)+Project_FCF!B18</f>
        <v>1002.2707523937347</v>
      </c>
      <c r="D3614" s="4"/>
      <c r="E3614" s="4"/>
    </row>
    <row r="3615" spans="1:5" x14ac:dyDescent="0.3">
      <c r="A3615" s="9">
        <v>3607</v>
      </c>
      <c r="B3615" s="10">
        <f t="shared" ca="1" si="56"/>
        <v>8.0980054580925387E-2</v>
      </c>
      <c r="C3615" s="10">
        <f ca="1">NPV(B3615,Project_FCF!C18:J18)+Project_FCF!B18</f>
        <v>930.13003763883762</v>
      </c>
      <c r="D3615" s="4"/>
      <c r="E3615" s="4"/>
    </row>
    <row r="3616" spans="1:5" x14ac:dyDescent="0.3">
      <c r="A3616" s="9">
        <v>3608</v>
      </c>
      <c r="B3616" s="10">
        <f t="shared" ca="1" si="56"/>
        <v>9.5352677222294152E-2</v>
      </c>
      <c r="C3616" s="10">
        <f ca="1">NPV(B3616,Project_FCF!C18:J18)+Project_FCF!B18</f>
        <v>816.67047928876309</v>
      </c>
      <c r="D3616" s="4"/>
      <c r="E3616" s="4"/>
    </row>
    <row r="3617" spans="1:5" x14ac:dyDescent="0.3">
      <c r="A3617" s="9">
        <v>3609</v>
      </c>
      <c r="B3617" s="10">
        <f t="shared" ca="1" si="56"/>
        <v>0.10215684850504642</v>
      </c>
      <c r="C3617" s="10">
        <f ca="1">NPV(B3617,Project_FCF!C18:J18)+Project_FCF!B18</f>
        <v>767.25283157902072</v>
      </c>
      <c r="D3617" s="4"/>
      <c r="E3617" s="4"/>
    </row>
    <row r="3618" spans="1:5" x14ac:dyDescent="0.3">
      <c r="A3618" s="9">
        <v>3610</v>
      </c>
      <c r="B3618" s="10">
        <f t="shared" ca="1" si="56"/>
        <v>9.6037010976830539E-2</v>
      </c>
      <c r="C3618" s="10">
        <f ca="1">NPV(B3618,Project_FCF!C18:J18)+Project_FCF!B18</f>
        <v>811.58096160515856</v>
      </c>
      <c r="D3618" s="4"/>
      <c r="E3618" s="4"/>
    </row>
    <row r="3619" spans="1:5" x14ac:dyDescent="0.3">
      <c r="A3619" s="9">
        <v>3611</v>
      </c>
      <c r="B3619" s="10">
        <f t="shared" ca="1" si="56"/>
        <v>8.9401772362002391E-2</v>
      </c>
      <c r="C3619" s="10">
        <f ca="1">NPV(B3619,Project_FCF!C18:J18)+Project_FCF!B18</f>
        <v>862.0966520197187</v>
      </c>
      <c r="D3619" s="4"/>
      <c r="E3619" s="4"/>
    </row>
    <row r="3620" spans="1:5" x14ac:dyDescent="0.3">
      <c r="A3620" s="9">
        <v>3612</v>
      </c>
      <c r="B3620" s="10">
        <f t="shared" ca="1" si="56"/>
        <v>6.6941048374315262E-2</v>
      </c>
      <c r="C3620" s="10">
        <f ca="1">NPV(B3620,Project_FCF!C18:J18)+Project_FCF!B18</f>
        <v>1054.1752942747394</v>
      </c>
      <c r="D3620" s="4"/>
      <c r="E3620" s="4"/>
    </row>
    <row r="3621" spans="1:5" x14ac:dyDescent="0.3">
      <c r="A3621" s="9">
        <v>3613</v>
      </c>
      <c r="B3621" s="10">
        <f t="shared" ca="1" si="56"/>
        <v>7.6380204533280593E-2</v>
      </c>
      <c r="C3621" s="10">
        <f ca="1">NPV(B3621,Project_FCF!C18:J18)+Project_FCF!B18</f>
        <v>969.25119055677874</v>
      </c>
      <c r="D3621" s="4"/>
      <c r="E3621" s="4"/>
    </row>
    <row r="3622" spans="1:5" x14ac:dyDescent="0.3">
      <c r="A3622" s="9">
        <v>3614</v>
      </c>
      <c r="B3622" s="10">
        <f t="shared" ca="1" si="56"/>
        <v>7.1633719801545995E-2</v>
      </c>
      <c r="C3622" s="10">
        <f ca="1">NPV(B3622,Project_FCF!C18:J18)+Project_FCF!B18</f>
        <v>1011.1522807686301</v>
      </c>
      <c r="D3622" s="4"/>
      <c r="E3622" s="4"/>
    </row>
    <row r="3623" spans="1:5" x14ac:dyDescent="0.3">
      <c r="A3623" s="9">
        <v>3615</v>
      </c>
      <c r="B3623" s="10">
        <f t="shared" ca="1" si="56"/>
        <v>7.0250629463415398E-2</v>
      </c>
      <c r="C3623" s="10">
        <f ca="1">NPV(B3623,Project_FCF!C18:J18)+Project_FCF!B18</f>
        <v>1023.6645167824993</v>
      </c>
      <c r="D3623" s="4"/>
      <c r="E3623" s="4"/>
    </row>
    <row r="3624" spans="1:5" x14ac:dyDescent="0.3">
      <c r="A3624" s="9">
        <v>3616</v>
      </c>
      <c r="B3624" s="10">
        <f t="shared" ca="1" si="56"/>
        <v>9.0814158573154988E-2</v>
      </c>
      <c r="C3624" s="10">
        <f ca="1">NPV(B3624,Project_FCF!C18:J18)+Project_FCF!B18</f>
        <v>851.12261030468517</v>
      </c>
      <c r="D3624" s="4"/>
      <c r="E3624" s="4"/>
    </row>
    <row r="3625" spans="1:5" x14ac:dyDescent="0.3">
      <c r="A3625" s="9">
        <v>3617</v>
      </c>
      <c r="B3625" s="10">
        <f t="shared" ca="1" si="56"/>
        <v>9.1589521668942062E-2</v>
      </c>
      <c r="C3625" s="10">
        <f ca="1">NPV(B3625,Project_FCF!C18:J18)+Project_FCF!B18</f>
        <v>845.14968807629498</v>
      </c>
      <c r="D3625" s="4"/>
      <c r="E3625" s="4"/>
    </row>
    <row r="3626" spans="1:5" x14ac:dyDescent="0.3">
      <c r="A3626" s="9">
        <v>3618</v>
      </c>
      <c r="B3626" s="10">
        <f t="shared" ca="1" si="56"/>
        <v>9.3052286955621497E-2</v>
      </c>
      <c r="C3626" s="10">
        <f ca="1">NPV(B3626,Project_FCF!C18:J18)+Project_FCF!B18</f>
        <v>833.97983710187395</v>
      </c>
      <c r="D3626" s="4"/>
      <c r="E3626" s="4"/>
    </row>
    <row r="3627" spans="1:5" x14ac:dyDescent="0.3">
      <c r="A3627" s="9">
        <v>3619</v>
      </c>
      <c r="B3627" s="10">
        <f t="shared" ca="1" si="56"/>
        <v>7.3936909153457714E-2</v>
      </c>
      <c r="C3627" s="10">
        <f ca="1">NPV(B3627,Project_FCF!C18:J18)+Project_FCF!B18</f>
        <v>990.62154854976916</v>
      </c>
      <c r="D3627" s="4"/>
      <c r="E3627" s="4"/>
    </row>
    <row r="3628" spans="1:5" x14ac:dyDescent="0.3">
      <c r="A3628" s="9">
        <v>3620</v>
      </c>
      <c r="B3628" s="10">
        <f t="shared" ca="1" si="56"/>
        <v>6.5733579589630012E-2</v>
      </c>
      <c r="C3628" s="10">
        <f ca="1">NPV(B3628,Project_FCF!C18:J18)+Project_FCF!B18</f>
        <v>1065.510801389122</v>
      </c>
      <c r="D3628" s="4"/>
      <c r="E3628" s="4"/>
    </row>
    <row r="3629" spans="1:5" x14ac:dyDescent="0.3">
      <c r="A3629" s="9">
        <v>3621</v>
      </c>
      <c r="B3629" s="10">
        <f t="shared" ca="1" si="56"/>
        <v>7.6150175611816751E-2</v>
      </c>
      <c r="C3629" s="10">
        <f ca="1">NPV(B3629,Project_FCF!C18:J18)+Project_FCF!B18</f>
        <v>971.24542219710247</v>
      </c>
      <c r="D3629" s="4"/>
      <c r="E3629" s="4"/>
    </row>
    <row r="3630" spans="1:5" x14ac:dyDescent="0.3">
      <c r="A3630" s="9">
        <v>3622</v>
      </c>
      <c r="B3630" s="10">
        <f t="shared" ca="1" si="56"/>
        <v>6.7101441834428149E-2</v>
      </c>
      <c r="C3630" s="10">
        <f ca="1">NPV(B3630,Project_FCF!C18:J18)+Project_FCF!B18</f>
        <v>1052.6778308686783</v>
      </c>
      <c r="D3630" s="4"/>
      <c r="E3630" s="4"/>
    </row>
    <row r="3631" spans="1:5" x14ac:dyDescent="0.3">
      <c r="A3631" s="9">
        <v>3623</v>
      </c>
      <c r="B3631" s="10">
        <f t="shared" ca="1" si="56"/>
        <v>6.7458170337927947E-2</v>
      </c>
      <c r="C3631" s="10">
        <f ca="1">NPV(B3631,Project_FCF!C18:J18)+Project_FCF!B18</f>
        <v>1049.3542742288832</v>
      </c>
      <c r="D3631" s="4"/>
      <c r="E3631" s="4"/>
    </row>
    <row r="3632" spans="1:5" x14ac:dyDescent="0.3">
      <c r="A3632" s="9">
        <v>3624</v>
      </c>
      <c r="B3632" s="10">
        <f t="shared" ca="1" si="56"/>
        <v>0.10122401138778708</v>
      </c>
      <c r="C3632" s="10">
        <f ca="1">NPV(B3632,Project_FCF!C18:J18)+Project_FCF!B18</f>
        <v>773.87422979865119</v>
      </c>
      <c r="D3632" s="4"/>
      <c r="E3632" s="4"/>
    </row>
    <row r="3633" spans="1:5" x14ac:dyDescent="0.3">
      <c r="A3633" s="9">
        <v>3625</v>
      </c>
      <c r="B3633" s="10">
        <f t="shared" ca="1" si="56"/>
        <v>0.10142285438423081</v>
      </c>
      <c r="C3633" s="10">
        <f ca="1">NPV(B3633,Project_FCF!C18:J18)+Project_FCF!B18</f>
        <v>772.45879505935545</v>
      </c>
      <c r="D3633" s="4"/>
      <c r="E3633" s="4"/>
    </row>
    <row r="3634" spans="1:5" x14ac:dyDescent="0.3">
      <c r="A3634" s="9">
        <v>3626</v>
      </c>
      <c r="B3634" s="10">
        <f t="shared" ca="1" si="56"/>
        <v>9.9214172861189248E-2</v>
      </c>
      <c r="C3634" s="10">
        <f ca="1">NPV(B3634,Project_FCF!C18:J18)+Project_FCF!B18</f>
        <v>788.30435231897741</v>
      </c>
      <c r="D3634" s="4"/>
      <c r="E3634" s="4"/>
    </row>
    <row r="3635" spans="1:5" x14ac:dyDescent="0.3">
      <c r="A3635" s="9">
        <v>3627</v>
      </c>
      <c r="B3635" s="10">
        <f t="shared" ca="1" si="56"/>
        <v>7.8881695410989772E-2</v>
      </c>
      <c r="C3635" s="10">
        <f ca="1">NPV(B3635,Project_FCF!C18:J18)+Project_FCF!B18</f>
        <v>947.79890031545006</v>
      </c>
      <c r="D3635" s="4"/>
      <c r="E3635" s="4"/>
    </row>
    <row r="3636" spans="1:5" x14ac:dyDescent="0.3">
      <c r="A3636" s="9">
        <v>3628</v>
      </c>
      <c r="B3636" s="10">
        <f t="shared" ca="1" si="56"/>
        <v>9.9965689763631072E-2</v>
      </c>
      <c r="C3636" s="10">
        <f ca="1">NPV(B3636,Project_FCF!C18:J18)+Project_FCF!B18</f>
        <v>782.88225789731109</v>
      </c>
      <c r="D3636" s="4"/>
      <c r="E3636" s="4"/>
    </row>
    <row r="3637" spans="1:5" x14ac:dyDescent="0.3">
      <c r="A3637" s="9">
        <v>3629</v>
      </c>
      <c r="B3637" s="10">
        <f t="shared" ca="1" si="56"/>
        <v>8.3295298671532014E-2</v>
      </c>
      <c r="C3637" s="10">
        <f ca="1">NPV(B3637,Project_FCF!C18:J18)+Project_FCF!B18</f>
        <v>910.97321261918682</v>
      </c>
      <c r="D3637" s="4"/>
      <c r="E3637" s="4"/>
    </row>
    <row r="3638" spans="1:5" x14ac:dyDescent="0.3">
      <c r="A3638" s="9">
        <v>3630</v>
      </c>
      <c r="B3638" s="10">
        <f t="shared" ca="1" si="56"/>
        <v>0.10017396878731026</v>
      </c>
      <c r="C3638" s="10">
        <f ca="1">NPV(B3638,Project_FCF!C18:J18)+Project_FCF!B18</f>
        <v>781.38514989048508</v>
      </c>
      <c r="D3638" s="4"/>
      <c r="E3638" s="4"/>
    </row>
    <row r="3639" spans="1:5" x14ac:dyDescent="0.3">
      <c r="A3639" s="9">
        <v>3631</v>
      </c>
      <c r="B3639" s="10">
        <f t="shared" ca="1" si="56"/>
        <v>0.10247184535262056</v>
      </c>
      <c r="C3639" s="10">
        <f ca="1">NPV(B3639,Project_FCF!C18:J18)+Project_FCF!B18</f>
        <v>765.02774038933762</v>
      </c>
      <c r="D3639" s="4"/>
      <c r="E3639" s="4"/>
    </row>
    <row r="3640" spans="1:5" x14ac:dyDescent="0.3">
      <c r="A3640" s="9">
        <v>3632</v>
      </c>
      <c r="B3640" s="10">
        <f t="shared" ca="1" si="56"/>
        <v>0.10320533947610984</v>
      </c>
      <c r="C3640" s="10">
        <f ca="1">NPV(B3640,Project_FCF!C18:J18)+Project_FCF!B18</f>
        <v>759.86744876442685</v>
      </c>
      <c r="D3640" s="4"/>
      <c r="E3640" s="4"/>
    </row>
    <row r="3641" spans="1:5" x14ac:dyDescent="0.3">
      <c r="A3641" s="9">
        <v>3633</v>
      </c>
      <c r="B3641" s="10">
        <f t="shared" ca="1" si="56"/>
        <v>8.5469754834027217E-2</v>
      </c>
      <c r="C3641" s="10">
        <f ca="1">NPV(B3641,Project_FCF!C18:J18)+Project_FCF!B18</f>
        <v>893.29815123937442</v>
      </c>
      <c r="D3641" s="4"/>
      <c r="E3641" s="4"/>
    </row>
    <row r="3642" spans="1:5" x14ac:dyDescent="0.3">
      <c r="A3642" s="9">
        <v>3634</v>
      </c>
      <c r="B3642" s="10">
        <f t="shared" ca="1" si="56"/>
        <v>6.4298865894313162E-2</v>
      </c>
      <c r="C3642" s="10">
        <f ca="1">NPV(B3642,Project_FCF!C18:J18)+Project_FCF!B18</f>
        <v>1079.1239823009876</v>
      </c>
      <c r="D3642" s="4"/>
      <c r="E3642" s="4"/>
    </row>
    <row r="3643" spans="1:5" x14ac:dyDescent="0.3">
      <c r="A3643" s="9">
        <v>3635</v>
      </c>
      <c r="B3643" s="10">
        <f t="shared" ca="1" si="56"/>
        <v>6.6919018349008416E-2</v>
      </c>
      <c r="C3643" s="10">
        <f ca="1">NPV(B3643,Project_FCF!C18:J18)+Project_FCF!B18</f>
        <v>1054.3811218871499</v>
      </c>
      <c r="D3643" s="4"/>
      <c r="E3643" s="4"/>
    </row>
    <row r="3644" spans="1:5" x14ac:dyDescent="0.3">
      <c r="A3644" s="9">
        <v>3636</v>
      </c>
      <c r="B3644" s="10">
        <f t="shared" ca="1" si="56"/>
        <v>8.1426227251194222E-2</v>
      </c>
      <c r="C3644" s="10">
        <f ca="1">NPV(B3644,Project_FCF!C18:J18)+Project_FCF!B18</f>
        <v>926.41091387321967</v>
      </c>
      <c r="D3644" s="4"/>
      <c r="E3644" s="4"/>
    </row>
    <row r="3645" spans="1:5" x14ac:dyDescent="0.3">
      <c r="A3645" s="9">
        <v>3637</v>
      </c>
      <c r="B3645" s="10">
        <f t="shared" ca="1" si="56"/>
        <v>9.8558418829891692E-2</v>
      </c>
      <c r="C3645" s="10">
        <f ca="1">NPV(B3645,Project_FCF!C18:J18)+Project_FCF!B18</f>
        <v>793.06149336389808</v>
      </c>
      <c r="D3645" s="4"/>
      <c r="E3645" s="4"/>
    </row>
    <row r="3646" spans="1:5" x14ac:dyDescent="0.3">
      <c r="A3646" s="9">
        <v>3638</v>
      </c>
      <c r="B3646" s="10">
        <f t="shared" ca="1" si="56"/>
        <v>9.8354850712423669E-2</v>
      </c>
      <c r="C3646" s="10">
        <f ca="1">NPV(B3646,Project_FCF!C18:J18)+Project_FCF!B18</f>
        <v>794.54321503360143</v>
      </c>
      <c r="D3646" s="4"/>
      <c r="E3646" s="4"/>
    </row>
    <row r="3647" spans="1:5" x14ac:dyDescent="0.3">
      <c r="A3647" s="9">
        <v>3639</v>
      </c>
      <c r="B3647" s="10">
        <f t="shared" ca="1" si="56"/>
        <v>8.4803862277913783E-2</v>
      </c>
      <c r="C3647" s="10">
        <f ca="1">NPV(B3647,Project_FCF!C18:J18)+Project_FCF!B18</f>
        <v>898.6786266476372</v>
      </c>
      <c r="D3647" s="4"/>
      <c r="E3647" s="4"/>
    </row>
    <row r="3648" spans="1:5" x14ac:dyDescent="0.3">
      <c r="A3648" s="9">
        <v>3640</v>
      </c>
      <c r="B3648" s="10">
        <f t="shared" ca="1" si="56"/>
        <v>7.1683831455377003E-2</v>
      </c>
      <c r="C3648" s="10">
        <f ca="1">NPV(B3648,Project_FCF!C18:J18)+Project_FCF!B18</f>
        <v>1010.7015415819151</v>
      </c>
      <c r="D3648" s="4"/>
      <c r="E3648" s="4"/>
    </row>
    <row r="3649" spans="1:5" x14ac:dyDescent="0.3">
      <c r="A3649" s="9">
        <v>3641</v>
      </c>
      <c r="B3649" s="10">
        <f t="shared" ca="1" si="56"/>
        <v>8.1253877410276093E-2</v>
      </c>
      <c r="C3649" s="10">
        <f ca="1">NPV(B3649,Project_FCF!C18:J18)+Project_FCF!B18</f>
        <v>927.84599597042393</v>
      </c>
      <c r="D3649" s="4"/>
      <c r="E3649" s="4"/>
    </row>
    <row r="3650" spans="1:5" x14ac:dyDescent="0.3">
      <c r="A3650" s="9">
        <v>3642</v>
      </c>
      <c r="B3650" s="10">
        <f t="shared" ca="1" si="56"/>
        <v>6.6815856019097772E-2</v>
      </c>
      <c r="C3650" s="10">
        <f ca="1">NPV(B3650,Project_FCF!C18:J18)+Project_FCF!B18</f>
        <v>1055.345458847419</v>
      </c>
      <c r="D3650" s="4"/>
      <c r="E3650" s="4"/>
    </row>
    <row r="3651" spans="1:5" x14ac:dyDescent="0.3">
      <c r="A3651" s="9">
        <v>3643</v>
      </c>
      <c r="B3651" s="10">
        <f t="shared" ca="1" si="56"/>
        <v>8.1009909043312053E-2</v>
      </c>
      <c r="C3651" s="10">
        <f ca="1">NPV(B3651,Project_FCF!C18:J18)+Project_FCF!B18</f>
        <v>929.88077120663411</v>
      </c>
      <c r="D3651" s="4"/>
      <c r="E3651" s="4"/>
    </row>
    <row r="3652" spans="1:5" x14ac:dyDescent="0.3">
      <c r="A3652" s="9">
        <v>3644</v>
      </c>
      <c r="B3652" s="10">
        <f t="shared" ca="1" si="56"/>
        <v>9.4616610124661729E-2</v>
      </c>
      <c r="C3652" s="10">
        <f ca="1">NPV(B3652,Project_FCF!C18:J18)+Project_FCF!B18</f>
        <v>822.17520114491685</v>
      </c>
      <c r="D3652" s="4"/>
      <c r="E3652" s="4"/>
    </row>
    <row r="3653" spans="1:5" x14ac:dyDescent="0.3">
      <c r="A3653" s="9">
        <v>3645</v>
      </c>
      <c r="B3653" s="10">
        <f t="shared" ca="1" si="56"/>
        <v>9.3557592957296043E-2</v>
      </c>
      <c r="C3653" s="10">
        <f ca="1">NPV(B3653,Project_FCF!C18:J18)+Project_FCF!B18</f>
        <v>830.15090634059857</v>
      </c>
      <c r="D3653" s="4"/>
      <c r="E3653" s="4"/>
    </row>
    <row r="3654" spans="1:5" x14ac:dyDescent="0.3">
      <c r="A3654" s="9">
        <v>3646</v>
      </c>
      <c r="B3654" s="10">
        <f t="shared" ca="1" si="56"/>
        <v>8.3642811987235499E-2</v>
      </c>
      <c r="C3654" s="10">
        <f ca="1">NPV(B3654,Project_FCF!C18:J18)+Project_FCF!B18</f>
        <v>908.12801025022191</v>
      </c>
      <c r="D3654" s="4"/>
      <c r="E3654" s="4"/>
    </row>
    <row r="3655" spans="1:5" x14ac:dyDescent="0.3">
      <c r="A3655" s="9">
        <v>3647</v>
      </c>
      <c r="B3655" s="10">
        <f t="shared" ca="1" si="56"/>
        <v>6.4079109189052491E-2</v>
      </c>
      <c r="C3655" s="10">
        <f ca="1">NPV(B3655,Project_FCF!C18:J18)+Project_FCF!B18</f>
        <v>1081.2230937186243</v>
      </c>
      <c r="D3655" s="4"/>
      <c r="E3655" s="4"/>
    </row>
    <row r="3656" spans="1:5" x14ac:dyDescent="0.3">
      <c r="A3656" s="9">
        <v>3648</v>
      </c>
      <c r="B3656" s="10">
        <f t="shared" ca="1" si="56"/>
        <v>6.602902921746201E-2</v>
      </c>
      <c r="C3656" s="10">
        <f ca="1">NPV(B3656,Project_FCF!C18:J18)+Project_FCF!B18</f>
        <v>1062.7269659518652</v>
      </c>
      <c r="D3656" s="4"/>
      <c r="E3656" s="4"/>
    </row>
    <row r="3657" spans="1:5" x14ac:dyDescent="0.3">
      <c r="A3657" s="9">
        <v>3649</v>
      </c>
      <c r="B3657" s="10">
        <f t="shared" ref="B3657:B3720" ca="1" si="57">$B$4+RAND()*($B$5-$B$4)</f>
        <v>8.9336633131971599E-2</v>
      </c>
      <c r="C3657" s="10">
        <f ca="1">NPV(B3657,Project_FCF!C18:J18)+Project_FCF!B18</f>
        <v>862.60571860148866</v>
      </c>
      <c r="D3657" s="4"/>
      <c r="E3657" s="4"/>
    </row>
    <row r="3658" spans="1:5" x14ac:dyDescent="0.3">
      <c r="A3658" s="9">
        <v>3650</v>
      </c>
      <c r="B3658" s="10">
        <f t="shared" ca="1" si="57"/>
        <v>8.6141643795625736E-2</v>
      </c>
      <c r="C3658" s="10">
        <f ca="1">NPV(B3658,Project_FCF!C18:J18)+Project_FCF!B18</f>
        <v>887.89781847509175</v>
      </c>
      <c r="D3658" s="4"/>
      <c r="E3658" s="4"/>
    </row>
    <row r="3659" spans="1:5" x14ac:dyDescent="0.3">
      <c r="A3659" s="9">
        <v>3651</v>
      </c>
      <c r="B3659" s="10">
        <f t="shared" ca="1" si="57"/>
        <v>0.10390842388724669</v>
      </c>
      <c r="C3659" s="10">
        <f ca="1">NPV(B3659,Project_FCF!C18:J18)+Project_FCF!B18</f>
        <v>754.948537673386</v>
      </c>
      <c r="D3659" s="4"/>
      <c r="E3659" s="4"/>
    </row>
    <row r="3660" spans="1:5" x14ac:dyDescent="0.3">
      <c r="A3660" s="9">
        <v>3652</v>
      </c>
      <c r="B3660" s="10">
        <f t="shared" ca="1" si="57"/>
        <v>9.823668605188865E-2</v>
      </c>
      <c r="C3660" s="10">
        <f ca="1">NPV(B3660,Project_FCF!C18:J18)+Project_FCF!B18</f>
        <v>795.40438399313666</v>
      </c>
      <c r="D3660" s="4"/>
      <c r="E3660" s="4"/>
    </row>
    <row r="3661" spans="1:5" x14ac:dyDescent="0.3">
      <c r="A3661" s="9">
        <v>3653</v>
      </c>
      <c r="B3661" s="10">
        <f t="shared" ca="1" si="57"/>
        <v>0.1018887361667007</v>
      </c>
      <c r="C3661" s="10">
        <f ca="1">NPV(B3661,Project_FCF!C18:J18)+Project_FCF!B18</f>
        <v>769.15102358745958</v>
      </c>
      <c r="D3661" s="4"/>
      <c r="E3661" s="4"/>
    </row>
    <row r="3662" spans="1:5" x14ac:dyDescent="0.3">
      <c r="A3662" s="9">
        <v>3654</v>
      </c>
      <c r="B3662" s="10">
        <f t="shared" ca="1" si="57"/>
        <v>9.9945575926914845E-2</v>
      </c>
      <c r="C3662" s="10">
        <f ca="1">NPV(B3662,Project_FCF!C18:J18)+Project_FCF!B18</f>
        <v>783.02696435181065</v>
      </c>
      <c r="D3662" s="4"/>
      <c r="E3662" s="4"/>
    </row>
    <row r="3663" spans="1:5" x14ac:dyDescent="0.3">
      <c r="A3663" s="9">
        <v>3655</v>
      </c>
      <c r="B3663" s="10">
        <f t="shared" ca="1" si="57"/>
        <v>9.2911118357338632E-2</v>
      </c>
      <c r="C3663" s="10">
        <f ca="1">NPV(B3663,Project_FCF!C18:J18)+Project_FCF!B18</f>
        <v>835.05224496937649</v>
      </c>
      <c r="D3663" s="4"/>
      <c r="E3663" s="4"/>
    </row>
    <row r="3664" spans="1:5" x14ac:dyDescent="0.3">
      <c r="A3664" s="9">
        <v>3656</v>
      </c>
      <c r="B3664" s="10">
        <f t="shared" ca="1" si="57"/>
        <v>8.4906262758647405E-2</v>
      </c>
      <c r="C3664" s="10">
        <f ca="1">NPV(B3664,Project_FCF!C18:J18)+Project_FCF!B18</f>
        <v>897.8493785637329</v>
      </c>
      <c r="D3664" s="4"/>
      <c r="E3664" s="4"/>
    </row>
    <row r="3665" spans="1:5" x14ac:dyDescent="0.3">
      <c r="A3665" s="9">
        <v>3657</v>
      </c>
      <c r="B3665" s="10">
        <f t="shared" ca="1" si="57"/>
        <v>8.0226768615779639E-2</v>
      </c>
      <c r="C3665" s="10">
        <f ca="1">NPV(B3665,Project_FCF!C18:J18)+Project_FCF!B18</f>
        <v>936.43909678345335</v>
      </c>
      <c r="D3665" s="4"/>
      <c r="E3665" s="4"/>
    </row>
    <row r="3666" spans="1:5" x14ac:dyDescent="0.3">
      <c r="A3666" s="9">
        <v>3658</v>
      </c>
      <c r="B3666" s="10">
        <f t="shared" ca="1" si="57"/>
        <v>8.9438885015099737E-2</v>
      </c>
      <c r="C3666" s="10">
        <f ca="1">NPV(B3666,Project_FCF!C18:J18)+Project_FCF!B18</f>
        <v>861.80673119544849</v>
      </c>
      <c r="D3666" s="4"/>
      <c r="E3666" s="4"/>
    </row>
    <row r="3667" spans="1:5" x14ac:dyDescent="0.3">
      <c r="A3667" s="9">
        <v>3659</v>
      </c>
      <c r="B3667" s="10">
        <f t="shared" ca="1" si="57"/>
        <v>9.262201167577376E-2</v>
      </c>
      <c r="C3667" s="10">
        <f ca="1">NPV(B3667,Project_FCF!C18:J18)+Project_FCF!B18</f>
        <v>837.25219016136816</v>
      </c>
      <c r="D3667" s="4"/>
      <c r="E3667" s="4"/>
    </row>
    <row r="3668" spans="1:5" x14ac:dyDescent="0.3">
      <c r="A3668" s="9">
        <v>3660</v>
      </c>
      <c r="B3668" s="10">
        <f t="shared" ca="1" si="57"/>
        <v>0.1039305374495039</v>
      </c>
      <c r="C3668" s="10">
        <f ca="1">NPV(B3668,Project_FCF!C18:J18)+Project_FCF!B18</f>
        <v>754.79426085631235</v>
      </c>
      <c r="D3668" s="4"/>
      <c r="E3668" s="4"/>
    </row>
    <row r="3669" spans="1:5" x14ac:dyDescent="0.3">
      <c r="A3669" s="9">
        <v>3661</v>
      </c>
      <c r="B3669" s="10">
        <f t="shared" ca="1" si="57"/>
        <v>0.10273182677424197</v>
      </c>
      <c r="C3669" s="10">
        <f ca="1">NPV(B3669,Project_FCF!C18:J18)+Project_FCF!B18</f>
        <v>763.19535801089091</v>
      </c>
      <c r="D3669" s="4"/>
      <c r="E3669" s="4"/>
    </row>
    <row r="3670" spans="1:5" x14ac:dyDescent="0.3">
      <c r="A3670" s="9">
        <v>3662</v>
      </c>
      <c r="B3670" s="10">
        <f t="shared" ca="1" si="57"/>
        <v>8.4766120923331051E-2</v>
      </c>
      <c r="C3670" s="10">
        <f ca="1">NPV(B3670,Project_FCF!C18:J18)+Project_FCF!B18</f>
        <v>898.98442868980146</v>
      </c>
      <c r="D3670" s="4"/>
      <c r="E3670" s="4"/>
    </row>
    <row r="3671" spans="1:5" x14ac:dyDescent="0.3">
      <c r="A3671" s="9">
        <v>3663</v>
      </c>
      <c r="B3671" s="10">
        <f t="shared" ca="1" si="57"/>
        <v>9.8762838980802362E-2</v>
      </c>
      <c r="C3671" s="10">
        <f ca="1">NPV(B3671,Project_FCF!C18:J18)+Project_FCF!B18</f>
        <v>791.57593071334736</v>
      </c>
      <c r="D3671" s="4"/>
      <c r="E3671" s="4"/>
    </row>
    <row r="3672" spans="1:5" x14ac:dyDescent="0.3">
      <c r="A3672" s="9">
        <v>3664</v>
      </c>
      <c r="B3672" s="10">
        <f t="shared" ca="1" si="57"/>
        <v>8.8528647618262263E-2</v>
      </c>
      <c r="C3672" s="10">
        <f ca="1">NPV(B3672,Project_FCF!C18:J18)+Project_FCF!B18</f>
        <v>868.94189534173984</v>
      </c>
      <c r="D3672" s="4"/>
      <c r="E3672" s="4"/>
    </row>
    <row r="3673" spans="1:5" x14ac:dyDescent="0.3">
      <c r="A3673" s="9">
        <v>3665</v>
      </c>
      <c r="B3673" s="10">
        <f t="shared" ca="1" si="57"/>
        <v>8.5483921956364478E-2</v>
      </c>
      <c r="C3673" s="10">
        <f ca="1">NPV(B3673,Project_FCF!C18:J18)+Project_FCF!B18</f>
        <v>893.18398663728021</v>
      </c>
      <c r="D3673" s="4"/>
      <c r="E3673" s="4"/>
    </row>
    <row r="3674" spans="1:5" x14ac:dyDescent="0.3">
      <c r="A3674" s="9">
        <v>3666</v>
      </c>
      <c r="B3674" s="10">
        <f t="shared" ca="1" si="57"/>
        <v>6.9971787899690843E-2</v>
      </c>
      <c r="C3674" s="10">
        <f ca="1">NPV(B3674,Project_FCF!C18:J18)+Project_FCF!B18</f>
        <v>1026.2039418964885</v>
      </c>
      <c r="D3674" s="4"/>
      <c r="E3674" s="4"/>
    </row>
    <row r="3675" spans="1:5" x14ac:dyDescent="0.3">
      <c r="A3675" s="9">
        <v>3667</v>
      </c>
      <c r="B3675" s="10">
        <f t="shared" ca="1" si="57"/>
        <v>0.10174733076405362</v>
      </c>
      <c r="C3675" s="10">
        <f ca="1">NPV(B3675,Project_FCF!C18:J18)+Project_FCF!B18</f>
        <v>770.15374192902163</v>
      </c>
      <c r="D3675" s="4"/>
      <c r="E3675" s="4"/>
    </row>
    <row r="3676" spans="1:5" x14ac:dyDescent="0.3">
      <c r="A3676" s="9">
        <v>3668</v>
      </c>
      <c r="B3676" s="10">
        <f t="shared" ca="1" si="57"/>
        <v>9.223968863751536E-2</v>
      </c>
      <c r="C3676" s="10">
        <f ca="1">NPV(B3676,Project_FCF!C18:J18)+Project_FCF!B18</f>
        <v>840.16912355276963</v>
      </c>
      <c r="D3676" s="4"/>
      <c r="E3676" s="4"/>
    </row>
    <row r="3677" spans="1:5" x14ac:dyDescent="0.3">
      <c r="A3677" s="9">
        <v>3669</v>
      </c>
      <c r="B3677" s="10">
        <f t="shared" ca="1" si="57"/>
        <v>9.6492899191358228E-2</v>
      </c>
      <c r="C3677" s="10">
        <f ca="1">NPV(B3677,Project_FCF!C18:J18)+Project_FCF!B18</f>
        <v>808.20549315625408</v>
      </c>
      <c r="D3677" s="4"/>
      <c r="E3677" s="4"/>
    </row>
    <row r="3678" spans="1:5" x14ac:dyDescent="0.3">
      <c r="A3678" s="9">
        <v>3670</v>
      </c>
      <c r="B3678" s="10">
        <f t="shared" ca="1" si="57"/>
        <v>8.014305580929576E-2</v>
      </c>
      <c r="C3678" s="10">
        <f ca="1">NPV(B3678,Project_FCF!C18:J18)+Project_FCF!B18</f>
        <v>937.14255577338326</v>
      </c>
      <c r="D3678" s="4"/>
      <c r="E3678" s="4"/>
    </row>
    <row r="3679" spans="1:5" x14ac:dyDescent="0.3">
      <c r="A3679" s="9">
        <v>3671</v>
      </c>
      <c r="B3679" s="10">
        <f t="shared" ca="1" si="57"/>
        <v>0.1008542055416958</v>
      </c>
      <c r="C3679" s="10">
        <f ca="1">NPV(B3679,Project_FCF!C18:J18)+Project_FCF!B18</f>
        <v>776.51245513540221</v>
      </c>
      <c r="D3679" s="4"/>
      <c r="E3679" s="4"/>
    </row>
    <row r="3680" spans="1:5" x14ac:dyDescent="0.3">
      <c r="A3680" s="9">
        <v>3672</v>
      </c>
      <c r="B3680" s="10">
        <f t="shared" ca="1" si="57"/>
        <v>0.10326132676632155</v>
      </c>
      <c r="C3680" s="10">
        <f ca="1">NPV(B3680,Project_FCF!C18:J18)+Project_FCF!B18</f>
        <v>759.47476910492651</v>
      </c>
      <c r="D3680" s="4"/>
      <c r="E3680" s="4"/>
    </row>
    <row r="3681" spans="1:5" x14ac:dyDescent="0.3">
      <c r="A3681" s="9">
        <v>3673</v>
      </c>
      <c r="B3681" s="10">
        <f t="shared" ca="1" si="57"/>
        <v>8.7725151418654487E-2</v>
      </c>
      <c r="C3681" s="10">
        <f ca="1">NPV(B3681,Project_FCF!C18:J18)+Project_FCF!B18</f>
        <v>875.28294402164124</v>
      </c>
      <c r="D3681" s="4"/>
      <c r="E3681" s="4"/>
    </row>
    <row r="3682" spans="1:5" x14ac:dyDescent="0.3">
      <c r="A3682" s="9">
        <v>3674</v>
      </c>
      <c r="B3682" s="10">
        <f t="shared" ca="1" si="57"/>
        <v>9.3524013558895266E-2</v>
      </c>
      <c r="C3682" s="10">
        <f ca="1">NPV(B3682,Project_FCF!C18:J18)+Project_FCF!B18</f>
        <v>830.4048830340505</v>
      </c>
      <c r="D3682" s="4"/>
      <c r="E3682" s="4"/>
    </row>
    <row r="3683" spans="1:5" x14ac:dyDescent="0.3">
      <c r="A3683" s="9">
        <v>3675</v>
      </c>
      <c r="B3683" s="10">
        <f t="shared" ca="1" si="57"/>
        <v>6.7417584245132403E-2</v>
      </c>
      <c r="C3683" s="10">
        <f ca="1">NPV(B3683,Project_FCF!C18:J18)+Project_FCF!B18</f>
        <v>1049.7319242863125</v>
      </c>
      <c r="D3683" s="4"/>
      <c r="E3683" s="4"/>
    </row>
    <row r="3684" spans="1:5" x14ac:dyDescent="0.3">
      <c r="A3684" s="9">
        <v>3676</v>
      </c>
      <c r="B3684" s="10">
        <f t="shared" ca="1" si="57"/>
        <v>7.9917084664249155E-2</v>
      </c>
      <c r="C3684" s="10">
        <f ca="1">NPV(B3684,Project_FCF!C18:J18)+Project_FCF!B18</f>
        <v>939.04378267265633</v>
      </c>
      <c r="D3684" s="4"/>
      <c r="E3684" s="4"/>
    </row>
    <row r="3685" spans="1:5" x14ac:dyDescent="0.3">
      <c r="A3685" s="9">
        <v>3677</v>
      </c>
      <c r="B3685" s="10">
        <f t="shared" ca="1" si="57"/>
        <v>8.2183141031550194E-2</v>
      </c>
      <c r="C3685" s="10">
        <f ca="1">NPV(B3685,Project_FCF!C18:J18)+Project_FCF!B18</f>
        <v>920.13158707015418</v>
      </c>
      <c r="D3685" s="4"/>
      <c r="E3685" s="4"/>
    </row>
    <row r="3686" spans="1:5" x14ac:dyDescent="0.3">
      <c r="A3686" s="9">
        <v>3678</v>
      </c>
      <c r="B3686" s="10">
        <f t="shared" ca="1" si="57"/>
        <v>8.7551048232040365E-2</v>
      </c>
      <c r="C3686" s="10">
        <f ca="1">NPV(B3686,Project_FCF!C18:J18)+Project_FCF!B18</f>
        <v>876.66223153743181</v>
      </c>
      <c r="D3686" s="4"/>
      <c r="E3686" s="4"/>
    </row>
    <row r="3687" spans="1:5" x14ac:dyDescent="0.3">
      <c r="A3687" s="9">
        <v>3679</v>
      </c>
      <c r="B3687" s="10">
        <f t="shared" ca="1" si="57"/>
        <v>8.0017569835720129E-2</v>
      </c>
      <c r="C3687" s="10">
        <f ca="1">NPV(B3687,Project_FCF!C18:J18)+Project_FCF!B18</f>
        <v>938.19792108220736</v>
      </c>
      <c r="D3687" s="4"/>
      <c r="E3687" s="4"/>
    </row>
    <row r="3688" spans="1:5" x14ac:dyDescent="0.3">
      <c r="A3688" s="9">
        <v>3680</v>
      </c>
      <c r="B3688" s="10">
        <f t="shared" ca="1" si="57"/>
        <v>9.5079001356929288E-2</v>
      </c>
      <c r="C3688" s="10">
        <f ca="1">NPV(B3688,Project_FCF!C18:J18)+Project_FCF!B18</f>
        <v>818.71348414137242</v>
      </c>
      <c r="D3688" s="4"/>
      <c r="E3688" s="4"/>
    </row>
    <row r="3689" spans="1:5" x14ac:dyDescent="0.3">
      <c r="A3689" s="9">
        <v>3681</v>
      </c>
      <c r="B3689" s="10">
        <f t="shared" ca="1" si="57"/>
        <v>7.0825392539255794E-2</v>
      </c>
      <c r="C3689" s="10">
        <f ca="1">NPV(B3689,Project_FCF!C18:J18)+Project_FCF!B18</f>
        <v>1018.4480151824098</v>
      </c>
      <c r="D3689" s="4"/>
      <c r="E3689" s="4"/>
    </row>
    <row r="3690" spans="1:5" x14ac:dyDescent="0.3">
      <c r="A3690" s="9">
        <v>3682</v>
      </c>
      <c r="B3690" s="10">
        <f t="shared" ca="1" si="57"/>
        <v>9.8402144173536502E-2</v>
      </c>
      <c r="C3690" s="10">
        <f ca="1">NPV(B3690,Project_FCF!C18:J18)+Project_FCF!B18</f>
        <v>794.19876827200505</v>
      </c>
      <c r="D3690" s="4"/>
      <c r="E3690" s="4"/>
    </row>
    <row r="3691" spans="1:5" x14ac:dyDescent="0.3">
      <c r="A3691" s="9">
        <v>3683</v>
      </c>
      <c r="B3691" s="10">
        <f t="shared" ca="1" si="57"/>
        <v>7.9567777786700003E-2</v>
      </c>
      <c r="C3691" s="10">
        <f ca="1">NPV(B3691,Project_FCF!C18:J18)+Project_FCF!B18</f>
        <v>941.98942798145345</v>
      </c>
      <c r="D3691" s="4"/>
      <c r="E3691" s="4"/>
    </row>
    <row r="3692" spans="1:5" x14ac:dyDescent="0.3">
      <c r="A3692" s="9">
        <v>3684</v>
      </c>
      <c r="B3692" s="10">
        <f t="shared" ca="1" si="57"/>
        <v>7.0537036524094945E-2</v>
      </c>
      <c r="C3692" s="10">
        <f ca="1">NPV(B3692,Project_FCF!C18:J18)+Project_FCF!B18</f>
        <v>1021.0621028499879</v>
      </c>
      <c r="D3692" s="4"/>
      <c r="E3692" s="4"/>
    </row>
    <row r="3693" spans="1:5" x14ac:dyDescent="0.3">
      <c r="A3693" s="9">
        <v>3685</v>
      </c>
      <c r="B3693" s="10">
        <f t="shared" ca="1" si="57"/>
        <v>7.6659908891965903E-2</v>
      </c>
      <c r="C3693" s="10">
        <f ca="1">NPV(B3693,Project_FCF!C18:J18)+Project_FCF!B18</f>
        <v>966.83122117581161</v>
      </c>
      <c r="D3693" s="4"/>
      <c r="E3693" s="4"/>
    </row>
    <row r="3694" spans="1:5" x14ac:dyDescent="0.3">
      <c r="A3694" s="9">
        <v>3686</v>
      </c>
      <c r="B3694" s="10">
        <f t="shared" ca="1" si="57"/>
        <v>8.222480875245658E-2</v>
      </c>
      <c r="C3694" s="10">
        <f ca="1">NPV(B3694,Project_FCF!C18:J18)+Project_FCF!B18</f>
        <v>919.78700598705768</v>
      </c>
      <c r="D3694" s="4"/>
      <c r="E3694" s="4"/>
    </row>
    <row r="3695" spans="1:5" x14ac:dyDescent="0.3">
      <c r="A3695" s="9">
        <v>3687</v>
      </c>
      <c r="B3695" s="10">
        <f t="shared" ca="1" si="57"/>
        <v>6.7776194385434793E-2</v>
      </c>
      <c r="C3695" s="10">
        <f ca="1">NPV(B3695,Project_FCF!C18:J18)+Project_FCF!B18</f>
        <v>1046.3993559915061</v>
      </c>
      <c r="D3695" s="4"/>
      <c r="E3695" s="4"/>
    </row>
    <row r="3696" spans="1:5" x14ac:dyDescent="0.3">
      <c r="A3696" s="9">
        <v>3688</v>
      </c>
      <c r="B3696" s="10">
        <f t="shared" ca="1" si="57"/>
        <v>6.6963878113653438E-2</v>
      </c>
      <c r="C3696" s="10">
        <f ca="1">NPV(B3696,Project_FCF!C18:J18)+Project_FCF!B18</f>
        <v>1053.9620334338133</v>
      </c>
      <c r="D3696" s="4"/>
      <c r="E3696" s="4"/>
    </row>
    <row r="3697" spans="1:5" x14ac:dyDescent="0.3">
      <c r="A3697" s="9">
        <v>3689</v>
      </c>
      <c r="B3697" s="10">
        <f t="shared" ca="1" si="57"/>
        <v>6.4503778340436371E-2</v>
      </c>
      <c r="C3697" s="10">
        <f ca="1">NPV(B3697,Project_FCF!C18:J18)+Project_FCF!B18</f>
        <v>1077.1700179645593</v>
      </c>
      <c r="D3697" s="4"/>
      <c r="E3697" s="4"/>
    </row>
    <row r="3698" spans="1:5" x14ac:dyDescent="0.3">
      <c r="A3698" s="9">
        <v>3690</v>
      </c>
      <c r="B3698" s="10">
        <f t="shared" ca="1" si="57"/>
        <v>0.10019692302059804</v>
      </c>
      <c r="C3698" s="10">
        <f ca="1">NPV(B3698,Project_FCF!C18:J18)+Project_FCF!B18</f>
        <v>781.22030322893079</v>
      </c>
      <c r="D3698" s="4"/>
      <c r="E3698" s="4"/>
    </row>
    <row r="3699" spans="1:5" x14ac:dyDescent="0.3">
      <c r="A3699" s="9">
        <v>3691</v>
      </c>
      <c r="B3699" s="10">
        <f t="shared" ca="1" si="57"/>
        <v>7.4258825248548349E-2</v>
      </c>
      <c r="C3699" s="10">
        <f ca="1">NPV(B3699,Project_FCF!C18:J18)+Project_FCF!B18</f>
        <v>987.78198976605745</v>
      </c>
      <c r="D3699" s="4"/>
      <c r="E3699" s="4"/>
    </row>
    <row r="3700" spans="1:5" x14ac:dyDescent="0.3">
      <c r="A3700" s="9">
        <v>3692</v>
      </c>
      <c r="B3700" s="10">
        <f t="shared" ca="1" si="57"/>
        <v>7.7675207321327072E-2</v>
      </c>
      <c r="C3700" s="10">
        <f ca="1">NPV(B3700,Project_FCF!C18:J18)+Project_FCF!B18</f>
        <v>958.09216521480516</v>
      </c>
      <c r="D3700" s="4"/>
      <c r="E3700" s="4"/>
    </row>
    <row r="3701" spans="1:5" x14ac:dyDescent="0.3">
      <c r="A3701" s="9">
        <v>3693</v>
      </c>
      <c r="B3701" s="10">
        <f t="shared" ca="1" si="57"/>
        <v>9.8226347380896806E-2</v>
      </c>
      <c r="C3701" s="10">
        <f ca="1">NPV(B3701,Project_FCF!C18:J18)+Project_FCF!B18</f>
        <v>795.47976860903668</v>
      </c>
      <c r="D3701" s="4"/>
      <c r="E3701" s="4"/>
    </row>
    <row r="3702" spans="1:5" x14ac:dyDescent="0.3">
      <c r="A3702" s="9">
        <v>3694</v>
      </c>
      <c r="B3702" s="10">
        <f t="shared" ca="1" si="57"/>
        <v>8.960721114540951E-2</v>
      </c>
      <c r="C3702" s="10">
        <f ca="1">NPV(B3702,Project_FCF!C18:J18)+Project_FCF!B18</f>
        <v>860.49284332047569</v>
      </c>
      <c r="D3702" s="4"/>
      <c r="E3702" s="4"/>
    </row>
    <row r="3703" spans="1:5" x14ac:dyDescent="0.3">
      <c r="A3703" s="9">
        <v>3695</v>
      </c>
      <c r="B3703" s="10">
        <f t="shared" ca="1" si="57"/>
        <v>6.5789923135284367E-2</v>
      </c>
      <c r="C3703" s="10">
        <f ca="1">NPV(B3703,Project_FCF!C18:J18)+Project_FCF!B18</f>
        <v>1064.9793996549749</v>
      </c>
      <c r="D3703" s="4"/>
      <c r="E3703" s="4"/>
    </row>
    <row r="3704" spans="1:5" x14ac:dyDescent="0.3">
      <c r="A3704" s="9">
        <v>3696</v>
      </c>
      <c r="B3704" s="10">
        <f t="shared" ca="1" si="57"/>
        <v>0.10053185394990033</v>
      </c>
      <c r="C3704" s="10">
        <f ca="1">NPV(B3704,Project_FCF!C18:J18)+Project_FCF!B18</f>
        <v>778.81832558033466</v>
      </c>
      <c r="D3704" s="4"/>
      <c r="E3704" s="4"/>
    </row>
    <row r="3705" spans="1:5" x14ac:dyDescent="0.3">
      <c r="A3705" s="9">
        <v>3697</v>
      </c>
      <c r="B3705" s="10">
        <f t="shared" ca="1" si="57"/>
        <v>8.8560010950400628E-2</v>
      </c>
      <c r="C3705" s="10">
        <f ca="1">NPV(B3705,Project_FCF!C18:J18)+Project_FCF!B18</f>
        <v>868.69519383651914</v>
      </c>
      <c r="D3705" s="4"/>
      <c r="E3705" s="4"/>
    </row>
    <row r="3706" spans="1:5" x14ac:dyDescent="0.3">
      <c r="A3706" s="9">
        <v>3698</v>
      </c>
      <c r="B3706" s="10">
        <f t="shared" ca="1" si="57"/>
        <v>9.3661047521958904E-2</v>
      </c>
      <c r="C3706" s="10">
        <f ca="1">NPV(B3706,Project_FCF!C18:J18)+Project_FCF!B18</f>
        <v>829.36885052780053</v>
      </c>
      <c r="D3706" s="4"/>
      <c r="E3706" s="4"/>
    </row>
    <row r="3707" spans="1:5" x14ac:dyDescent="0.3">
      <c r="A3707" s="9">
        <v>3699</v>
      </c>
      <c r="B3707" s="10">
        <f t="shared" ca="1" si="57"/>
        <v>9.2644354738123408E-2</v>
      </c>
      <c r="C3707" s="10">
        <f ca="1">NPV(B3707,Project_FCF!C18:J18)+Project_FCF!B18</f>
        <v>837.08199387033528</v>
      </c>
      <c r="D3707" s="4"/>
      <c r="E3707" s="4"/>
    </row>
    <row r="3708" spans="1:5" x14ac:dyDescent="0.3">
      <c r="A3708" s="9">
        <v>3700</v>
      </c>
      <c r="B3708" s="10">
        <f t="shared" ca="1" si="57"/>
        <v>8.0539390621691104E-2</v>
      </c>
      <c r="C3708" s="10">
        <f ca="1">NPV(B3708,Project_FCF!C18:J18)+Project_FCF!B18</f>
        <v>933.81618774614162</v>
      </c>
      <c r="D3708" s="4"/>
      <c r="E3708" s="4"/>
    </row>
    <row r="3709" spans="1:5" x14ac:dyDescent="0.3">
      <c r="A3709" s="9">
        <v>3701</v>
      </c>
      <c r="B3709" s="10">
        <f t="shared" ca="1" si="57"/>
        <v>7.5040963544119488E-2</v>
      </c>
      <c r="C3709" s="10">
        <f ca="1">NPV(B3709,Project_FCF!C18:J18)+Project_FCF!B18</f>
        <v>980.91325711333161</v>
      </c>
      <c r="D3709" s="4"/>
      <c r="E3709" s="4"/>
    </row>
    <row r="3710" spans="1:5" x14ac:dyDescent="0.3">
      <c r="A3710" s="9">
        <v>3702</v>
      </c>
      <c r="B3710" s="10">
        <f t="shared" ca="1" si="57"/>
        <v>7.0193599917599658E-2</v>
      </c>
      <c r="C3710" s="10">
        <f ca="1">NPV(B3710,Project_FCF!C18:J18)+Project_FCF!B18</f>
        <v>1024.1834256010177</v>
      </c>
      <c r="D3710" s="4"/>
      <c r="E3710" s="4"/>
    </row>
    <row r="3711" spans="1:5" x14ac:dyDescent="0.3">
      <c r="A3711" s="9">
        <v>3703</v>
      </c>
      <c r="B3711" s="10">
        <f t="shared" ca="1" si="57"/>
        <v>7.6121582922097752E-2</v>
      </c>
      <c r="C3711" s="10">
        <f ca="1">NPV(B3711,Project_FCF!C18:J18)+Project_FCF!B18</f>
        <v>971.49356173859405</v>
      </c>
      <c r="D3711" s="4"/>
      <c r="E3711" s="4"/>
    </row>
    <row r="3712" spans="1:5" x14ac:dyDescent="0.3">
      <c r="A3712" s="9">
        <v>3704</v>
      </c>
      <c r="B3712" s="10">
        <f t="shared" ca="1" si="57"/>
        <v>7.8966151804100645E-2</v>
      </c>
      <c r="C3712" s="10">
        <f ca="1">NPV(B3712,Project_FCF!C18:J18)+Project_FCF!B18</f>
        <v>947.08204588481476</v>
      </c>
      <c r="D3712" s="4"/>
      <c r="E3712" s="4"/>
    </row>
    <row r="3713" spans="1:5" x14ac:dyDescent="0.3">
      <c r="A3713" s="9">
        <v>3705</v>
      </c>
      <c r="B3713" s="10">
        <f t="shared" ca="1" si="57"/>
        <v>8.0787975802684264E-2</v>
      </c>
      <c r="C3713" s="10">
        <f ca="1">NPV(B3713,Project_FCF!C18:J18)+Project_FCF!B18</f>
        <v>931.73519026424765</v>
      </c>
      <c r="D3713" s="4"/>
      <c r="E3713" s="4"/>
    </row>
    <row r="3714" spans="1:5" x14ac:dyDescent="0.3">
      <c r="A3714" s="9">
        <v>3706</v>
      </c>
      <c r="B3714" s="10">
        <f t="shared" ca="1" si="57"/>
        <v>0.10304802359625416</v>
      </c>
      <c r="C3714" s="10">
        <f ca="1">NPV(B3714,Project_FCF!C18:J18)+Project_FCF!B18</f>
        <v>760.97173151821016</v>
      </c>
      <c r="D3714" s="4"/>
      <c r="E3714" s="4"/>
    </row>
    <row r="3715" spans="1:5" x14ac:dyDescent="0.3">
      <c r="A3715" s="9">
        <v>3707</v>
      </c>
      <c r="B3715" s="10">
        <f t="shared" ca="1" si="57"/>
        <v>7.5210548650413933E-2</v>
      </c>
      <c r="C3715" s="10">
        <f ca="1">NPV(B3715,Project_FCF!C18:J18)+Project_FCF!B18</f>
        <v>979.4296138779232</v>
      </c>
      <c r="D3715" s="4"/>
      <c r="E3715" s="4"/>
    </row>
    <row r="3716" spans="1:5" x14ac:dyDescent="0.3">
      <c r="A3716" s="9">
        <v>3708</v>
      </c>
      <c r="B3716" s="10">
        <f t="shared" ca="1" si="57"/>
        <v>9.9067669236515637E-2</v>
      </c>
      <c r="C3716" s="10">
        <f ca="1">NPV(B3716,Project_FCF!C18:J18)+Project_FCF!B18</f>
        <v>789.36505234195033</v>
      </c>
      <c r="D3716" s="4"/>
      <c r="E3716" s="4"/>
    </row>
    <row r="3717" spans="1:5" x14ac:dyDescent="0.3">
      <c r="A3717" s="9">
        <v>3709</v>
      </c>
      <c r="B3717" s="10">
        <f t="shared" ca="1" si="57"/>
        <v>8.5101732455224899E-2</v>
      </c>
      <c r="C3717" s="10">
        <f ca="1">NPV(B3717,Project_FCF!C18:J18)+Project_FCF!B18</f>
        <v>896.268308964271</v>
      </c>
      <c r="D3717" s="4"/>
      <c r="E3717" s="4"/>
    </row>
    <row r="3718" spans="1:5" x14ac:dyDescent="0.3">
      <c r="A3718" s="9">
        <v>3710</v>
      </c>
      <c r="B3718" s="10">
        <f t="shared" ca="1" si="57"/>
        <v>7.7831749800472846E-2</v>
      </c>
      <c r="C3718" s="10">
        <f ca="1">NPV(B3718,Project_FCF!C18:J18)+Project_FCF!B18</f>
        <v>956.75102209661463</v>
      </c>
      <c r="D3718" s="4"/>
      <c r="E3718" s="4"/>
    </row>
    <row r="3719" spans="1:5" x14ac:dyDescent="0.3">
      <c r="A3719" s="9">
        <v>3711</v>
      </c>
      <c r="B3719" s="10">
        <f t="shared" ca="1" si="57"/>
        <v>7.9746358937411138E-2</v>
      </c>
      <c r="C3719" s="10">
        <f ca="1">NPV(B3719,Project_FCF!C18:J18)+Project_FCF!B18</f>
        <v>940.48246234905832</v>
      </c>
      <c r="D3719" s="4"/>
      <c r="E3719" s="4"/>
    </row>
    <row r="3720" spans="1:5" x14ac:dyDescent="0.3">
      <c r="A3720" s="9">
        <v>3712</v>
      </c>
      <c r="B3720" s="10">
        <f t="shared" ca="1" si="57"/>
        <v>0.10090198493870203</v>
      </c>
      <c r="C3720" s="10">
        <f ca="1">NPV(B3720,Project_FCF!C18:J18)+Project_FCF!B18</f>
        <v>776.17116674956742</v>
      </c>
      <c r="D3720" s="4"/>
      <c r="E3720" s="4"/>
    </row>
    <row r="3721" spans="1:5" x14ac:dyDescent="0.3">
      <c r="A3721" s="9">
        <v>3713</v>
      </c>
      <c r="B3721" s="10">
        <f t="shared" ref="B3721:B3784" ca="1" si="58">$B$4+RAND()*($B$5-$B$4)</f>
        <v>0.10300221592191115</v>
      </c>
      <c r="C3721" s="10">
        <f ca="1">NPV(B3721,Project_FCF!C18:J18)+Project_FCF!B18</f>
        <v>761.29353267484521</v>
      </c>
      <c r="D3721" s="4"/>
      <c r="E3721" s="4"/>
    </row>
    <row r="3722" spans="1:5" x14ac:dyDescent="0.3">
      <c r="A3722" s="9">
        <v>3714</v>
      </c>
      <c r="B3722" s="10">
        <f t="shared" ca="1" si="58"/>
        <v>6.8506270618785545E-2</v>
      </c>
      <c r="C3722" s="10">
        <f ca="1">NPV(B3722,Project_FCF!C18:J18)+Project_FCF!B18</f>
        <v>1039.6443977428403</v>
      </c>
      <c r="D3722" s="4"/>
      <c r="E3722" s="4"/>
    </row>
    <row r="3723" spans="1:5" x14ac:dyDescent="0.3">
      <c r="A3723" s="9">
        <v>3715</v>
      </c>
      <c r="B3723" s="10">
        <f t="shared" ca="1" si="58"/>
        <v>8.3440567502997415E-2</v>
      </c>
      <c r="C3723" s="10">
        <f ca="1">NPV(B3723,Project_FCF!C18:J18)+Project_FCF!B18</f>
        <v>909.7828986594352</v>
      </c>
      <c r="D3723" s="4"/>
      <c r="E3723" s="4"/>
    </row>
    <row r="3724" spans="1:5" x14ac:dyDescent="0.3">
      <c r="A3724" s="9">
        <v>3716</v>
      </c>
      <c r="B3724" s="10">
        <f t="shared" ca="1" si="58"/>
        <v>6.6078688728595361E-2</v>
      </c>
      <c r="C3724" s="10">
        <f ca="1">NPV(B3724,Project_FCF!C18:J18)+Project_FCF!B18</f>
        <v>1062.2597065212344</v>
      </c>
      <c r="D3724" s="4"/>
      <c r="E3724" s="4"/>
    </row>
    <row r="3725" spans="1:5" x14ac:dyDescent="0.3">
      <c r="A3725" s="9">
        <v>3717</v>
      </c>
      <c r="B3725" s="10">
        <f t="shared" ca="1" si="58"/>
        <v>7.9449882696331992E-2</v>
      </c>
      <c r="C3725" s="10">
        <f ca="1">NPV(B3725,Project_FCF!C18:J18)+Project_FCF!B18</f>
        <v>942.98546382677796</v>
      </c>
      <c r="D3725" s="4"/>
      <c r="E3725" s="4"/>
    </row>
    <row r="3726" spans="1:5" x14ac:dyDescent="0.3">
      <c r="A3726" s="9">
        <v>3718</v>
      </c>
      <c r="B3726" s="10">
        <f t="shared" ca="1" si="58"/>
        <v>7.8601148183724628E-2</v>
      </c>
      <c r="C3726" s="10">
        <f ca="1">NPV(B3726,Project_FCF!C18:J18)+Project_FCF!B18</f>
        <v>950.18360612842116</v>
      </c>
      <c r="D3726" s="4"/>
      <c r="E3726" s="4"/>
    </row>
    <row r="3727" spans="1:5" x14ac:dyDescent="0.3">
      <c r="A3727" s="9">
        <v>3719</v>
      </c>
      <c r="B3727" s="10">
        <f t="shared" ca="1" si="58"/>
        <v>6.8068428121258656E-2</v>
      </c>
      <c r="C3727" s="10">
        <f ca="1">NPV(B3727,Project_FCF!C18:J18)+Project_FCF!B18</f>
        <v>1043.6907287392921</v>
      </c>
      <c r="D3727" s="4"/>
      <c r="E3727" s="4"/>
    </row>
    <row r="3728" spans="1:5" x14ac:dyDescent="0.3">
      <c r="A3728" s="9">
        <v>3720</v>
      </c>
      <c r="B3728" s="10">
        <f t="shared" ca="1" si="58"/>
        <v>6.5613288710114515E-2</v>
      </c>
      <c r="C3728" s="10">
        <f ca="1">NPV(B3728,Project_FCF!C18:J18)+Project_FCF!B18</f>
        <v>1066.6461282685148</v>
      </c>
      <c r="D3728" s="4"/>
      <c r="E3728" s="4"/>
    </row>
    <row r="3729" spans="1:5" x14ac:dyDescent="0.3">
      <c r="A3729" s="9">
        <v>3721</v>
      </c>
      <c r="B3729" s="10">
        <f t="shared" ca="1" si="58"/>
        <v>7.3970854491446317E-2</v>
      </c>
      <c r="C3729" s="10">
        <f ca="1">NPV(B3729,Project_FCF!C18:J18)+Project_FCF!B18</f>
        <v>990.32177862593926</v>
      </c>
      <c r="D3729" s="4"/>
      <c r="E3729" s="4"/>
    </row>
    <row r="3730" spans="1:5" x14ac:dyDescent="0.3">
      <c r="A3730" s="9">
        <v>3722</v>
      </c>
      <c r="B3730" s="10">
        <f t="shared" ca="1" si="58"/>
        <v>7.4554996047109121E-2</v>
      </c>
      <c r="C3730" s="10">
        <f ca="1">NPV(B3730,Project_FCF!C18:J18)+Project_FCF!B18</f>
        <v>985.17596985619139</v>
      </c>
      <c r="D3730" s="4"/>
      <c r="E3730" s="4"/>
    </row>
    <row r="3731" spans="1:5" x14ac:dyDescent="0.3">
      <c r="A3731" s="9">
        <v>3723</v>
      </c>
      <c r="B3731" s="10">
        <f t="shared" ca="1" si="58"/>
        <v>7.8195765705464229E-2</v>
      </c>
      <c r="C3731" s="10">
        <f ca="1">NPV(B3731,Project_FCF!C18:J18)+Project_FCF!B18</f>
        <v>953.63885015561459</v>
      </c>
      <c r="D3731" s="4"/>
      <c r="E3731" s="4"/>
    </row>
    <row r="3732" spans="1:5" x14ac:dyDescent="0.3">
      <c r="A3732" s="9">
        <v>3724</v>
      </c>
      <c r="B3732" s="10">
        <f t="shared" ca="1" si="58"/>
        <v>8.2521133024916093E-2</v>
      </c>
      <c r="C3732" s="10">
        <f ca="1">NPV(B3732,Project_FCF!C18:J18)+Project_FCF!B18</f>
        <v>917.33976034164675</v>
      </c>
      <c r="D3732" s="4"/>
      <c r="E3732" s="4"/>
    </row>
    <row r="3733" spans="1:5" x14ac:dyDescent="0.3">
      <c r="A3733" s="9">
        <v>3725</v>
      </c>
      <c r="B3733" s="10">
        <f t="shared" ca="1" si="58"/>
        <v>9.9943768431550173E-2</v>
      </c>
      <c r="C3733" s="10">
        <f ca="1">NPV(B3733,Project_FCF!C18:J18)+Project_FCF!B18</f>
        <v>783.0399692564306</v>
      </c>
      <c r="D3733" s="4"/>
      <c r="E3733" s="4"/>
    </row>
    <row r="3734" spans="1:5" x14ac:dyDescent="0.3">
      <c r="A3734" s="9">
        <v>3726</v>
      </c>
      <c r="B3734" s="10">
        <f t="shared" ca="1" si="58"/>
        <v>0.10162802226087646</v>
      </c>
      <c r="C3734" s="10">
        <f ca="1">NPV(B3734,Project_FCF!C18:J18)+Project_FCF!B18</f>
        <v>771.00062509725967</v>
      </c>
      <c r="D3734" s="4"/>
      <c r="E3734" s="4"/>
    </row>
    <row r="3735" spans="1:5" x14ac:dyDescent="0.3">
      <c r="A3735" s="9">
        <v>3727</v>
      </c>
      <c r="B3735" s="10">
        <f t="shared" ca="1" si="58"/>
        <v>9.2113610688372302E-2</v>
      </c>
      <c r="C3735" s="10">
        <f ca="1">NPV(B3735,Project_FCF!C18:J18)+Project_FCF!B18</f>
        <v>841.13295297338959</v>
      </c>
      <c r="D3735" s="4"/>
      <c r="E3735" s="4"/>
    </row>
    <row r="3736" spans="1:5" x14ac:dyDescent="0.3">
      <c r="A3736" s="9">
        <v>3728</v>
      </c>
      <c r="B3736" s="10">
        <f t="shared" ca="1" si="58"/>
        <v>7.3234224528907876E-2</v>
      </c>
      <c r="C3736" s="10">
        <f ca="1">NPV(B3736,Project_FCF!C18:J18)+Project_FCF!B18</f>
        <v>996.84524032569379</v>
      </c>
      <c r="D3736" s="4"/>
      <c r="E3736" s="4"/>
    </row>
    <row r="3737" spans="1:5" x14ac:dyDescent="0.3">
      <c r="A3737" s="9">
        <v>3729</v>
      </c>
      <c r="B3737" s="10">
        <f t="shared" ca="1" si="58"/>
        <v>7.8991245324398093E-2</v>
      </c>
      <c r="C3737" s="10">
        <f ca="1">NPV(B3737,Project_FCF!C18:J18)+Project_FCF!B18</f>
        <v>946.86914822916924</v>
      </c>
      <c r="D3737" s="4"/>
      <c r="E3737" s="4"/>
    </row>
    <row r="3738" spans="1:5" x14ac:dyDescent="0.3">
      <c r="A3738" s="9">
        <v>3730</v>
      </c>
      <c r="B3738" s="10">
        <f t="shared" ca="1" si="58"/>
        <v>7.8951905101317277E-2</v>
      </c>
      <c r="C3738" s="10">
        <f ca="1">NPV(B3738,Project_FCF!C18:J18)+Project_FCF!B18</f>
        <v>947.20293621793076</v>
      </c>
      <c r="D3738" s="4"/>
      <c r="E3738" s="4"/>
    </row>
    <row r="3739" spans="1:5" x14ac:dyDescent="0.3">
      <c r="A3739" s="9">
        <v>3731</v>
      </c>
      <c r="B3739" s="10">
        <f t="shared" ca="1" si="58"/>
        <v>6.671666586538802E-2</v>
      </c>
      <c r="C3739" s="10">
        <f ca="1">NPV(B3739,Project_FCF!C18:J18)+Project_FCF!B18</f>
        <v>1056.2734210085093</v>
      </c>
      <c r="D3739" s="4"/>
      <c r="E3739" s="4"/>
    </row>
    <row r="3740" spans="1:5" x14ac:dyDescent="0.3">
      <c r="A3740" s="9">
        <v>3732</v>
      </c>
      <c r="B3740" s="10">
        <f t="shared" ca="1" si="58"/>
        <v>9.0010745348117149E-2</v>
      </c>
      <c r="C3740" s="10">
        <f ca="1">NPV(B3740,Project_FCF!C18:J18)+Project_FCF!B18</f>
        <v>857.35008239285798</v>
      </c>
      <c r="D3740" s="4"/>
      <c r="E3740" s="4"/>
    </row>
    <row r="3741" spans="1:5" x14ac:dyDescent="0.3">
      <c r="A3741" s="9">
        <v>3733</v>
      </c>
      <c r="B3741" s="10">
        <f t="shared" ca="1" si="58"/>
        <v>7.0757933948150095E-2</v>
      </c>
      <c r="C3741" s="10">
        <f ca="1">NPV(B3741,Project_FCF!C18:J18)+Project_FCF!B18</f>
        <v>1019.0590183556174</v>
      </c>
      <c r="D3741" s="4"/>
      <c r="E3741" s="4"/>
    </row>
    <row r="3742" spans="1:5" x14ac:dyDescent="0.3">
      <c r="A3742" s="9">
        <v>3734</v>
      </c>
      <c r="B3742" s="10">
        <f t="shared" ca="1" si="58"/>
        <v>8.142744553532992E-2</v>
      </c>
      <c r="C3742" s="10">
        <f ca="1">NPV(B3742,Project_FCF!C18:J18)+Project_FCF!B18</f>
        <v>926.40077673142559</v>
      </c>
      <c r="D3742" s="4"/>
      <c r="E3742" s="4"/>
    </row>
    <row r="3743" spans="1:5" x14ac:dyDescent="0.3">
      <c r="A3743" s="9">
        <v>3735</v>
      </c>
      <c r="B3743" s="10">
        <f t="shared" ca="1" si="58"/>
        <v>6.8341997771066504E-2</v>
      </c>
      <c r="C3743" s="10">
        <f ca="1">NPV(B3743,Project_FCF!C18:J18)+Project_FCF!B18</f>
        <v>1041.1608586816778</v>
      </c>
      <c r="D3743" s="4"/>
      <c r="E3743" s="4"/>
    </row>
    <row r="3744" spans="1:5" x14ac:dyDescent="0.3">
      <c r="A3744" s="9">
        <v>3736</v>
      </c>
      <c r="B3744" s="10">
        <f t="shared" ca="1" si="58"/>
        <v>6.5844074535747477E-2</v>
      </c>
      <c r="C3744" s="10">
        <f ca="1">NPV(B3744,Project_FCF!C18:J18)+Project_FCF!B18</f>
        <v>1064.4689005939586</v>
      </c>
      <c r="D3744" s="4"/>
      <c r="E3744" s="4"/>
    </row>
    <row r="3745" spans="1:5" x14ac:dyDescent="0.3">
      <c r="A3745" s="9">
        <v>3737</v>
      </c>
      <c r="B3745" s="10">
        <f t="shared" ca="1" si="58"/>
        <v>9.5004594650984084E-2</v>
      </c>
      <c r="C3745" s="10">
        <f ca="1">NPV(B3745,Project_FCF!C18:J18)+Project_FCF!B18</f>
        <v>819.26968982830476</v>
      </c>
      <c r="D3745" s="4"/>
      <c r="E3745" s="4"/>
    </row>
    <row r="3746" spans="1:5" x14ac:dyDescent="0.3">
      <c r="A3746" s="9">
        <v>3738</v>
      </c>
      <c r="B3746" s="10">
        <f t="shared" ca="1" si="58"/>
        <v>7.4094194053085205E-2</v>
      </c>
      <c r="C3746" s="10">
        <f ca="1">NPV(B3746,Project_FCF!C18:J18)+Project_FCF!B18</f>
        <v>989.2332563972509</v>
      </c>
      <c r="D3746" s="4"/>
      <c r="E3746" s="4"/>
    </row>
    <row r="3747" spans="1:5" x14ac:dyDescent="0.3">
      <c r="A3747" s="9">
        <v>3739</v>
      </c>
      <c r="B3747" s="10">
        <f t="shared" ca="1" si="58"/>
        <v>7.6669909724744023E-2</v>
      </c>
      <c r="C3747" s="10">
        <f ca="1">NPV(B3747,Project_FCF!C18:J18)+Project_FCF!B18</f>
        <v>966.7447950168339</v>
      </c>
      <c r="D3747" s="4"/>
      <c r="E3747" s="4"/>
    </row>
    <row r="3748" spans="1:5" x14ac:dyDescent="0.3">
      <c r="A3748" s="9">
        <v>3740</v>
      </c>
      <c r="B3748" s="10">
        <f t="shared" ca="1" si="58"/>
        <v>8.5906247377074696E-2</v>
      </c>
      <c r="C3748" s="10">
        <f ca="1">NPV(B3748,Project_FCF!C18:J18)+Project_FCF!B18</f>
        <v>889.78656813255657</v>
      </c>
      <c r="D3748" s="4"/>
      <c r="E3748" s="4"/>
    </row>
    <row r="3749" spans="1:5" x14ac:dyDescent="0.3">
      <c r="A3749" s="9">
        <v>3741</v>
      </c>
      <c r="B3749" s="10">
        <f t="shared" ca="1" si="58"/>
        <v>6.7377648686586827E-2</v>
      </c>
      <c r="C3749" s="10">
        <f ca="1">NPV(B3749,Project_FCF!C18:J18)+Project_FCF!B18</f>
        <v>1050.1036416614995</v>
      </c>
      <c r="D3749" s="4"/>
      <c r="E3749" s="4"/>
    </row>
    <row r="3750" spans="1:5" x14ac:dyDescent="0.3">
      <c r="A3750" s="9">
        <v>3742</v>
      </c>
      <c r="B3750" s="10">
        <f t="shared" ca="1" si="58"/>
        <v>7.7873250610728917E-2</v>
      </c>
      <c r="C3750" s="10">
        <f ca="1">NPV(B3750,Project_FCF!C18:J18)+Project_FCF!B18</f>
        <v>956.3957532736506</v>
      </c>
      <c r="D3750" s="4"/>
      <c r="E3750" s="4"/>
    </row>
    <row r="3751" spans="1:5" x14ac:dyDescent="0.3">
      <c r="A3751" s="9">
        <v>3743</v>
      </c>
      <c r="B3751" s="10">
        <f t="shared" ca="1" si="58"/>
        <v>7.4036064793128062E-2</v>
      </c>
      <c r="C3751" s="10">
        <f ca="1">NPV(B3751,Project_FCF!C18:J18)+Project_FCF!B18</f>
        <v>989.74613724974006</v>
      </c>
      <c r="D3751" s="4"/>
      <c r="E3751" s="4"/>
    </row>
    <row r="3752" spans="1:5" x14ac:dyDescent="0.3">
      <c r="A3752" s="9">
        <v>3744</v>
      </c>
      <c r="B3752" s="10">
        <f t="shared" ca="1" si="58"/>
        <v>8.1367844008554402E-2</v>
      </c>
      <c r="C3752" s="10">
        <f ca="1">NPV(B3752,Project_FCF!C18:J18)+Project_FCF!B18</f>
        <v>926.89682604870632</v>
      </c>
      <c r="D3752" s="4"/>
      <c r="E3752" s="4"/>
    </row>
    <row r="3753" spans="1:5" x14ac:dyDescent="0.3">
      <c r="A3753" s="9">
        <v>3745</v>
      </c>
      <c r="B3753" s="10">
        <f t="shared" ca="1" si="58"/>
        <v>9.466954999851912E-2</v>
      </c>
      <c r="C3753" s="10">
        <f ca="1">NPV(B3753,Project_FCF!C18:J18)+Project_FCF!B18</f>
        <v>821.77822944600598</v>
      </c>
      <c r="D3753" s="4"/>
      <c r="E3753" s="4"/>
    </row>
    <row r="3754" spans="1:5" x14ac:dyDescent="0.3">
      <c r="A3754" s="9">
        <v>3746</v>
      </c>
      <c r="B3754" s="10">
        <f t="shared" ca="1" si="58"/>
        <v>8.0625068675716657E-2</v>
      </c>
      <c r="C3754" s="10">
        <f ca="1">NPV(B3754,Project_FCF!C18:J18)+Project_FCF!B18</f>
        <v>933.09848169928023</v>
      </c>
      <c r="D3754" s="4"/>
      <c r="E3754" s="4"/>
    </row>
    <row r="3755" spans="1:5" x14ac:dyDescent="0.3">
      <c r="A3755" s="9">
        <v>3747</v>
      </c>
      <c r="B3755" s="10">
        <f t="shared" ca="1" si="58"/>
        <v>9.9312711047072594E-2</v>
      </c>
      <c r="C3755" s="10">
        <f ca="1">NPV(B3755,Project_FCF!C18:J18)+Project_FCF!B18</f>
        <v>787.59160620059083</v>
      </c>
      <c r="D3755" s="4"/>
      <c r="E3755" s="4"/>
    </row>
    <row r="3756" spans="1:5" x14ac:dyDescent="0.3">
      <c r="A3756" s="9">
        <v>3748</v>
      </c>
      <c r="B3756" s="10">
        <f t="shared" ca="1" si="58"/>
        <v>7.6251307722246364E-2</v>
      </c>
      <c r="C3756" s="10">
        <f ca="1">NPV(B3756,Project_FCF!C18:J18)+Project_FCF!B18</f>
        <v>970.36820853840686</v>
      </c>
      <c r="D3756" s="4"/>
      <c r="E3756" s="4"/>
    </row>
    <row r="3757" spans="1:5" x14ac:dyDescent="0.3">
      <c r="A3757" s="9">
        <v>3749</v>
      </c>
      <c r="B3757" s="10">
        <f t="shared" ca="1" si="58"/>
        <v>7.7416507728518921E-2</v>
      </c>
      <c r="C3757" s="10">
        <f ca="1">NPV(B3757,Project_FCF!C18:J18)+Project_FCF!B18</f>
        <v>960.31218419555239</v>
      </c>
      <c r="D3757" s="4"/>
      <c r="E3757" s="4"/>
    </row>
    <row r="3758" spans="1:5" x14ac:dyDescent="0.3">
      <c r="A3758" s="9">
        <v>3750</v>
      </c>
      <c r="B3758" s="10">
        <f t="shared" ca="1" si="58"/>
        <v>0.10229844583057235</v>
      </c>
      <c r="C3758" s="10">
        <f ca="1">NPV(B3758,Project_FCF!C18:J18)+Project_FCF!B18</f>
        <v>766.25193668080806</v>
      </c>
      <c r="D3758" s="4"/>
      <c r="E3758" s="4"/>
    </row>
    <row r="3759" spans="1:5" x14ac:dyDescent="0.3">
      <c r="A3759" s="9">
        <v>3751</v>
      </c>
      <c r="B3759" s="10">
        <f t="shared" ca="1" si="58"/>
        <v>8.6379224105279401E-2</v>
      </c>
      <c r="C3759" s="10">
        <f ca="1">NPV(B3759,Project_FCF!C18:J18)+Project_FCF!B18</f>
        <v>885.99509921246886</v>
      </c>
      <c r="D3759" s="4"/>
      <c r="E3759" s="4"/>
    </row>
    <row r="3760" spans="1:5" x14ac:dyDescent="0.3">
      <c r="A3760" s="9">
        <v>3752</v>
      </c>
      <c r="B3760" s="10">
        <f t="shared" ca="1" si="58"/>
        <v>6.7148462561815989E-2</v>
      </c>
      <c r="C3760" s="10">
        <f ca="1">NPV(B3760,Project_FCF!C18:J18)+Project_FCF!B18</f>
        <v>1052.2392031387492</v>
      </c>
      <c r="D3760" s="4"/>
      <c r="E3760" s="4"/>
    </row>
    <row r="3761" spans="1:5" x14ac:dyDescent="0.3">
      <c r="A3761" s="9">
        <v>3753</v>
      </c>
      <c r="B3761" s="10">
        <f t="shared" ca="1" si="58"/>
        <v>9.1348218472390275E-2</v>
      </c>
      <c r="C3761" s="10">
        <f ca="1">NPV(B3761,Project_FCF!C18:J18)+Project_FCF!B18</f>
        <v>847.00464716935949</v>
      </c>
      <c r="D3761" s="4"/>
      <c r="E3761" s="4"/>
    </row>
    <row r="3762" spans="1:5" x14ac:dyDescent="0.3">
      <c r="A3762" s="9">
        <v>3754</v>
      </c>
      <c r="B3762" s="10">
        <f t="shared" ca="1" si="58"/>
        <v>9.6813995008584952E-2</v>
      </c>
      <c r="C3762" s="10">
        <f ca="1">NPV(B3762,Project_FCF!C18:J18)+Project_FCF!B18</f>
        <v>805.8352444566483</v>
      </c>
      <c r="D3762" s="4"/>
      <c r="E3762" s="4"/>
    </row>
    <row r="3763" spans="1:5" x14ac:dyDescent="0.3">
      <c r="A3763" s="9">
        <v>3755</v>
      </c>
      <c r="B3763" s="10">
        <f t="shared" ca="1" si="58"/>
        <v>6.9142479900163922E-2</v>
      </c>
      <c r="C3763" s="10">
        <f ca="1">NPV(B3763,Project_FCF!C18:J18)+Project_FCF!B18</f>
        <v>1033.7901892123111</v>
      </c>
      <c r="D3763" s="4"/>
      <c r="E3763" s="4"/>
    </row>
    <row r="3764" spans="1:5" x14ac:dyDescent="0.3">
      <c r="A3764" s="9">
        <v>3756</v>
      </c>
      <c r="B3764" s="10">
        <f t="shared" ca="1" si="58"/>
        <v>6.8226297657020457E-2</v>
      </c>
      <c r="C3764" s="10">
        <f ca="1">NPV(B3764,Project_FCF!C18:J18)+Project_FCF!B18</f>
        <v>1042.2301307654766</v>
      </c>
      <c r="D3764" s="4"/>
      <c r="E3764" s="4"/>
    </row>
    <row r="3765" spans="1:5" x14ac:dyDescent="0.3">
      <c r="A3765" s="9">
        <v>3757</v>
      </c>
      <c r="B3765" s="10">
        <f t="shared" ca="1" si="58"/>
        <v>8.5541064254538002E-2</v>
      </c>
      <c r="C3765" s="10">
        <f ca="1">NPV(B3765,Project_FCF!C18:J18)+Project_FCF!B18</f>
        <v>892.72363967597948</v>
      </c>
      <c r="D3765" s="4"/>
      <c r="E3765" s="4"/>
    </row>
    <row r="3766" spans="1:5" x14ac:dyDescent="0.3">
      <c r="A3766" s="9">
        <v>3758</v>
      </c>
      <c r="B3766" s="10">
        <f t="shared" ca="1" si="58"/>
        <v>7.5255093960338262E-2</v>
      </c>
      <c r="C3766" s="10">
        <f ca="1">NPV(B3766,Project_FCF!C18:J18)+Project_FCF!B18</f>
        <v>979.04023491386965</v>
      </c>
      <c r="D3766" s="4"/>
      <c r="E3766" s="4"/>
    </row>
    <row r="3767" spans="1:5" x14ac:dyDescent="0.3">
      <c r="A3767" s="9">
        <v>3759</v>
      </c>
      <c r="B3767" s="10">
        <f t="shared" ca="1" si="58"/>
        <v>9.4456919547940249E-2</v>
      </c>
      <c r="C3767" s="10">
        <f ca="1">NPV(B3767,Project_FCF!C18:J18)+Project_FCF!B18</f>
        <v>823.37364283414149</v>
      </c>
      <c r="D3767" s="4"/>
      <c r="E3767" s="4"/>
    </row>
    <row r="3768" spans="1:5" x14ac:dyDescent="0.3">
      <c r="A3768" s="9">
        <v>3760</v>
      </c>
      <c r="B3768" s="10">
        <f t="shared" ca="1" si="58"/>
        <v>6.7470727427237379E-2</v>
      </c>
      <c r="C3768" s="10">
        <f ca="1">NPV(B3768,Project_FCF!C18:J18)+Project_FCF!B18</f>
        <v>1049.2374566025142</v>
      </c>
      <c r="D3768" s="4"/>
      <c r="E3768" s="4"/>
    </row>
    <row r="3769" spans="1:5" x14ac:dyDescent="0.3">
      <c r="A3769" s="9">
        <v>3761</v>
      </c>
      <c r="B3769" s="10">
        <f t="shared" ca="1" si="58"/>
        <v>7.073998793975099E-2</v>
      </c>
      <c r="C3769" s="10">
        <f ca="1">NPV(B3769,Project_FCF!C18:J18)+Project_FCF!B18</f>
        <v>1019.2216192161854</v>
      </c>
      <c r="D3769" s="4"/>
      <c r="E3769" s="4"/>
    </row>
    <row r="3770" spans="1:5" x14ac:dyDescent="0.3">
      <c r="A3770" s="9">
        <v>3762</v>
      </c>
      <c r="B3770" s="10">
        <f t="shared" ca="1" si="58"/>
        <v>7.532669224909315E-2</v>
      </c>
      <c r="C3770" s="10">
        <f ca="1">NPV(B3770,Project_FCF!C18:J18)+Project_FCF!B18</f>
        <v>978.41467082826944</v>
      </c>
      <c r="D3770" s="4"/>
      <c r="E3770" s="4"/>
    </row>
    <row r="3771" spans="1:5" x14ac:dyDescent="0.3">
      <c r="A3771" s="9">
        <v>3763</v>
      </c>
      <c r="B3771" s="10">
        <f t="shared" ca="1" si="58"/>
        <v>9.7301869628072968E-2</v>
      </c>
      <c r="C3771" s="10">
        <f ca="1">NPV(B3771,Project_FCF!C18:J18)+Project_FCF!B18</f>
        <v>802.24521695796352</v>
      </c>
      <c r="D3771" s="4"/>
      <c r="E3771" s="4"/>
    </row>
    <row r="3772" spans="1:5" x14ac:dyDescent="0.3">
      <c r="A3772" s="9">
        <v>3764</v>
      </c>
      <c r="B3772" s="10">
        <f t="shared" ca="1" si="58"/>
        <v>0.10133404910806013</v>
      </c>
      <c r="C3772" s="10">
        <f ca="1">NPV(B3772,Project_FCF!C18:J18)+Project_FCF!B18</f>
        <v>773.09067249878376</v>
      </c>
      <c r="D3772" s="4"/>
      <c r="E3772" s="4"/>
    </row>
    <row r="3773" spans="1:5" x14ac:dyDescent="0.3">
      <c r="A3773" s="9">
        <v>3765</v>
      </c>
      <c r="B3773" s="10">
        <f t="shared" ca="1" si="58"/>
        <v>7.4107228151877438E-2</v>
      </c>
      <c r="C3773" s="10">
        <f ca="1">NPV(B3773,Project_FCF!C18:J18)+Project_FCF!B18</f>
        <v>989.11828781583176</v>
      </c>
      <c r="D3773" s="4"/>
      <c r="E3773" s="4"/>
    </row>
    <row r="3774" spans="1:5" x14ac:dyDescent="0.3">
      <c r="A3774" s="9">
        <v>3766</v>
      </c>
      <c r="B3774" s="10">
        <f t="shared" ca="1" si="58"/>
        <v>9.2639899515085153E-2</v>
      </c>
      <c r="C3774" s="10">
        <f ca="1">NPV(B3774,Project_FCF!C18:J18)+Project_FCF!B18</f>
        <v>837.1159287579153</v>
      </c>
      <c r="D3774" s="4"/>
      <c r="E3774" s="4"/>
    </row>
    <row r="3775" spans="1:5" x14ac:dyDescent="0.3">
      <c r="A3775" s="9">
        <v>3767</v>
      </c>
      <c r="B3775" s="10">
        <f t="shared" ca="1" si="58"/>
        <v>8.9329015126590763E-2</v>
      </c>
      <c r="C3775" s="10">
        <f ca="1">NPV(B3775,Project_FCF!C18:J18)+Project_FCF!B18</f>
        <v>862.66527075182239</v>
      </c>
      <c r="D3775" s="4"/>
      <c r="E3775" s="4"/>
    </row>
    <row r="3776" spans="1:5" x14ac:dyDescent="0.3">
      <c r="A3776" s="9">
        <v>3768</v>
      </c>
      <c r="B3776" s="10">
        <f t="shared" ca="1" si="58"/>
        <v>8.9038229842557604E-2</v>
      </c>
      <c r="C3776" s="10">
        <f ca="1">NPV(B3776,Project_FCF!C18:J18)+Project_FCF!B18</f>
        <v>864.9410922063314</v>
      </c>
      <c r="D3776" s="4"/>
      <c r="E3776" s="4"/>
    </row>
    <row r="3777" spans="1:5" x14ac:dyDescent="0.3">
      <c r="A3777" s="9">
        <v>3769</v>
      </c>
      <c r="B3777" s="10">
        <f t="shared" ca="1" si="58"/>
        <v>7.0366486796269515E-2</v>
      </c>
      <c r="C3777" s="10">
        <f ca="1">NPV(B3777,Project_FCF!C18:J18)+Project_FCF!B18</f>
        <v>1022.611068222762</v>
      </c>
      <c r="D3777" s="4"/>
      <c r="E3777" s="4"/>
    </row>
    <row r="3778" spans="1:5" x14ac:dyDescent="0.3">
      <c r="A3778" s="9">
        <v>3770</v>
      </c>
      <c r="B3778" s="10">
        <f t="shared" ca="1" si="58"/>
        <v>9.6095139870082877E-2</v>
      </c>
      <c r="C3778" s="10">
        <f ca="1">NPV(B3778,Project_FCF!C18:J18)+Project_FCF!B18</f>
        <v>811.14989781495865</v>
      </c>
      <c r="D3778" s="4"/>
      <c r="E3778" s="4"/>
    </row>
    <row r="3779" spans="1:5" x14ac:dyDescent="0.3">
      <c r="A3779" s="9">
        <v>3771</v>
      </c>
      <c r="B3779" s="10">
        <f t="shared" ca="1" si="58"/>
        <v>9.8326446473532947E-2</v>
      </c>
      <c r="C3779" s="10">
        <f ca="1">NPV(B3779,Project_FCF!C18:J18)+Project_FCF!B18</f>
        <v>794.75014916973055</v>
      </c>
      <c r="D3779" s="4"/>
      <c r="E3779" s="4"/>
    </row>
    <row r="3780" spans="1:5" x14ac:dyDescent="0.3">
      <c r="A3780" s="9">
        <v>3772</v>
      </c>
      <c r="B3780" s="10">
        <f t="shared" ca="1" si="58"/>
        <v>7.5252292809364241E-2</v>
      </c>
      <c r="C3780" s="10">
        <f ca="1">NPV(B3780,Project_FCF!C18:J18)+Project_FCF!B18</f>
        <v>979.0647162235648</v>
      </c>
      <c r="D3780" s="4"/>
      <c r="E3780" s="4"/>
    </row>
    <row r="3781" spans="1:5" x14ac:dyDescent="0.3">
      <c r="A3781" s="9">
        <v>3773</v>
      </c>
      <c r="B3781" s="10">
        <f t="shared" ca="1" si="58"/>
        <v>8.4071187423959054E-2</v>
      </c>
      <c r="C3781" s="10">
        <f ca="1">NPV(B3781,Project_FCF!C18:J18)+Project_FCF!B18</f>
        <v>904.63151004581141</v>
      </c>
      <c r="D3781" s="4"/>
      <c r="E3781" s="4"/>
    </row>
    <row r="3782" spans="1:5" x14ac:dyDescent="0.3">
      <c r="A3782" s="9">
        <v>3774</v>
      </c>
      <c r="B3782" s="10">
        <f t="shared" ca="1" si="58"/>
        <v>8.7845919197751504E-2</v>
      </c>
      <c r="C3782" s="10">
        <f ca="1">NPV(B3782,Project_FCF!C18:J18)+Project_FCF!B18</f>
        <v>874.32730285941739</v>
      </c>
      <c r="D3782" s="4"/>
      <c r="E3782" s="4"/>
    </row>
    <row r="3783" spans="1:5" x14ac:dyDescent="0.3">
      <c r="A3783" s="9">
        <v>3775</v>
      </c>
      <c r="B3783" s="10">
        <f t="shared" ca="1" si="58"/>
        <v>7.9807494320786571E-2</v>
      </c>
      <c r="C3783" s="10">
        <f ca="1">NPV(B3783,Project_FCF!C18:J18)+Project_FCF!B18</f>
        <v>939.96705953298806</v>
      </c>
      <c r="D3783" s="4"/>
      <c r="E3783" s="4"/>
    </row>
    <row r="3784" spans="1:5" x14ac:dyDescent="0.3">
      <c r="A3784" s="9">
        <v>3776</v>
      </c>
      <c r="B3784" s="10">
        <f t="shared" ca="1" si="58"/>
        <v>8.6229746925779574E-2</v>
      </c>
      <c r="C3784" s="10">
        <f ca="1">NPV(B3784,Project_FCF!C18:J18)+Project_FCF!B18</f>
        <v>887.1918072588885</v>
      </c>
      <c r="D3784" s="4"/>
      <c r="E3784" s="4"/>
    </row>
    <row r="3785" spans="1:5" x14ac:dyDescent="0.3">
      <c r="A3785" s="9">
        <v>3777</v>
      </c>
      <c r="B3785" s="10">
        <f t="shared" ref="B3785:B3848" ca="1" si="59">$B$4+RAND()*($B$5-$B$4)</f>
        <v>6.9488077359217498E-2</v>
      </c>
      <c r="C3785" s="10">
        <f ca="1">NPV(B3785,Project_FCF!C18:J18)+Project_FCF!B18</f>
        <v>1030.6226295173556</v>
      </c>
      <c r="D3785" s="4"/>
      <c r="E3785" s="4"/>
    </row>
    <row r="3786" spans="1:5" x14ac:dyDescent="0.3">
      <c r="A3786" s="9">
        <v>3778</v>
      </c>
      <c r="B3786" s="10">
        <f t="shared" ca="1" si="59"/>
        <v>7.053412959929925E-2</v>
      </c>
      <c r="C3786" s="10">
        <f ca="1">NPV(B3786,Project_FCF!C18:J18)+Project_FCF!B18</f>
        <v>1021.0884863437432</v>
      </c>
      <c r="D3786" s="4"/>
      <c r="E3786" s="4"/>
    </row>
    <row r="3787" spans="1:5" x14ac:dyDescent="0.3">
      <c r="A3787" s="9">
        <v>3779</v>
      </c>
      <c r="B3787" s="10">
        <f t="shared" ca="1" si="59"/>
        <v>8.1032191643120838E-2</v>
      </c>
      <c r="C3787" s="10">
        <f ca="1">NPV(B3787,Project_FCF!C18:J18)+Project_FCF!B18</f>
        <v>929.69476365143282</v>
      </c>
      <c r="D3787" s="4"/>
      <c r="E3787" s="4"/>
    </row>
    <row r="3788" spans="1:5" x14ac:dyDescent="0.3">
      <c r="A3788" s="9">
        <v>3780</v>
      </c>
      <c r="B3788" s="10">
        <f t="shared" ca="1" si="59"/>
        <v>7.942932945225871E-2</v>
      </c>
      <c r="C3788" s="10">
        <f ca="1">NPV(B3788,Project_FCF!C18:J18)+Project_FCF!B18</f>
        <v>943.15920330698668</v>
      </c>
      <c r="D3788" s="4"/>
      <c r="E3788" s="4"/>
    </row>
    <row r="3789" spans="1:5" x14ac:dyDescent="0.3">
      <c r="A3789" s="9">
        <v>3781</v>
      </c>
      <c r="B3789" s="10">
        <f t="shared" ca="1" si="59"/>
        <v>9.3984727238135155E-2</v>
      </c>
      <c r="C3789" s="10">
        <f ca="1">NPV(B3789,Project_FCF!C18:J18)+Project_FCF!B18</f>
        <v>826.92610664175572</v>
      </c>
      <c r="D3789" s="4"/>
      <c r="E3789" s="4"/>
    </row>
    <row r="3790" spans="1:5" x14ac:dyDescent="0.3">
      <c r="A3790" s="9">
        <v>3782</v>
      </c>
      <c r="B3790" s="10">
        <f t="shared" ca="1" si="59"/>
        <v>7.822739855374744E-2</v>
      </c>
      <c r="C3790" s="10">
        <f ca="1">NPV(B3790,Project_FCF!C18:J18)+Project_FCF!B18</f>
        <v>953.36882911700468</v>
      </c>
      <c r="D3790" s="4"/>
      <c r="E3790" s="4"/>
    </row>
    <row r="3791" spans="1:5" x14ac:dyDescent="0.3">
      <c r="A3791" s="9">
        <v>3783</v>
      </c>
      <c r="B3791" s="10">
        <f t="shared" ca="1" si="59"/>
        <v>7.3774053560827529E-2</v>
      </c>
      <c r="C3791" s="10">
        <f ca="1">NPV(B3791,Project_FCF!C18:J18)+Project_FCF!B18</f>
        <v>992.06085177505474</v>
      </c>
      <c r="D3791" s="4"/>
      <c r="E3791" s="4"/>
    </row>
    <row r="3792" spans="1:5" x14ac:dyDescent="0.3">
      <c r="A3792" s="9">
        <v>3784</v>
      </c>
      <c r="B3792" s="10">
        <f t="shared" ca="1" si="59"/>
        <v>6.6621354461941049E-2</v>
      </c>
      <c r="C3792" s="10">
        <f ca="1">NPV(B3792,Project_FCF!C18:J18)+Project_FCF!B18</f>
        <v>1057.1657949997361</v>
      </c>
      <c r="D3792" s="4"/>
      <c r="E3792" s="4"/>
    </row>
    <row r="3793" spans="1:5" x14ac:dyDescent="0.3">
      <c r="A3793" s="9">
        <v>3785</v>
      </c>
      <c r="B3793" s="10">
        <f t="shared" ca="1" si="59"/>
        <v>7.0878053370105776E-2</v>
      </c>
      <c r="C3793" s="10">
        <f ca="1">NPV(B3793,Project_FCF!C18:J18)+Project_FCF!B18</f>
        <v>1017.9712718139106</v>
      </c>
      <c r="D3793" s="4"/>
      <c r="E3793" s="4"/>
    </row>
    <row r="3794" spans="1:5" x14ac:dyDescent="0.3">
      <c r="A3794" s="9">
        <v>3786</v>
      </c>
      <c r="B3794" s="10">
        <f t="shared" ca="1" si="59"/>
        <v>7.7108025058465951E-2</v>
      </c>
      <c r="C3794" s="10">
        <f ca="1">NPV(B3794,Project_FCF!C18:J18)+Project_FCF!B18</f>
        <v>962.96540071295499</v>
      </c>
      <c r="D3794" s="4"/>
      <c r="E3794" s="4"/>
    </row>
    <row r="3795" spans="1:5" x14ac:dyDescent="0.3">
      <c r="A3795" s="9">
        <v>3787</v>
      </c>
      <c r="B3795" s="10">
        <f t="shared" ca="1" si="59"/>
        <v>9.9852942935090575E-2</v>
      </c>
      <c r="C3795" s="10">
        <f ca="1">NPV(B3795,Project_FCF!C18:J18)+Project_FCF!B18</f>
        <v>783.69369278000363</v>
      </c>
      <c r="D3795" s="4"/>
      <c r="E3795" s="4"/>
    </row>
    <row r="3796" spans="1:5" x14ac:dyDescent="0.3">
      <c r="A3796" s="9">
        <v>3788</v>
      </c>
      <c r="B3796" s="10">
        <f t="shared" ca="1" si="59"/>
        <v>8.3847649836431989E-2</v>
      </c>
      <c r="C3796" s="10">
        <f ca="1">NPV(B3796,Project_FCF!C18:J18)+Project_FCF!B18</f>
        <v>906.45459797650233</v>
      </c>
      <c r="D3796" s="4"/>
      <c r="E3796" s="4"/>
    </row>
    <row r="3797" spans="1:5" x14ac:dyDescent="0.3">
      <c r="A3797" s="9">
        <v>3789</v>
      </c>
      <c r="B3797" s="10">
        <f t="shared" ca="1" si="59"/>
        <v>6.6316430583021391E-2</v>
      </c>
      <c r="C3797" s="10">
        <f ca="1">NPV(B3797,Project_FCF!C18:J18)+Project_FCF!B18</f>
        <v>1060.0253208525576</v>
      </c>
      <c r="D3797" s="4"/>
      <c r="E3797" s="4"/>
    </row>
    <row r="3798" spans="1:5" x14ac:dyDescent="0.3">
      <c r="A3798" s="9">
        <v>3790</v>
      </c>
      <c r="B3798" s="10">
        <f t="shared" ca="1" si="59"/>
        <v>0.10320438476257174</v>
      </c>
      <c r="C3798" s="10">
        <f ca="1">NPV(B3798,Project_FCF!C18:J18)+Project_FCF!B18</f>
        <v>759.87414634270453</v>
      </c>
      <c r="D3798" s="4"/>
      <c r="E3798" s="4"/>
    </row>
    <row r="3799" spans="1:5" x14ac:dyDescent="0.3">
      <c r="A3799" s="9">
        <v>3791</v>
      </c>
      <c r="B3799" s="10">
        <f t="shared" ca="1" si="59"/>
        <v>0.10373701889697898</v>
      </c>
      <c r="C3799" s="10">
        <f ca="1">NPV(B3799,Project_FCF!C18:J18)+Project_FCF!B18</f>
        <v>756.1452525330651</v>
      </c>
      <c r="D3799" s="4"/>
      <c r="E3799" s="4"/>
    </row>
    <row r="3800" spans="1:5" x14ac:dyDescent="0.3">
      <c r="A3800" s="9">
        <v>3792</v>
      </c>
      <c r="B3800" s="10">
        <f t="shared" ca="1" si="59"/>
        <v>7.9693147004734594E-2</v>
      </c>
      <c r="C3800" s="10">
        <f ca="1">NPV(B3800,Project_FCF!C18:J18)+Project_FCF!B18</f>
        <v>940.93127019296276</v>
      </c>
      <c r="D3800" s="4"/>
      <c r="E3800" s="4"/>
    </row>
    <row r="3801" spans="1:5" x14ac:dyDescent="0.3">
      <c r="A3801" s="9">
        <v>3793</v>
      </c>
      <c r="B3801" s="10">
        <f t="shared" ca="1" si="59"/>
        <v>9.3849317395649334E-2</v>
      </c>
      <c r="C3801" s="10">
        <f ca="1">NPV(B3801,Project_FCF!C18:J18)+Project_FCF!B18</f>
        <v>827.9472641419261</v>
      </c>
      <c r="D3801" s="4"/>
      <c r="E3801" s="4"/>
    </row>
    <row r="3802" spans="1:5" x14ac:dyDescent="0.3">
      <c r="A3802" s="9">
        <v>3794</v>
      </c>
      <c r="B3802" s="10">
        <f t="shared" ca="1" si="59"/>
        <v>7.6279890589096913E-2</v>
      </c>
      <c r="C3802" s="10">
        <f ca="1">NPV(B3802,Project_FCF!C18:J18)+Project_FCF!B18</f>
        <v>970.12041073025352</v>
      </c>
      <c r="D3802" s="4"/>
      <c r="E3802" s="4"/>
    </row>
    <row r="3803" spans="1:5" x14ac:dyDescent="0.3">
      <c r="A3803" s="9">
        <v>3795</v>
      </c>
      <c r="B3803" s="10">
        <f t="shared" ca="1" si="59"/>
        <v>6.4257059734806318E-2</v>
      </c>
      <c r="C3803" s="10">
        <f ca="1">NPV(B3803,Project_FCF!C18:J18)+Project_FCF!B18</f>
        <v>1079.5230268141502</v>
      </c>
      <c r="D3803" s="4"/>
      <c r="E3803" s="4"/>
    </row>
    <row r="3804" spans="1:5" x14ac:dyDescent="0.3">
      <c r="A3804" s="9">
        <v>3796</v>
      </c>
      <c r="B3804" s="10">
        <f t="shared" ca="1" si="59"/>
        <v>9.3490991974436624E-2</v>
      </c>
      <c r="C3804" s="10">
        <f ca="1">NPV(B3804,Project_FCF!C18:J18)+Project_FCF!B18</f>
        <v>830.65470582113676</v>
      </c>
      <c r="D3804" s="4"/>
      <c r="E3804" s="4"/>
    </row>
    <row r="3805" spans="1:5" x14ac:dyDescent="0.3">
      <c r="A3805" s="9">
        <v>3797</v>
      </c>
      <c r="B3805" s="10">
        <f t="shared" ca="1" si="59"/>
        <v>9.2059159824621817E-2</v>
      </c>
      <c r="C3805" s="10">
        <f ca="1">NPV(B3805,Project_FCF!C18:J18)+Project_FCF!B18</f>
        <v>841.54950866226227</v>
      </c>
      <c r="D3805" s="4"/>
      <c r="E3805" s="4"/>
    </row>
    <row r="3806" spans="1:5" x14ac:dyDescent="0.3">
      <c r="A3806" s="9">
        <v>3798</v>
      </c>
      <c r="B3806" s="10">
        <f t="shared" ca="1" si="59"/>
        <v>8.5934737722803689E-2</v>
      </c>
      <c r="C3806" s="10">
        <f ca="1">NPV(B3806,Project_FCF!C18:J18)+Project_FCF!B18</f>
        <v>889.55778356682367</v>
      </c>
      <c r="D3806" s="4"/>
      <c r="E3806" s="4"/>
    </row>
    <row r="3807" spans="1:5" x14ac:dyDescent="0.3">
      <c r="A3807" s="9">
        <v>3799</v>
      </c>
      <c r="B3807" s="10">
        <f t="shared" ca="1" si="59"/>
        <v>8.8057426500409833E-2</v>
      </c>
      <c r="C3807" s="10">
        <f ca="1">NPV(B3807,Project_FCF!C18:J18)+Project_FCF!B18</f>
        <v>872.65582355702031</v>
      </c>
      <c r="D3807" s="4"/>
      <c r="E3807" s="4"/>
    </row>
    <row r="3808" spans="1:5" x14ac:dyDescent="0.3">
      <c r="A3808" s="9">
        <v>3800</v>
      </c>
      <c r="B3808" s="10">
        <f t="shared" ca="1" si="59"/>
        <v>9.3212090301694972E-2</v>
      </c>
      <c r="C3808" s="10">
        <f ca="1">NPV(B3808,Project_FCF!C18:J18)+Project_FCF!B18</f>
        <v>832.76729728872488</v>
      </c>
      <c r="D3808" s="4"/>
      <c r="E3808" s="4"/>
    </row>
    <row r="3809" spans="1:5" x14ac:dyDescent="0.3">
      <c r="A3809" s="9">
        <v>3801</v>
      </c>
      <c r="B3809" s="10">
        <f t="shared" ca="1" si="59"/>
        <v>9.3752403975142548E-2</v>
      </c>
      <c r="C3809" s="10">
        <f ca="1">NPV(B3809,Project_FCF!C18:J18)+Project_FCF!B18</f>
        <v>828.67877553923381</v>
      </c>
      <c r="D3809" s="4"/>
      <c r="E3809" s="4"/>
    </row>
    <row r="3810" spans="1:5" x14ac:dyDescent="0.3">
      <c r="A3810" s="9">
        <v>3802</v>
      </c>
      <c r="B3810" s="10">
        <f t="shared" ca="1" si="59"/>
        <v>7.0224016735358732E-2</v>
      </c>
      <c r="C3810" s="10">
        <f ca="1">NPV(B3810,Project_FCF!C18:J18)+Project_FCF!B18</f>
        <v>1023.9066350246446</v>
      </c>
      <c r="D3810" s="4"/>
      <c r="E3810" s="4"/>
    </row>
    <row r="3811" spans="1:5" x14ac:dyDescent="0.3">
      <c r="A3811" s="9">
        <v>3803</v>
      </c>
      <c r="B3811" s="10">
        <f t="shared" ca="1" si="59"/>
        <v>8.9939737541847711E-2</v>
      </c>
      <c r="C3811" s="10">
        <f ca="1">NPV(B3811,Project_FCF!C18:J18)+Project_FCF!B18</f>
        <v>857.90237538971246</v>
      </c>
      <c r="D3811" s="4"/>
      <c r="E3811" s="4"/>
    </row>
    <row r="3812" spans="1:5" x14ac:dyDescent="0.3">
      <c r="A3812" s="9">
        <v>3804</v>
      </c>
      <c r="B3812" s="10">
        <f t="shared" ca="1" si="59"/>
        <v>6.6761108960602944E-2</v>
      </c>
      <c r="C3812" s="10">
        <f ca="1">NPV(B3812,Project_FCF!C18:J18)+Project_FCF!B18</f>
        <v>1055.8575469952914</v>
      </c>
      <c r="D3812" s="4"/>
      <c r="E3812" s="4"/>
    </row>
    <row r="3813" spans="1:5" x14ac:dyDescent="0.3">
      <c r="A3813" s="9">
        <v>3805</v>
      </c>
      <c r="B3813" s="10">
        <f t="shared" ca="1" si="59"/>
        <v>0.10312459544797808</v>
      </c>
      <c r="C3813" s="10">
        <f ca="1">NPV(B3813,Project_FCF!C18:J18)+Project_FCF!B18</f>
        <v>760.4340654100065</v>
      </c>
      <c r="D3813" s="4"/>
      <c r="E3813" s="4"/>
    </row>
    <row r="3814" spans="1:5" x14ac:dyDescent="0.3">
      <c r="A3814" s="9">
        <v>3806</v>
      </c>
      <c r="B3814" s="10">
        <f t="shared" ca="1" si="59"/>
        <v>8.2840192555497932E-2</v>
      </c>
      <c r="C3814" s="10">
        <f ca="1">NPV(B3814,Project_FCF!C18:J18)+Project_FCF!B18</f>
        <v>914.71116528522452</v>
      </c>
      <c r="D3814" s="4"/>
      <c r="E3814" s="4"/>
    </row>
    <row r="3815" spans="1:5" x14ac:dyDescent="0.3">
      <c r="A3815" s="9">
        <v>3807</v>
      </c>
      <c r="B3815" s="10">
        <f t="shared" ca="1" si="59"/>
        <v>7.4855847955294777E-2</v>
      </c>
      <c r="C3815" s="10">
        <f ca="1">NPV(B3815,Project_FCF!C18:J18)+Project_FCF!B18</f>
        <v>982.53506650763688</v>
      </c>
      <c r="D3815" s="4"/>
      <c r="E3815" s="4"/>
    </row>
    <row r="3816" spans="1:5" x14ac:dyDescent="0.3">
      <c r="A3816" s="9">
        <v>3808</v>
      </c>
      <c r="B3816" s="10">
        <f t="shared" ca="1" si="59"/>
        <v>7.1760059928349107E-2</v>
      </c>
      <c r="C3816" s="10">
        <f ca="1">NPV(B3816,Project_FCF!C18:J18)+Project_FCF!B18</f>
        <v>1010.0162365281312</v>
      </c>
      <c r="D3816" s="4"/>
      <c r="E3816" s="4"/>
    </row>
    <row r="3817" spans="1:5" x14ac:dyDescent="0.3">
      <c r="A3817" s="9">
        <v>3809</v>
      </c>
      <c r="B3817" s="10">
        <f t="shared" ca="1" si="59"/>
        <v>9.936365177374254E-2</v>
      </c>
      <c r="C3817" s="10">
        <f ca="1">NPV(B3817,Project_FCF!C18:J18)+Project_FCF!B18</f>
        <v>787.22335601854843</v>
      </c>
      <c r="D3817" s="4"/>
      <c r="E3817" s="4"/>
    </row>
    <row r="3818" spans="1:5" x14ac:dyDescent="0.3">
      <c r="A3818" s="9">
        <v>3810</v>
      </c>
      <c r="B3818" s="10">
        <f t="shared" ca="1" si="59"/>
        <v>7.8732004557934956E-2</v>
      </c>
      <c r="C3818" s="10">
        <f ca="1">NPV(B3818,Project_FCF!C18:J18)+Project_FCF!B18</f>
        <v>949.07063946485118</v>
      </c>
      <c r="D3818" s="4"/>
      <c r="E3818" s="4"/>
    </row>
    <row r="3819" spans="1:5" x14ac:dyDescent="0.3">
      <c r="A3819" s="9">
        <v>3811</v>
      </c>
      <c r="B3819" s="10">
        <f t="shared" ca="1" si="59"/>
        <v>6.7195183506715467E-2</v>
      </c>
      <c r="C3819" s="10">
        <f ca="1">NPV(B3819,Project_FCF!C18:J18)+Project_FCF!B18</f>
        <v>1051.8035363968602</v>
      </c>
      <c r="D3819" s="4"/>
      <c r="E3819" s="4"/>
    </row>
    <row r="3820" spans="1:5" x14ac:dyDescent="0.3">
      <c r="A3820" s="9">
        <v>3812</v>
      </c>
      <c r="B3820" s="10">
        <f t="shared" ca="1" si="59"/>
        <v>7.3594138089960806E-2</v>
      </c>
      <c r="C3820" s="10">
        <f ca="1">NPV(B3820,Project_FCF!C18:J18)+Project_FCF!B18</f>
        <v>993.65310931404474</v>
      </c>
      <c r="D3820" s="4"/>
      <c r="E3820" s="4"/>
    </row>
    <row r="3821" spans="1:5" x14ac:dyDescent="0.3">
      <c r="A3821" s="9">
        <v>3813</v>
      </c>
      <c r="B3821" s="10">
        <f t="shared" ca="1" si="59"/>
        <v>9.4693986985385462E-2</v>
      </c>
      <c r="C3821" s="10">
        <f ca="1">NPV(B3821,Project_FCF!C18:J18)+Project_FCF!B18</f>
        <v>821.59504316016637</v>
      </c>
      <c r="D3821" s="4"/>
      <c r="E3821" s="4"/>
    </row>
    <row r="3822" spans="1:5" x14ac:dyDescent="0.3">
      <c r="A3822" s="9">
        <v>3814</v>
      </c>
      <c r="B3822" s="10">
        <f t="shared" ca="1" si="59"/>
        <v>7.0717680640095204E-2</v>
      </c>
      <c r="C3822" s="10">
        <f ca="1">NPV(B3822,Project_FCF!C18:J18)+Project_FCF!B18</f>
        <v>1019.4237684503958</v>
      </c>
      <c r="D3822" s="4"/>
      <c r="E3822" s="4"/>
    </row>
    <row r="3823" spans="1:5" x14ac:dyDescent="0.3">
      <c r="A3823" s="9">
        <v>3815</v>
      </c>
      <c r="B3823" s="10">
        <f t="shared" ca="1" si="59"/>
        <v>9.5214452849006051E-2</v>
      </c>
      <c r="C3823" s="10">
        <f ca="1">NPV(B3823,Project_FCF!C18:J18)+Project_FCF!B18</f>
        <v>817.70178563174272</v>
      </c>
      <c r="D3823" s="4"/>
      <c r="E3823" s="4"/>
    </row>
    <row r="3824" spans="1:5" x14ac:dyDescent="0.3">
      <c r="A3824" s="9">
        <v>3816</v>
      </c>
      <c r="B3824" s="10">
        <f t="shared" ca="1" si="59"/>
        <v>9.8412084247183951E-2</v>
      </c>
      <c r="C3824" s="10">
        <f ca="1">NPV(B3824,Project_FCF!C18:J18)+Project_FCF!B18</f>
        <v>794.12638906005554</v>
      </c>
      <c r="D3824" s="4"/>
      <c r="E3824" s="4"/>
    </row>
    <row r="3825" spans="1:5" x14ac:dyDescent="0.3">
      <c r="A3825" s="9">
        <v>3817</v>
      </c>
      <c r="B3825" s="10">
        <f t="shared" ca="1" si="59"/>
        <v>6.69334300737289E-2</v>
      </c>
      <c r="C3825" s="10">
        <f ca="1">NPV(B3825,Project_FCF!C18:J18)+Project_FCF!B18</f>
        <v>1054.2464683006831</v>
      </c>
      <c r="D3825" s="4"/>
      <c r="E3825" s="4"/>
    </row>
    <row r="3826" spans="1:5" x14ac:dyDescent="0.3">
      <c r="A3826" s="9">
        <v>3818</v>
      </c>
      <c r="B3826" s="10">
        <f t="shared" ca="1" si="59"/>
        <v>6.6479458686051915E-2</v>
      </c>
      <c r="C3826" s="10">
        <f ca="1">NPV(B3826,Project_FCF!C18:J18)+Project_FCF!B18</f>
        <v>1058.4955959292538</v>
      </c>
      <c r="D3826" s="4"/>
      <c r="E3826" s="4"/>
    </row>
    <row r="3827" spans="1:5" x14ac:dyDescent="0.3">
      <c r="A3827" s="9">
        <v>3819</v>
      </c>
      <c r="B3827" s="10">
        <f t="shared" ca="1" si="59"/>
        <v>0.10074622080148095</v>
      </c>
      <c r="C3827" s="10">
        <f ca="1">NPV(B3827,Project_FCF!C18:J18)+Project_FCF!B18</f>
        <v>777.28425709626049</v>
      </c>
      <c r="D3827" s="4"/>
      <c r="E3827" s="4"/>
    </row>
    <row r="3828" spans="1:5" x14ac:dyDescent="0.3">
      <c r="A3828" s="9">
        <v>3820</v>
      </c>
      <c r="B3828" s="10">
        <f t="shared" ca="1" si="59"/>
        <v>9.7793400358138688E-2</v>
      </c>
      <c r="C3828" s="10">
        <f ca="1">NPV(B3828,Project_FCF!C18:J18)+Project_FCF!B18</f>
        <v>798.64206537927726</v>
      </c>
      <c r="D3828" s="4"/>
      <c r="E3828" s="4"/>
    </row>
    <row r="3829" spans="1:5" x14ac:dyDescent="0.3">
      <c r="A3829" s="9">
        <v>3821</v>
      </c>
      <c r="B3829" s="10">
        <f t="shared" ca="1" si="59"/>
        <v>6.6549859201907424E-2</v>
      </c>
      <c r="C3829" s="10">
        <f ca="1">NPV(B3829,Project_FCF!C18:J18)+Project_FCF!B18</f>
        <v>1057.8356351707705</v>
      </c>
      <c r="D3829" s="4"/>
      <c r="E3829" s="4"/>
    </row>
    <row r="3830" spans="1:5" x14ac:dyDescent="0.3">
      <c r="A3830" s="9">
        <v>3822</v>
      </c>
      <c r="B3830" s="10">
        <f t="shared" ca="1" si="59"/>
        <v>9.6961379190864824E-2</v>
      </c>
      <c r="C3830" s="10">
        <f ca="1">NPV(B3830,Project_FCF!C18:J18)+Project_FCF!B18</f>
        <v>804.74927738005681</v>
      </c>
      <c r="D3830" s="4"/>
      <c r="E3830" s="4"/>
    </row>
    <row r="3831" spans="1:5" x14ac:dyDescent="0.3">
      <c r="A3831" s="9">
        <v>3823</v>
      </c>
      <c r="B3831" s="10">
        <f t="shared" ca="1" si="59"/>
        <v>0.10006152852989456</v>
      </c>
      <c r="C3831" s="10">
        <f ca="1">NPV(B3831,Project_FCF!C18:J18)+Project_FCF!B18</f>
        <v>782.19306860690858</v>
      </c>
      <c r="D3831" s="4"/>
      <c r="E3831" s="4"/>
    </row>
    <row r="3832" spans="1:5" x14ac:dyDescent="0.3">
      <c r="A3832" s="9">
        <v>3824</v>
      </c>
      <c r="B3832" s="10">
        <f t="shared" ca="1" si="59"/>
        <v>8.5882082063062554E-2</v>
      </c>
      <c r="C3832" s="10">
        <f ca="1">NPV(B3832,Project_FCF!C18:J18)+Project_FCF!B18</f>
        <v>889.98066193833006</v>
      </c>
      <c r="D3832" s="4"/>
      <c r="E3832" s="4"/>
    </row>
    <row r="3833" spans="1:5" x14ac:dyDescent="0.3">
      <c r="A3833" s="9">
        <v>3825</v>
      </c>
      <c r="B3833" s="10">
        <f t="shared" ca="1" si="59"/>
        <v>9.6414081101489413E-2</v>
      </c>
      <c r="C3833" s="10">
        <f ca="1">NPV(B3833,Project_FCF!C18:J18)+Project_FCF!B18</f>
        <v>808.78821658223592</v>
      </c>
      <c r="D3833" s="4"/>
      <c r="E3833" s="4"/>
    </row>
    <row r="3834" spans="1:5" x14ac:dyDescent="0.3">
      <c r="A3834" s="9">
        <v>3826</v>
      </c>
      <c r="B3834" s="10">
        <f t="shared" ca="1" si="59"/>
        <v>6.422868674708751E-2</v>
      </c>
      <c r="C3834" s="10">
        <f ca="1">NPV(B3834,Project_FCF!C18:J18)+Project_FCF!B18</f>
        <v>1079.7939269783644</v>
      </c>
      <c r="D3834" s="4"/>
      <c r="E3834" s="4"/>
    </row>
    <row r="3835" spans="1:5" x14ac:dyDescent="0.3">
      <c r="A3835" s="9">
        <v>3827</v>
      </c>
      <c r="B3835" s="10">
        <f t="shared" ca="1" si="59"/>
        <v>9.0409202140414521E-2</v>
      </c>
      <c r="C3835" s="10">
        <f ca="1">NPV(B3835,Project_FCF!C18:J18)+Project_FCF!B18</f>
        <v>854.25662564215645</v>
      </c>
      <c r="D3835" s="4"/>
      <c r="E3835" s="4"/>
    </row>
    <row r="3836" spans="1:5" x14ac:dyDescent="0.3">
      <c r="A3836" s="9">
        <v>3828</v>
      </c>
      <c r="B3836" s="10">
        <f t="shared" ca="1" si="59"/>
        <v>8.4541447398344849E-2</v>
      </c>
      <c r="C3836" s="10">
        <f ca="1">NPV(B3836,Project_FCF!C18:J18)+Project_FCF!B18</f>
        <v>900.80675065574906</v>
      </c>
      <c r="D3836" s="4"/>
      <c r="E3836" s="4"/>
    </row>
    <row r="3837" spans="1:5" x14ac:dyDescent="0.3">
      <c r="A3837" s="9">
        <v>3829</v>
      </c>
      <c r="B3837" s="10">
        <f t="shared" ca="1" si="59"/>
        <v>8.9250965078220168E-2</v>
      </c>
      <c r="C3837" s="10">
        <f ca="1">NPV(B3837,Project_FCF!C18:J18)+Project_FCF!B18</f>
        <v>863.27561606643053</v>
      </c>
      <c r="D3837" s="4"/>
      <c r="E3837" s="4"/>
    </row>
    <row r="3838" spans="1:5" x14ac:dyDescent="0.3">
      <c r="A3838" s="9">
        <v>3830</v>
      </c>
      <c r="B3838" s="10">
        <f t="shared" ca="1" si="59"/>
        <v>9.937696438876667E-2</v>
      </c>
      <c r="C3838" s="10">
        <f ca="1">NPV(B3838,Project_FCF!C18:J18)+Project_FCF!B18</f>
        <v>787.12714325410593</v>
      </c>
      <c r="D3838" s="4"/>
      <c r="E3838" s="4"/>
    </row>
    <row r="3839" spans="1:5" x14ac:dyDescent="0.3">
      <c r="A3839" s="9">
        <v>3831</v>
      </c>
      <c r="B3839" s="10">
        <f t="shared" ca="1" si="59"/>
        <v>7.539374202999663E-2</v>
      </c>
      <c r="C3839" s="10">
        <f ca="1">NPV(B3839,Project_FCF!C18:J18)+Project_FCF!B18</f>
        <v>977.82917178241019</v>
      </c>
      <c r="D3839" s="4"/>
      <c r="E3839" s="4"/>
    </row>
    <row r="3840" spans="1:5" x14ac:dyDescent="0.3">
      <c r="A3840" s="9">
        <v>3832</v>
      </c>
      <c r="B3840" s="10">
        <f t="shared" ca="1" si="59"/>
        <v>0.10321017196817861</v>
      </c>
      <c r="C3840" s="10">
        <f ca="1">NPV(B3840,Project_FCF!C18:J18)+Project_FCF!B18</f>
        <v>759.83354826205482</v>
      </c>
      <c r="D3840" s="4"/>
      <c r="E3840" s="4"/>
    </row>
    <row r="3841" spans="1:5" x14ac:dyDescent="0.3">
      <c r="A3841" s="9">
        <v>3833</v>
      </c>
      <c r="B3841" s="10">
        <f t="shared" ca="1" si="59"/>
        <v>7.1970104171362681E-2</v>
      </c>
      <c r="C3841" s="10">
        <f ca="1">NPV(B3841,Project_FCF!C18:J18)+Project_FCF!B18</f>
        <v>1008.1300727447933</v>
      </c>
      <c r="D3841" s="4"/>
      <c r="E3841" s="4"/>
    </row>
    <row r="3842" spans="1:5" x14ac:dyDescent="0.3">
      <c r="A3842" s="9">
        <v>3834</v>
      </c>
      <c r="B3842" s="10">
        <f t="shared" ca="1" si="59"/>
        <v>9.0713364608776909E-2</v>
      </c>
      <c r="C3842" s="10">
        <f ca="1">NPV(B3842,Project_FCF!C18:J18)+Project_FCF!B18</f>
        <v>851.90173798771639</v>
      </c>
      <c r="D3842" s="4"/>
      <c r="E3842" s="4"/>
    </row>
    <row r="3843" spans="1:5" x14ac:dyDescent="0.3">
      <c r="A3843" s="9">
        <v>3835</v>
      </c>
      <c r="B3843" s="10">
        <f t="shared" ca="1" si="59"/>
        <v>6.4202737582346014E-2</v>
      </c>
      <c r="C3843" s="10">
        <f ca="1">NPV(B3843,Project_FCF!C18:J18)+Project_FCF!B18</f>
        <v>1080.0417392977877</v>
      </c>
      <c r="D3843" s="4"/>
      <c r="E3843" s="4"/>
    </row>
    <row r="3844" spans="1:5" x14ac:dyDescent="0.3">
      <c r="A3844" s="9">
        <v>3836</v>
      </c>
      <c r="B3844" s="10">
        <f t="shared" ca="1" si="59"/>
        <v>8.984523078461859E-2</v>
      </c>
      <c r="C3844" s="10">
        <f ca="1">NPV(B3844,Project_FCF!C18:J18)+Project_FCF!B18</f>
        <v>858.63791945178036</v>
      </c>
      <c r="D3844" s="4"/>
      <c r="E3844" s="4"/>
    </row>
    <row r="3845" spans="1:5" x14ac:dyDescent="0.3">
      <c r="A3845" s="9">
        <v>3837</v>
      </c>
      <c r="B3845" s="10">
        <f t="shared" ca="1" si="59"/>
        <v>0.10211801385176014</v>
      </c>
      <c r="C3845" s="10">
        <f ca="1">NPV(B3845,Project_FCF!C18:J18)+Project_FCF!B18</f>
        <v>767.5275302882676</v>
      </c>
      <c r="D3845" s="4"/>
      <c r="E3845" s="4"/>
    </row>
    <row r="3846" spans="1:5" x14ac:dyDescent="0.3">
      <c r="A3846" s="9">
        <v>3838</v>
      </c>
      <c r="B3846" s="10">
        <f t="shared" ca="1" si="59"/>
        <v>6.8198335500918097E-2</v>
      </c>
      <c r="C3846" s="10">
        <f ca="1">NPV(B3846,Project_FCF!C18:J18)+Project_FCF!B18</f>
        <v>1042.4886995171012</v>
      </c>
      <c r="D3846" s="4"/>
      <c r="E3846" s="4"/>
    </row>
    <row r="3847" spans="1:5" x14ac:dyDescent="0.3">
      <c r="A3847" s="9">
        <v>3839</v>
      </c>
      <c r="B3847" s="10">
        <f t="shared" ca="1" si="59"/>
        <v>7.18002385107053E-2</v>
      </c>
      <c r="C3847" s="10">
        <f ca="1">NPV(B3847,Project_FCF!C18:J18)+Project_FCF!B18</f>
        <v>1009.6551936790147</v>
      </c>
      <c r="D3847" s="4"/>
      <c r="E3847" s="4"/>
    </row>
    <row r="3848" spans="1:5" x14ac:dyDescent="0.3">
      <c r="A3848" s="9">
        <v>3840</v>
      </c>
      <c r="B3848" s="10">
        <f t="shared" ca="1" si="59"/>
        <v>9.2896310142014618E-2</v>
      </c>
      <c r="C3848" s="10">
        <f ca="1">NPV(B3848,Project_FCF!C18:J18)+Project_FCF!B18</f>
        <v>835.16480645922002</v>
      </c>
      <c r="D3848" s="4"/>
      <c r="E3848" s="4"/>
    </row>
    <row r="3849" spans="1:5" x14ac:dyDescent="0.3">
      <c r="A3849" s="9">
        <v>3841</v>
      </c>
      <c r="B3849" s="10">
        <f t="shared" ref="B3849:B3912" ca="1" si="60">$B$4+RAND()*($B$5-$B$4)</f>
        <v>7.1057538275886512E-2</v>
      </c>
      <c r="C3849" s="10">
        <f ca="1">NPV(B3849,Project_FCF!C18:J18)+Project_FCF!B18</f>
        <v>1016.3478903789253</v>
      </c>
      <c r="D3849" s="4"/>
      <c r="E3849" s="4"/>
    </row>
    <row r="3850" spans="1:5" x14ac:dyDescent="0.3">
      <c r="A3850" s="9">
        <v>3842</v>
      </c>
      <c r="B3850" s="10">
        <f t="shared" ca="1" si="60"/>
        <v>0.10315144096255409</v>
      </c>
      <c r="C3850" s="10">
        <f ca="1">NPV(B3850,Project_FCF!C18:J18)+Project_FCF!B18</f>
        <v>760.24563920801938</v>
      </c>
      <c r="D3850" s="4"/>
      <c r="E3850" s="4"/>
    </row>
    <row r="3851" spans="1:5" x14ac:dyDescent="0.3">
      <c r="A3851" s="9">
        <v>3843</v>
      </c>
      <c r="B3851" s="10">
        <f t="shared" ca="1" si="60"/>
        <v>8.7213924611679747E-2</v>
      </c>
      <c r="C3851" s="10">
        <f ca="1">NPV(B3851,Project_FCF!C18:J18)+Project_FCF!B18</f>
        <v>879.33839033806089</v>
      </c>
      <c r="D3851" s="4"/>
      <c r="E3851" s="4"/>
    </row>
    <row r="3852" spans="1:5" x14ac:dyDescent="0.3">
      <c r="A3852" s="9">
        <v>3844</v>
      </c>
      <c r="B3852" s="10">
        <f t="shared" ca="1" si="60"/>
        <v>8.6105348339146334E-2</v>
      </c>
      <c r="C3852" s="10">
        <f ca="1">NPV(B3852,Project_FCF!C18:J18)+Project_FCF!B18</f>
        <v>888.18881354206246</v>
      </c>
      <c r="D3852" s="4"/>
      <c r="E3852" s="4"/>
    </row>
    <row r="3853" spans="1:5" x14ac:dyDescent="0.3">
      <c r="A3853" s="9">
        <v>3845</v>
      </c>
      <c r="B3853" s="10">
        <f t="shared" ca="1" si="60"/>
        <v>8.3552151484890008E-2</v>
      </c>
      <c r="C3853" s="10">
        <f ca="1">NPV(B3853,Project_FCF!C18:J18)+Project_FCF!B18</f>
        <v>908.86952264122419</v>
      </c>
      <c r="D3853" s="4"/>
      <c r="E3853" s="4"/>
    </row>
    <row r="3854" spans="1:5" x14ac:dyDescent="0.3">
      <c r="A3854" s="9">
        <v>3846</v>
      </c>
      <c r="B3854" s="10">
        <f t="shared" ca="1" si="60"/>
        <v>8.4317005850288493E-2</v>
      </c>
      <c r="C3854" s="10">
        <f ca="1">NPV(B3854,Project_FCF!C18:J18)+Project_FCF!B18</f>
        <v>902.63042464755563</v>
      </c>
      <c r="D3854" s="4"/>
      <c r="E3854" s="4"/>
    </row>
    <row r="3855" spans="1:5" x14ac:dyDescent="0.3">
      <c r="A3855" s="9">
        <v>3847</v>
      </c>
      <c r="B3855" s="10">
        <f t="shared" ca="1" si="60"/>
        <v>7.7328102029157492E-2</v>
      </c>
      <c r="C3855" s="10">
        <f ca="1">NPV(B3855,Project_FCF!C18:J18)+Project_FCF!B18</f>
        <v>961.07188294602702</v>
      </c>
      <c r="D3855" s="4"/>
      <c r="E3855" s="4"/>
    </row>
    <row r="3856" spans="1:5" x14ac:dyDescent="0.3">
      <c r="A3856" s="9">
        <v>3848</v>
      </c>
      <c r="B3856" s="10">
        <f t="shared" ca="1" si="60"/>
        <v>7.8897166717826789E-2</v>
      </c>
      <c r="C3856" s="10">
        <f ca="1">NPV(B3856,Project_FCF!C18:J18)+Project_FCF!B18</f>
        <v>947.66754593845735</v>
      </c>
      <c r="D3856" s="4"/>
      <c r="E3856" s="4"/>
    </row>
    <row r="3857" spans="1:5" x14ac:dyDescent="0.3">
      <c r="A3857" s="9">
        <v>3849</v>
      </c>
      <c r="B3857" s="10">
        <f t="shared" ca="1" si="60"/>
        <v>8.8468958242546136E-2</v>
      </c>
      <c r="C3857" s="10">
        <f ca="1">NPV(B3857,Project_FCF!C18:J18)+Project_FCF!B18</f>
        <v>869.41157551364154</v>
      </c>
      <c r="D3857" s="4"/>
      <c r="E3857" s="4"/>
    </row>
    <row r="3858" spans="1:5" x14ac:dyDescent="0.3">
      <c r="A3858" s="9">
        <v>3850</v>
      </c>
      <c r="B3858" s="10">
        <f t="shared" ca="1" si="60"/>
        <v>8.1821095816691836E-2</v>
      </c>
      <c r="C3858" s="10">
        <f ca="1">NPV(B3858,Project_FCF!C18:J18)+Project_FCF!B18</f>
        <v>923.13039965528833</v>
      </c>
      <c r="D3858" s="4"/>
      <c r="E3858" s="4"/>
    </row>
    <row r="3859" spans="1:5" x14ac:dyDescent="0.3">
      <c r="A3859" s="9">
        <v>3851</v>
      </c>
      <c r="B3859" s="10">
        <f t="shared" ca="1" si="60"/>
        <v>7.5005414497173711E-2</v>
      </c>
      <c r="C3859" s="10">
        <f ca="1">NPV(B3859,Project_FCF!C18:J18)+Project_FCF!B18</f>
        <v>981.22451859457988</v>
      </c>
      <c r="D3859" s="4"/>
      <c r="E3859" s="4"/>
    </row>
    <row r="3860" spans="1:5" x14ac:dyDescent="0.3">
      <c r="A3860" s="9">
        <v>3852</v>
      </c>
      <c r="B3860" s="10">
        <f t="shared" ca="1" si="60"/>
        <v>0.10127077112309162</v>
      </c>
      <c r="C3860" s="10">
        <f ca="1">NPV(B3860,Project_FCF!C18:J18)+Project_FCF!B18</f>
        <v>773.54118101460222</v>
      </c>
      <c r="D3860" s="4"/>
      <c r="E3860" s="4"/>
    </row>
    <row r="3861" spans="1:5" x14ac:dyDescent="0.3">
      <c r="A3861" s="9">
        <v>3853</v>
      </c>
      <c r="B3861" s="10">
        <f t="shared" ca="1" si="60"/>
        <v>6.6504273434408082E-2</v>
      </c>
      <c r="C3861" s="10">
        <f ca="1">NPV(B3861,Project_FCF!C18:J18)+Project_FCF!B18</f>
        <v>1058.2629304640529</v>
      </c>
      <c r="D3861" s="4"/>
      <c r="E3861" s="4"/>
    </row>
    <row r="3862" spans="1:5" x14ac:dyDescent="0.3">
      <c r="A3862" s="9">
        <v>3854</v>
      </c>
      <c r="B3862" s="10">
        <f t="shared" ca="1" si="60"/>
        <v>9.5211902649777497E-2</v>
      </c>
      <c r="C3862" s="10">
        <f ca="1">NPV(B3862,Project_FCF!C18:J18)+Project_FCF!B18</f>
        <v>817.72082339597046</v>
      </c>
      <c r="D3862" s="4"/>
      <c r="E3862" s="4"/>
    </row>
    <row r="3863" spans="1:5" x14ac:dyDescent="0.3">
      <c r="A3863" s="9">
        <v>3855</v>
      </c>
      <c r="B3863" s="10">
        <f t="shared" ca="1" si="60"/>
        <v>6.8622433932224669E-2</v>
      </c>
      <c r="C3863" s="10">
        <f ca="1">NPV(B3863,Project_FCF!C18:J18)+Project_FCF!B18</f>
        <v>1038.5732616229602</v>
      </c>
      <c r="D3863" s="4"/>
      <c r="E3863" s="4"/>
    </row>
    <row r="3864" spans="1:5" x14ac:dyDescent="0.3">
      <c r="A3864" s="9">
        <v>3856</v>
      </c>
      <c r="B3864" s="10">
        <f t="shared" ca="1" si="60"/>
        <v>8.5788657734146401E-2</v>
      </c>
      <c r="C3864" s="10">
        <f ca="1">NPV(B3864,Project_FCF!C18:J18)+Project_FCF!B18</f>
        <v>890.73138669714035</v>
      </c>
      <c r="D3864" s="4"/>
      <c r="E3864" s="4"/>
    </row>
    <row r="3865" spans="1:5" x14ac:dyDescent="0.3">
      <c r="A3865" s="9">
        <v>3857</v>
      </c>
      <c r="B3865" s="10">
        <f t="shared" ca="1" si="60"/>
        <v>7.2854584974878511E-2</v>
      </c>
      <c r="C3865" s="10">
        <f ca="1">NPV(B3865,Project_FCF!C18:J18)+Project_FCF!B18</f>
        <v>1000.2223009782538</v>
      </c>
      <c r="D3865" s="4"/>
      <c r="E3865" s="4"/>
    </row>
    <row r="3866" spans="1:5" x14ac:dyDescent="0.3">
      <c r="A3866" s="9">
        <v>3858</v>
      </c>
      <c r="B3866" s="10">
        <f t="shared" ca="1" si="60"/>
        <v>6.9998594194223718E-2</v>
      </c>
      <c r="C3866" s="10">
        <f ca="1">NPV(B3866,Project_FCF!C18:J18)+Project_FCF!B18</f>
        <v>1025.9595684637629</v>
      </c>
      <c r="D3866" s="4"/>
      <c r="E3866" s="4"/>
    </row>
    <row r="3867" spans="1:5" x14ac:dyDescent="0.3">
      <c r="A3867" s="9">
        <v>3859</v>
      </c>
      <c r="B3867" s="10">
        <f t="shared" ca="1" si="60"/>
        <v>9.5576483266221979E-2</v>
      </c>
      <c r="C3867" s="10">
        <f ca="1">NPV(B3867,Project_FCF!C18:J18)+Project_FCF!B18</f>
        <v>815.00299836938939</v>
      </c>
      <c r="D3867" s="4"/>
      <c r="E3867" s="4"/>
    </row>
    <row r="3868" spans="1:5" x14ac:dyDescent="0.3">
      <c r="A3868" s="9">
        <v>3860</v>
      </c>
      <c r="B3868" s="10">
        <f t="shared" ca="1" si="60"/>
        <v>8.7034444647188194E-2</v>
      </c>
      <c r="C3868" s="10">
        <f ca="1">NPV(B3868,Project_FCF!C18:J18)+Project_FCF!B18</f>
        <v>880.76604286935799</v>
      </c>
      <c r="D3868" s="4"/>
      <c r="E3868" s="4"/>
    </row>
    <row r="3869" spans="1:5" x14ac:dyDescent="0.3">
      <c r="A3869" s="9">
        <v>3861</v>
      </c>
      <c r="B3869" s="10">
        <f t="shared" ca="1" si="60"/>
        <v>7.1034812178973436E-2</v>
      </c>
      <c r="C3869" s="10">
        <f ca="1">NPV(B3869,Project_FCF!C18:J18)+Project_FCF!B18</f>
        <v>1016.5533111921213</v>
      </c>
      <c r="D3869" s="4"/>
      <c r="E3869" s="4"/>
    </row>
    <row r="3870" spans="1:5" x14ac:dyDescent="0.3">
      <c r="A3870" s="9">
        <v>3862</v>
      </c>
      <c r="B3870" s="10">
        <f t="shared" ca="1" si="60"/>
        <v>7.5600724278682807E-2</v>
      </c>
      <c r="C3870" s="10">
        <f ca="1">NPV(B3870,Project_FCF!C18:J18)+Project_FCF!B18</f>
        <v>976.02371531905374</v>
      </c>
      <c r="D3870" s="4"/>
      <c r="E3870" s="4"/>
    </row>
    <row r="3871" spans="1:5" x14ac:dyDescent="0.3">
      <c r="A3871" s="9">
        <v>3863</v>
      </c>
      <c r="B3871" s="10">
        <f t="shared" ca="1" si="60"/>
        <v>9.178265283896811E-2</v>
      </c>
      <c r="C3871" s="10">
        <f ca="1">NPV(B3871,Project_FCF!C18:J18)+Project_FCF!B18</f>
        <v>843.66756683420181</v>
      </c>
      <c r="D3871" s="4"/>
      <c r="E3871" s="4"/>
    </row>
    <row r="3872" spans="1:5" x14ac:dyDescent="0.3">
      <c r="A3872" s="9">
        <v>3864</v>
      </c>
      <c r="B3872" s="10">
        <f t="shared" ca="1" si="60"/>
        <v>6.9517963054425189E-2</v>
      </c>
      <c r="C3872" s="10">
        <f ca="1">NPV(B3872,Project_FCF!C18:J18)+Project_FCF!B18</f>
        <v>1030.3491263326644</v>
      </c>
      <c r="D3872" s="4"/>
      <c r="E3872" s="4"/>
    </row>
    <row r="3873" spans="1:5" x14ac:dyDescent="0.3">
      <c r="A3873" s="9">
        <v>3865</v>
      </c>
      <c r="B3873" s="10">
        <f t="shared" ca="1" si="60"/>
        <v>0.10220879610974054</v>
      </c>
      <c r="C3873" s="10">
        <f ca="1">NPV(B3873,Project_FCF!C18:J18)+Project_FCF!B18</f>
        <v>766.88550710471327</v>
      </c>
      <c r="D3873" s="4"/>
      <c r="E3873" s="4"/>
    </row>
    <row r="3874" spans="1:5" x14ac:dyDescent="0.3">
      <c r="A3874" s="9">
        <v>3866</v>
      </c>
      <c r="B3874" s="10">
        <f t="shared" ca="1" si="60"/>
        <v>6.6378065292630239E-2</v>
      </c>
      <c r="C3874" s="10">
        <f ca="1">NPV(B3874,Project_FCF!C18:J18)+Project_FCF!B18</f>
        <v>1059.446753831437</v>
      </c>
      <c r="D3874" s="4"/>
      <c r="E3874" s="4"/>
    </row>
    <row r="3875" spans="1:5" x14ac:dyDescent="0.3">
      <c r="A3875" s="9">
        <v>3867</v>
      </c>
      <c r="B3875" s="10">
        <f t="shared" ca="1" si="60"/>
        <v>9.7153018582703338E-2</v>
      </c>
      <c r="C3875" s="10">
        <f ca="1">NPV(B3875,Project_FCF!C18:J18)+Project_FCF!B18</f>
        <v>803.33909084085917</v>
      </c>
      <c r="D3875" s="4"/>
      <c r="E3875" s="4"/>
    </row>
    <row r="3876" spans="1:5" x14ac:dyDescent="0.3">
      <c r="A3876" s="9">
        <v>3868</v>
      </c>
      <c r="B3876" s="10">
        <f t="shared" ca="1" si="60"/>
        <v>7.3866365788551103E-2</v>
      </c>
      <c r="C3876" s="10">
        <f ca="1">NPV(B3876,Project_FCF!C18:J18)+Project_FCF!B18</f>
        <v>991.24477445350681</v>
      </c>
      <c r="D3876" s="4"/>
      <c r="E3876" s="4"/>
    </row>
    <row r="3877" spans="1:5" x14ac:dyDescent="0.3">
      <c r="A3877" s="9">
        <v>3869</v>
      </c>
      <c r="B3877" s="10">
        <f t="shared" ca="1" si="60"/>
        <v>7.8105099794753649E-2</v>
      </c>
      <c r="C3877" s="10">
        <f ca="1">NPV(B3877,Project_FCF!C18:J18)+Project_FCF!B18</f>
        <v>954.41315981937214</v>
      </c>
      <c r="D3877" s="4"/>
      <c r="E3877" s="4"/>
    </row>
    <row r="3878" spans="1:5" x14ac:dyDescent="0.3">
      <c r="A3878" s="9">
        <v>3870</v>
      </c>
      <c r="B3878" s="10">
        <f t="shared" ca="1" si="60"/>
        <v>0.10326119069128376</v>
      </c>
      <c r="C3878" s="10">
        <f ca="1">NPV(B3878,Project_FCF!C18:J18)+Project_FCF!B18</f>
        <v>759.47572329191871</v>
      </c>
      <c r="D3878" s="4"/>
      <c r="E3878" s="4"/>
    </row>
    <row r="3879" spans="1:5" x14ac:dyDescent="0.3">
      <c r="A3879" s="9">
        <v>3871</v>
      </c>
      <c r="B3879" s="10">
        <f t="shared" ca="1" si="60"/>
        <v>6.5958635197646817E-2</v>
      </c>
      <c r="C3879" s="10">
        <f ca="1">NPV(B3879,Project_FCF!C18:J18)+Project_FCF!B18</f>
        <v>1063.3896425474179</v>
      </c>
      <c r="D3879" s="4"/>
      <c r="E3879" s="4"/>
    </row>
    <row r="3880" spans="1:5" x14ac:dyDescent="0.3">
      <c r="A3880" s="9">
        <v>3872</v>
      </c>
      <c r="B3880" s="10">
        <f t="shared" ca="1" si="60"/>
        <v>7.1901376670618966E-2</v>
      </c>
      <c r="C3880" s="10">
        <f ca="1">NPV(B3880,Project_FCF!C18:J18)+Project_FCF!B18</f>
        <v>1008.7468853494527</v>
      </c>
      <c r="D3880" s="4"/>
      <c r="E3880" s="4"/>
    </row>
    <row r="3881" spans="1:5" x14ac:dyDescent="0.3">
      <c r="A3881" s="9">
        <v>3873</v>
      </c>
      <c r="B3881" s="10">
        <f t="shared" ca="1" si="60"/>
        <v>8.0059423444877598E-2</v>
      </c>
      <c r="C3881" s="10">
        <f ca="1">NPV(B3881,Project_FCF!C18:J18)+Project_FCF!B18</f>
        <v>937.84580590020869</v>
      </c>
      <c r="D3881" s="4"/>
      <c r="E3881" s="4"/>
    </row>
    <row r="3882" spans="1:5" x14ac:dyDescent="0.3">
      <c r="A3882" s="9">
        <v>3874</v>
      </c>
      <c r="B3882" s="10">
        <f t="shared" ca="1" si="60"/>
        <v>9.4182156736634492E-2</v>
      </c>
      <c r="C3882" s="10">
        <f ca="1">NPV(B3882,Project_FCF!C18:J18)+Project_FCF!B18</f>
        <v>825.43918116823011</v>
      </c>
      <c r="D3882" s="4"/>
      <c r="E3882" s="4"/>
    </row>
    <row r="3883" spans="1:5" x14ac:dyDescent="0.3">
      <c r="A3883" s="9">
        <v>3875</v>
      </c>
      <c r="B3883" s="10">
        <f t="shared" ca="1" si="60"/>
        <v>8.1818292016280825E-2</v>
      </c>
      <c r="C3883" s="10">
        <f ca="1">NPV(B3883,Project_FCF!C18:J18)+Project_FCF!B18</f>
        <v>923.15365706577427</v>
      </c>
      <c r="D3883" s="4"/>
      <c r="E3883" s="4"/>
    </row>
    <row r="3884" spans="1:5" x14ac:dyDescent="0.3">
      <c r="A3884" s="9">
        <v>3876</v>
      </c>
      <c r="B3884" s="10">
        <f t="shared" ca="1" si="60"/>
        <v>9.3806456729169554E-2</v>
      </c>
      <c r="C3884" s="10">
        <f ca="1">NPV(B3884,Project_FCF!C18:J18)+Project_FCF!B18</f>
        <v>828.27071197972373</v>
      </c>
      <c r="D3884" s="4"/>
      <c r="E3884" s="4"/>
    </row>
    <row r="3885" spans="1:5" x14ac:dyDescent="0.3">
      <c r="A3885" s="9">
        <v>3877</v>
      </c>
      <c r="B3885" s="10">
        <f t="shared" ca="1" si="60"/>
        <v>6.8767711049932873E-2</v>
      </c>
      <c r="C3885" s="10">
        <f ca="1">NPV(B3885,Project_FCF!C18:J18)+Project_FCF!B18</f>
        <v>1037.2350759115652</v>
      </c>
      <c r="D3885" s="4"/>
      <c r="E3885" s="4"/>
    </row>
    <row r="3886" spans="1:5" x14ac:dyDescent="0.3">
      <c r="A3886" s="9">
        <v>3878</v>
      </c>
      <c r="B3886" s="10">
        <f t="shared" ca="1" si="60"/>
        <v>8.6136246900591046E-2</v>
      </c>
      <c r="C3886" s="10">
        <f ca="1">NPV(B3886,Project_FCF!C18:J18)+Project_FCF!B18</f>
        <v>887.94108224890647</v>
      </c>
      <c r="D3886" s="4"/>
      <c r="E3886" s="4"/>
    </row>
    <row r="3887" spans="1:5" x14ac:dyDescent="0.3">
      <c r="A3887" s="9">
        <v>3879</v>
      </c>
      <c r="B3887" s="10">
        <f t="shared" ca="1" si="60"/>
        <v>9.4216647511279811E-2</v>
      </c>
      <c r="C3887" s="10">
        <f ca="1">NPV(B3887,Project_FCF!C18:J18)+Project_FCF!B18</f>
        <v>825.17965199832133</v>
      </c>
      <c r="D3887" s="4"/>
      <c r="E3887" s="4"/>
    </row>
    <row r="3888" spans="1:5" x14ac:dyDescent="0.3">
      <c r="A3888" s="9">
        <v>3880</v>
      </c>
      <c r="B3888" s="10">
        <f t="shared" ca="1" si="60"/>
        <v>9.5764254003169874E-2</v>
      </c>
      <c r="C3888" s="10">
        <f ca="1">NPV(B3888,Project_FCF!C18:J18)+Project_FCF!B18</f>
        <v>813.60624724410241</v>
      </c>
      <c r="D3888" s="4"/>
      <c r="E3888" s="4"/>
    </row>
    <row r="3889" spans="1:5" x14ac:dyDescent="0.3">
      <c r="A3889" s="9">
        <v>3881</v>
      </c>
      <c r="B3889" s="10">
        <f t="shared" ca="1" si="60"/>
        <v>7.51208764557285E-2</v>
      </c>
      <c r="C3889" s="10">
        <f ca="1">NPV(B3889,Project_FCF!C18:J18)+Project_FCF!B18</f>
        <v>980.21387555702177</v>
      </c>
      <c r="D3889" s="4"/>
      <c r="E3889" s="4"/>
    </row>
    <row r="3890" spans="1:5" x14ac:dyDescent="0.3">
      <c r="A3890" s="9">
        <v>3882</v>
      </c>
      <c r="B3890" s="10">
        <f t="shared" ca="1" si="60"/>
        <v>8.7312979505269533E-2</v>
      </c>
      <c r="C3890" s="10">
        <f ca="1">NPV(B3890,Project_FCF!C18:J18)+Project_FCF!B18</f>
        <v>878.55133399121496</v>
      </c>
      <c r="D3890" s="4"/>
      <c r="E3890" s="4"/>
    </row>
    <row r="3891" spans="1:5" x14ac:dyDescent="0.3">
      <c r="A3891" s="9">
        <v>3883</v>
      </c>
      <c r="B3891" s="10">
        <f t="shared" ca="1" si="60"/>
        <v>9.8184090832639084E-2</v>
      </c>
      <c r="C3891" s="10">
        <f ca="1">NPV(B3891,Project_FCF!C18:J18)+Project_FCF!B18</f>
        <v>795.78794613495165</v>
      </c>
      <c r="D3891" s="4"/>
      <c r="E3891" s="4"/>
    </row>
    <row r="3892" spans="1:5" x14ac:dyDescent="0.3">
      <c r="A3892" s="9">
        <v>3884</v>
      </c>
      <c r="B3892" s="10">
        <f t="shared" ca="1" si="60"/>
        <v>0.10105164036733932</v>
      </c>
      <c r="C3892" s="10">
        <f ca="1">NPV(B3892,Project_FCF!C18:J18)+Project_FCF!B18</f>
        <v>775.10299648835394</v>
      </c>
      <c r="D3892" s="4"/>
      <c r="E3892" s="4"/>
    </row>
    <row r="3893" spans="1:5" x14ac:dyDescent="0.3">
      <c r="A3893" s="9">
        <v>3885</v>
      </c>
      <c r="B3893" s="10">
        <f t="shared" ca="1" si="60"/>
        <v>9.3629342775634256E-2</v>
      </c>
      <c r="C3893" s="10">
        <f ca="1">NPV(B3893,Project_FCF!C18:J18)+Project_FCF!B18</f>
        <v>829.60845252669174</v>
      </c>
      <c r="D3893" s="4"/>
      <c r="E3893" s="4"/>
    </row>
    <row r="3894" spans="1:5" x14ac:dyDescent="0.3">
      <c r="A3894" s="9">
        <v>3886</v>
      </c>
      <c r="B3894" s="10">
        <f t="shared" ca="1" si="60"/>
        <v>7.497508089259862E-2</v>
      </c>
      <c r="C3894" s="10">
        <f ca="1">NPV(B3894,Project_FCF!C18:J18)+Project_FCF!B18</f>
        <v>981.49018441332009</v>
      </c>
      <c r="D3894" s="4"/>
      <c r="E3894" s="4"/>
    </row>
    <row r="3895" spans="1:5" x14ac:dyDescent="0.3">
      <c r="A3895" s="9">
        <v>3887</v>
      </c>
      <c r="B3895" s="10">
        <f t="shared" ca="1" si="60"/>
        <v>9.4582861523799966E-2</v>
      </c>
      <c r="C3895" s="10">
        <f ca="1">NPV(B3895,Project_FCF!C18:J18)+Project_FCF!B18</f>
        <v>822.42835209729583</v>
      </c>
      <c r="D3895" s="4"/>
      <c r="E3895" s="4"/>
    </row>
    <row r="3896" spans="1:5" x14ac:dyDescent="0.3">
      <c r="A3896" s="9">
        <v>3888</v>
      </c>
      <c r="B3896" s="10">
        <f t="shared" ca="1" si="60"/>
        <v>7.0649601681657473E-2</v>
      </c>
      <c r="C3896" s="10">
        <f ca="1">NPV(B3896,Project_FCF!C18:J18)+Project_FCF!B18</f>
        <v>1020.0409251903729</v>
      </c>
      <c r="D3896" s="4"/>
      <c r="E3896" s="4"/>
    </row>
    <row r="3897" spans="1:5" x14ac:dyDescent="0.3">
      <c r="A3897" s="9">
        <v>3889</v>
      </c>
      <c r="B3897" s="10">
        <f t="shared" ca="1" si="60"/>
        <v>9.3492828023648861E-2</v>
      </c>
      <c r="C3897" s="10">
        <f ca="1">NPV(B3897,Project_FCF!C18:J18)+Project_FCF!B18</f>
        <v>830.64081360734372</v>
      </c>
      <c r="D3897" s="4"/>
      <c r="E3897" s="4"/>
    </row>
    <row r="3898" spans="1:5" x14ac:dyDescent="0.3">
      <c r="A3898" s="9">
        <v>3890</v>
      </c>
      <c r="B3898" s="10">
        <f t="shared" ca="1" si="60"/>
        <v>7.5982923439483721E-2</v>
      </c>
      <c r="C3898" s="10">
        <f ca="1">NPV(B3898,Project_FCF!C18:J18)+Project_FCF!B18</f>
        <v>972.69771076568941</v>
      </c>
      <c r="D3898" s="4"/>
      <c r="E3898" s="4"/>
    </row>
    <row r="3899" spans="1:5" x14ac:dyDescent="0.3">
      <c r="A3899" s="9">
        <v>3891</v>
      </c>
      <c r="B3899" s="10">
        <f t="shared" ca="1" si="60"/>
        <v>9.0170586291610288E-2</v>
      </c>
      <c r="C3899" s="10">
        <f ca="1">NPV(B3899,Project_FCF!C18:J18)+Project_FCF!B18</f>
        <v>856.10797916786237</v>
      </c>
      <c r="D3899" s="4"/>
      <c r="E3899" s="4"/>
    </row>
    <row r="3900" spans="1:5" x14ac:dyDescent="0.3">
      <c r="A3900" s="9">
        <v>3892</v>
      </c>
      <c r="B3900" s="10">
        <f t="shared" ca="1" si="60"/>
        <v>9.1521261683731675E-2</v>
      </c>
      <c r="C3900" s="10">
        <f ca="1">NPV(B3900,Project_FCF!C18:J18)+Project_FCF!B18</f>
        <v>845.67406389581538</v>
      </c>
      <c r="D3900" s="4"/>
      <c r="E3900" s="4"/>
    </row>
    <row r="3901" spans="1:5" x14ac:dyDescent="0.3">
      <c r="A3901" s="9">
        <v>3893</v>
      </c>
      <c r="B3901" s="10">
        <f t="shared" ca="1" si="60"/>
        <v>9.8060413541187816E-2</v>
      </c>
      <c r="C3901" s="10">
        <f ca="1">NPV(B3901,Project_FCF!C18:J18)+Project_FCF!B18</f>
        <v>796.69050911977865</v>
      </c>
      <c r="D3901" s="4"/>
      <c r="E3901" s="4"/>
    </row>
    <row r="3902" spans="1:5" x14ac:dyDescent="0.3">
      <c r="A3902" s="9">
        <v>3894</v>
      </c>
      <c r="B3902" s="10">
        <f t="shared" ca="1" si="60"/>
        <v>9.7132031938179583E-2</v>
      </c>
      <c r="C3902" s="10">
        <f ca="1">NPV(B3902,Project_FCF!C18:J18)+Project_FCF!B18</f>
        <v>803.49341923583984</v>
      </c>
      <c r="D3902" s="4"/>
      <c r="E3902" s="4"/>
    </row>
    <row r="3903" spans="1:5" x14ac:dyDescent="0.3">
      <c r="A3903" s="9">
        <v>3895</v>
      </c>
      <c r="B3903" s="10">
        <f t="shared" ca="1" si="60"/>
        <v>8.579227170467868E-2</v>
      </c>
      <c r="C3903" s="10">
        <f ca="1">NPV(B3903,Project_FCF!C18:J18)+Project_FCF!B18</f>
        <v>890.70233581922366</v>
      </c>
      <c r="D3903" s="4"/>
      <c r="E3903" s="4"/>
    </row>
    <row r="3904" spans="1:5" x14ac:dyDescent="0.3">
      <c r="A3904" s="9">
        <v>3896</v>
      </c>
      <c r="B3904" s="10">
        <f t="shared" ca="1" si="60"/>
        <v>8.6516241438497871E-2</v>
      </c>
      <c r="C3904" s="10">
        <f ca="1">NPV(B3904,Project_FCF!C18:J18)+Project_FCF!B18</f>
        <v>884.8993828668938</v>
      </c>
      <c r="D3904" s="4"/>
      <c r="E3904" s="4"/>
    </row>
    <row r="3905" spans="1:5" x14ac:dyDescent="0.3">
      <c r="A3905" s="9">
        <v>3897</v>
      </c>
      <c r="B3905" s="10">
        <f t="shared" ca="1" si="60"/>
        <v>7.494762915342576E-2</v>
      </c>
      <c r="C3905" s="10">
        <f ca="1">NPV(B3905,Project_FCF!C18:J18)+Project_FCF!B18</f>
        <v>981.73066594404327</v>
      </c>
      <c r="D3905" s="4"/>
      <c r="E3905" s="4"/>
    </row>
    <row r="3906" spans="1:5" x14ac:dyDescent="0.3">
      <c r="A3906" s="9">
        <v>3898</v>
      </c>
      <c r="B3906" s="10">
        <f t="shared" ca="1" si="60"/>
        <v>8.8010466880246579E-2</v>
      </c>
      <c r="C3906" s="10">
        <f ca="1">NPV(B3906,Project_FCF!C18:J18)+Project_FCF!B18</f>
        <v>873.02669110165129</v>
      </c>
      <c r="D3906" s="4"/>
      <c r="E3906" s="4"/>
    </row>
    <row r="3907" spans="1:5" x14ac:dyDescent="0.3">
      <c r="A3907" s="9">
        <v>3899</v>
      </c>
      <c r="B3907" s="10">
        <f t="shared" ca="1" si="60"/>
        <v>9.960255939895811E-2</v>
      </c>
      <c r="C3907" s="10">
        <f ca="1">NPV(B3907,Project_FCF!C18:J18)+Project_FCF!B18</f>
        <v>785.49823944931836</v>
      </c>
      <c r="D3907" s="4"/>
      <c r="E3907" s="4"/>
    </row>
    <row r="3908" spans="1:5" x14ac:dyDescent="0.3">
      <c r="A3908" s="9">
        <v>3900</v>
      </c>
      <c r="B3908" s="10">
        <f t="shared" ca="1" si="60"/>
        <v>0.1017726820424963</v>
      </c>
      <c r="C3908" s="10">
        <f ca="1">NPV(B3908,Project_FCF!C18:J18)+Project_FCF!B18</f>
        <v>769.97389282634276</v>
      </c>
      <c r="D3908" s="4"/>
      <c r="E3908" s="4"/>
    </row>
    <row r="3909" spans="1:5" x14ac:dyDescent="0.3">
      <c r="A3909" s="9">
        <v>3901</v>
      </c>
      <c r="B3909" s="10">
        <f t="shared" ca="1" si="60"/>
        <v>7.5190110626630821E-2</v>
      </c>
      <c r="C3909" s="10">
        <f ca="1">NPV(B3909,Project_FCF!C18:J18)+Project_FCF!B18</f>
        <v>979.60831285044742</v>
      </c>
      <c r="D3909" s="4"/>
      <c r="E3909" s="4"/>
    </row>
    <row r="3910" spans="1:5" x14ac:dyDescent="0.3">
      <c r="A3910" s="9">
        <v>3902</v>
      </c>
      <c r="B3910" s="10">
        <f t="shared" ca="1" si="60"/>
        <v>7.0764794909301973E-2</v>
      </c>
      <c r="C3910" s="10">
        <f ca="1">NPV(B3910,Project_FCF!C18:J18)+Project_FCF!B18</f>
        <v>1018.9968604006942</v>
      </c>
      <c r="D3910" s="4"/>
      <c r="E3910" s="4"/>
    </row>
    <row r="3911" spans="1:5" x14ac:dyDescent="0.3">
      <c r="A3911" s="9">
        <v>3903</v>
      </c>
      <c r="B3911" s="10">
        <f t="shared" ca="1" si="60"/>
        <v>8.6955504242019518E-2</v>
      </c>
      <c r="C3911" s="10">
        <f ca="1">NPV(B3911,Project_FCF!C18:J18)+Project_FCF!B18</f>
        <v>881.39460488641021</v>
      </c>
      <c r="D3911" s="4"/>
      <c r="E3911" s="4"/>
    </row>
    <row r="3912" spans="1:5" x14ac:dyDescent="0.3">
      <c r="A3912" s="9">
        <v>3904</v>
      </c>
      <c r="B3912" s="10">
        <f t="shared" ca="1" si="60"/>
        <v>9.7820115778389505E-2</v>
      </c>
      <c r="C3912" s="10">
        <f ca="1">NPV(B3912,Project_FCF!C18:J18)+Project_FCF!B18</f>
        <v>798.4466238903733</v>
      </c>
      <c r="D3912" s="4"/>
      <c r="E3912" s="4"/>
    </row>
    <row r="3913" spans="1:5" x14ac:dyDescent="0.3">
      <c r="A3913" s="9">
        <v>3905</v>
      </c>
      <c r="B3913" s="10">
        <f t="shared" ref="B3913:B3976" ca="1" si="61">$B$4+RAND()*($B$5-$B$4)</f>
        <v>8.0291693922526525E-2</v>
      </c>
      <c r="C3913" s="10">
        <f ca="1">NPV(B3913,Project_FCF!C18:J18)+Project_FCF!B18</f>
        <v>935.89383556914004</v>
      </c>
      <c r="D3913" s="4"/>
      <c r="E3913" s="4"/>
    </row>
    <row r="3914" spans="1:5" x14ac:dyDescent="0.3">
      <c r="A3914" s="9">
        <v>3906</v>
      </c>
      <c r="B3914" s="10">
        <f t="shared" ca="1" si="61"/>
        <v>7.3292656413079318E-2</v>
      </c>
      <c r="C3914" s="10">
        <f ca="1">NPV(B3914,Project_FCF!C18:J18)+Project_FCF!B18</f>
        <v>996.32637344651289</v>
      </c>
      <c r="D3914" s="4"/>
      <c r="E3914" s="4"/>
    </row>
    <row r="3915" spans="1:5" x14ac:dyDescent="0.3">
      <c r="A3915" s="9">
        <v>3907</v>
      </c>
      <c r="B3915" s="10">
        <f t="shared" ca="1" si="61"/>
        <v>6.5742373204756566E-2</v>
      </c>
      <c r="C3915" s="10">
        <f ca="1">NPV(B3915,Project_FCF!C18:J18)+Project_FCF!B18</f>
        <v>1065.4278488786633</v>
      </c>
      <c r="D3915" s="4"/>
      <c r="E3915" s="4"/>
    </row>
    <row r="3916" spans="1:5" x14ac:dyDescent="0.3">
      <c r="A3916" s="9">
        <v>3908</v>
      </c>
      <c r="B3916" s="10">
        <f t="shared" ca="1" si="61"/>
        <v>7.3687961022784729E-2</v>
      </c>
      <c r="C3916" s="10">
        <f ca="1">NPV(B3916,Project_FCF!C18:J18)+Project_FCF!B18</f>
        <v>992.82248759472418</v>
      </c>
      <c r="D3916" s="4"/>
      <c r="E3916" s="4"/>
    </row>
    <row r="3917" spans="1:5" x14ac:dyDescent="0.3">
      <c r="A3917" s="9">
        <v>3909</v>
      </c>
      <c r="B3917" s="10">
        <f t="shared" ca="1" si="61"/>
        <v>9.1795986517304154E-2</v>
      </c>
      <c r="C3917" s="10">
        <f ca="1">NPV(B3917,Project_FCF!C18:J18)+Project_FCF!B18</f>
        <v>843.56532474323149</v>
      </c>
      <c r="D3917" s="4"/>
      <c r="E3917" s="4"/>
    </row>
    <row r="3918" spans="1:5" x14ac:dyDescent="0.3">
      <c r="A3918" s="9">
        <v>3910</v>
      </c>
      <c r="B3918" s="10">
        <f t="shared" ca="1" si="61"/>
        <v>0.1019300222025982</v>
      </c>
      <c r="C3918" s="10">
        <f ca="1">NPV(B3918,Project_FCF!C18:J18)+Project_FCF!B18</f>
        <v>768.85846798128387</v>
      </c>
      <c r="D3918" s="4"/>
      <c r="E3918" s="4"/>
    </row>
    <row r="3919" spans="1:5" x14ac:dyDescent="0.3">
      <c r="A3919" s="9">
        <v>3911</v>
      </c>
      <c r="B3919" s="10">
        <f t="shared" ca="1" si="61"/>
        <v>6.668462129878848E-2</v>
      </c>
      <c r="C3919" s="10">
        <f ca="1">NPV(B3919,Project_FCF!C18:J18)+Project_FCF!B18</f>
        <v>1056.5733688379291</v>
      </c>
      <c r="D3919" s="4"/>
      <c r="E3919" s="4"/>
    </row>
    <row r="3920" spans="1:5" x14ac:dyDescent="0.3">
      <c r="A3920" s="9">
        <v>3912</v>
      </c>
      <c r="B3920" s="10">
        <f t="shared" ca="1" si="61"/>
        <v>9.6812332473599855E-2</v>
      </c>
      <c r="C3920" s="10">
        <f ca="1">NPV(B3920,Project_FCF!C18:J18)+Project_FCF!B18</f>
        <v>805.84750159085866</v>
      </c>
      <c r="D3920" s="4"/>
      <c r="E3920" s="4"/>
    </row>
    <row r="3921" spans="1:5" x14ac:dyDescent="0.3">
      <c r="A3921" s="9">
        <v>3913</v>
      </c>
      <c r="B3921" s="10">
        <f t="shared" ca="1" si="61"/>
        <v>7.5607661000126947E-2</v>
      </c>
      <c r="C3921" s="10">
        <f ca="1">NPV(B3921,Project_FCF!C18:J18)+Project_FCF!B18</f>
        <v>975.96325959904902</v>
      </c>
      <c r="D3921" s="4"/>
      <c r="E3921" s="4"/>
    </row>
    <row r="3922" spans="1:5" x14ac:dyDescent="0.3">
      <c r="A3922" s="9">
        <v>3914</v>
      </c>
      <c r="B3922" s="10">
        <f t="shared" ca="1" si="61"/>
        <v>8.4833144720629985E-2</v>
      </c>
      <c r="C3922" s="10">
        <f ca="1">NPV(B3922,Project_FCF!C18:J18)+Project_FCF!B18</f>
        <v>898.44142636032802</v>
      </c>
      <c r="D3922" s="4"/>
      <c r="E3922" s="4"/>
    </row>
    <row r="3923" spans="1:5" x14ac:dyDescent="0.3">
      <c r="A3923" s="9">
        <v>3915</v>
      </c>
      <c r="B3923" s="10">
        <f t="shared" ca="1" si="61"/>
        <v>6.9466001043498218E-2</v>
      </c>
      <c r="C3923" s="10">
        <f ca="1">NPV(B3923,Project_FCF!C18:J18)+Project_FCF!B18</f>
        <v>1030.8247062298549</v>
      </c>
      <c r="D3923" s="4"/>
      <c r="E3923" s="4"/>
    </row>
    <row r="3924" spans="1:5" x14ac:dyDescent="0.3">
      <c r="A3924" s="9">
        <v>3916</v>
      </c>
      <c r="B3924" s="10">
        <f t="shared" ca="1" si="61"/>
        <v>9.3158521875325181E-2</v>
      </c>
      <c r="C3924" s="10">
        <f ca="1">NPV(B3924,Project_FCF!C18:J18)+Project_FCF!B18</f>
        <v>833.17358939278665</v>
      </c>
      <c r="D3924" s="4"/>
      <c r="E3924" s="4"/>
    </row>
    <row r="3925" spans="1:5" x14ac:dyDescent="0.3">
      <c r="A3925" s="9">
        <v>3917</v>
      </c>
      <c r="B3925" s="10">
        <f t="shared" ca="1" si="61"/>
        <v>0.10032944081524169</v>
      </c>
      <c r="C3925" s="10">
        <f ca="1">NPV(B3925,Project_FCF!C18:J18)+Project_FCF!B18</f>
        <v>780.26919646297074</v>
      </c>
      <c r="D3925" s="4"/>
      <c r="E3925" s="4"/>
    </row>
    <row r="3926" spans="1:5" x14ac:dyDescent="0.3">
      <c r="A3926" s="9">
        <v>3918</v>
      </c>
      <c r="B3926" s="10">
        <f t="shared" ca="1" si="61"/>
        <v>8.0517279187565002E-2</v>
      </c>
      <c r="C3926" s="10">
        <f ca="1">NPV(B3926,Project_FCF!C18:J18)+Project_FCF!B18</f>
        <v>934.00148957150805</v>
      </c>
      <c r="D3926" s="4"/>
      <c r="E3926" s="4"/>
    </row>
    <row r="3927" spans="1:5" x14ac:dyDescent="0.3">
      <c r="A3927" s="9">
        <v>3919</v>
      </c>
      <c r="B3927" s="10">
        <f t="shared" ca="1" si="61"/>
        <v>9.6691116607423633E-2</v>
      </c>
      <c r="C3927" s="10">
        <f ca="1">NPV(B3927,Project_FCF!C18:J18)+Project_FCF!B18</f>
        <v>806.74160084255095</v>
      </c>
      <c r="D3927" s="4"/>
      <c r="E3927" s="4"/>
    </row>
    <row r="3928" spans="1:5" x14ac:dyDescent="0.3">
      <c r="A3928" s="9">
        <v>3920</v>
      </c>
      <c r="B3928" s="10">
        <f t="shared" ca="1" si="61"/>
        <v>8.0038489836218793E-2</v>
      </c>
      <c r="C3928" s="10">
        <f ca="1">NPV(B3928,Project_FCF!C18:J18)+Project_FCF!B18</f>
        <v>938.02190610391904</v>
      </c>
      <c r="D3928" s="4"/>
      <c r="E3928" s="4"/>
    </row>
    <row r="3929" spans="1:5" x14ac:dyDescent="0.3">
      <c r="A3929" s="9">
        <v>3921</v>
      </c>
      <c r="B3929" s="10">
        <f t="shared" ca="1" si="61"/>
        <v>7.0543222704167574E-2</v>
      </c>
      <c r="C3929" s="10">
        <f ca="1">NPV(B3929,Project_FCF!C18:J18)+Project_FCF!B18</f>
        <v>1021.0059586081259</v>
      </c>
      <c r="D3929" s="4"/>
      <c r="E3929" s="4"/>
    </row>
    <row r="3930" spans="1:5" x14ac:dyDescent="0.3">
      <c r="A3930" s="9">
        <v>3922</v>
      </c>
      <c r="B3930" s="10">
        <f t="shared" ca="1" si="61"/>
        <v>9.645027716672136E-2</v>
      </c>
      <c r="C3930" s="10">
        <f ca="1">NPV(B3930,Project_FCF!C18:J18)+Project_FCF!B18</f>
        <v>808.5205648028093</v>
      </c>
      <c r="D3930" s="4"/>
      <c r="E3930" s="4"/>
    </row>
    <row r="3931" spans="1:5" x14ac:dyDescent="0.3">
      <c r="A3931" s="9">
        <v>3923</v>
      </c>
      <c r="B3931" s="10">
        <f t="shared" ca="1" si="61"/>
        <v>0.10035521099049621</v>
      </c>
      <c r="C3931" s="10">
        <f ca="1">NPV(B3931,Project_FCF!C18:J18)+Project_FCF!B18</f>
        <v>780.0843524540453</v>
      </c>
      <c r="D3931" s="4"/>
      <c r="E3931" s="4"/>
    </row>
    <row r="3932" spans="1:5" x14ac:dyDescent="0.3">
      <c r="A3932" s="9">
        <v>3924</v>
      </c>
      <c r="B3932" s="10">
        <f t="shared" ca="1" si="61"/>
        <v>0.10360718211483186</v>
      </c>
      <c r="C3932" s="10">
        <f ca="1">NPV(B3932,Project_FCF!C18:J18)+Project_FCF!B18</f>
        <v>757.05280403531037</v>
      </c>
      <c r="D3932" s="4"/>
      <c r="E3932" s="4"/>
    </row>
    <row r="3933" spans="1:5" x14ac:dyDescent="0.3">
      <c r="A3933" s="9">
        <v>3925</v>
      </c>
      <c r="B3933" s="10">
        <f t="shared" ca="1" si="61"/>
        <v>9.5088637774933732E-2</v>
      </c>
      <c r="C3933" s="10">
        <f ca="1">NPV(B3933,Project_FCF!C18:J18)+Project_FCF!B18</f>
        <v>818.64147354998863</v>
      </c>
      <c r="D3933" s="4"/>
      <c r="E3933" s="4"/>
    </row>
    <row r="3934" spans="1:5" x14ac:dyDescent="0.3">
      <c r="A3934" s="9">
        <v>3926</v>
      </c>
      <c r="B3934" s="10">
        <f t="shared" ca="1" si="61"/>
        <v>7.243353962619227E-2</v>
      </c>
      <c r="C3934" s="10">
        <f ca="1">NPV(B3934,Project_FCF!C18:J18)+Project_FCF!B18</f>
        <v>1003.9797059705036</v>
      </c>
      <c r="D3934" s="4"/>
      <c r="E3934" s="4"/>
    </row>
    <row r="3935" spans="1:5" x14ac:dyDescent="0.3">
      <c r="A3935" s="9">
        <v>3927</v>
      </c>
      <c r="B3935" s="10">
        <f t="shared" ca="1" si="61"/>
        <v>7.7417693468816107E-2</v>
      </c>
      <c r="C3935" s="10">
        <f ca="1">NPV(B3935,Project_FCF!C18:J18)+Project_FCF!B18</f>
        <v>960.30199838094268</v>
      </c>
      <c r="D3935" s="4"/>
      <c r="E3935" s="4"/>
    </row>
    <row r="3936" spans="1:5" x14ac:dyDescent="0.3">
      <c r="A3936" s="9">
        <v>3928</v>
      </c>
      <c r="B3936" s="10">
        <f t="shared" ca="1" si="61"/>
        <v>8.6505056389107202E-2</v>
      </c>
      <c r="C3936" s="10">
        <f ca="1">NPV(B3936,Project_FCF!C18:J18)+Project_FCF!B18</f>
        <v>884.98878441143711</v>
      </c>
      <c r="D3936" s="4"/>
      <c r="E3936" s="4"/>
    </row>
    <row r="3937" spans="1:5" x14ac:dyDescent="0.3">
      <c r="A3937" s="9">
        <v>3929</v>
      </c>
      <c r="B3937" s="10">
        <f t="shared" ca="1" si="61"/>
        <v>9.5226368790619936E-2</v>
      </c>
      <c r="C3937" s="10">
        <f ca="1">NPV(B3937,Project_FCF!C18:J18)+Project_FCF!B18</f>
        <v>817.61283569149032</v>
      </c>
      <c r="D3937" s="4"/>
      <c r="E3937" s="4"/>
    </row>
    <row r="3938" spans="1:5" x14ac:dyDescent="0.3">
      <c r="A3938" s="9">
        <v>3930</v>
      </c>
      <c r="B3938" s="10">
        <f t="shared" ca="1" si="61"/>
        <v>9.7587288000232308E-2</v>
      </c>
      <c r="C3938" s="10">
        <f ca="1">NPV(B3938,Project_FCF!C18:J18)+Project_FCF!B18</f>
        <v>800.15128596243585</v>
      </c>
      <c r="D3938" s="4"/>
      <c r="E3938" s="4"/>
    </row>
    <row r="3939" spans="1:5" x14ac:dyDescent="0.3">
      <c r="A3939" s="9">
        <v>3931</v>
      </c>
      <c r="B3939" s="10">
        <f t="shared" ca="1" si="61"/>
        <v>9.8178924659198308E-2</v>
      </c>
      <c r="C3939" s="10">
        <f ca="1">NPV(B3939,Project_FCF!C18:J18)+Project_FCF!B18</f>
        <v>795.82563005849829</v>
      </c>
      <c r="D3939" s="4"/>
      <c r="E3939" s="4"/>
    </row>
    <row r="3940" spans="1:5" x14ac:dyDescent="0.3">
      <c r="A3940" s="9">
        <v>3932</v>
      </c>
      <c r="B3940" s="10">
        <f t="shared" ca="1" si="61"/>
        <v>8.8699907863880684E-2</v>
      </c>
      <c r="C3940" s="10">
        <f ca="1">NPV(B3940,Project_FCF!C18:J18)+Project_FCF!B18</f>
        <v>867.59551683548648</v>
      </c>
      <c r="D3940" s="4"/>
      <c r="E3940" s="4"/>
    </row>
    <row r="3941" spans="1:5" x14ac:dyDescent="0.3">
      <c r="A3941" s="9">
        <v>3933</v>
      </c>
      <c r="B3941" s="10">
        <f t="shared" ca="1" si="61"/>
        <v>8.0446640340129674E-2</v>
      </c>
      <c r="C3941" s="10">
        <f ca="1">NPV(B3941,Project_FCF!C18:J18)+Project_FCF!B18</f>
        <v>934.59368665954639</v>
      </c>
      <c r="D3941" s="4"/>
      <c r="E3941" s="4"/>
    </row>
    <row r="3942" spans="1:5" x14ac:dyDescent="0.3">
      <c r="A3942" s="9">
        <v>3934</v>
      </c>
      <c r="B3942" s="10">
        <f t="shared" ca="1" si="61"/>
        <v>8.1436711722052246E-2</v>
      </c>
      <c r="C3942" s="10">
        <f ca="1">NPV(B3942,Project_FCF!C18:J18)+Project_FCF!B18</f>
        <v>926.32367752174787</v>
      </c>
      <c r="D3942" s="4"/>
      <c r="E3942" s="4"/>
    </row>
    <row r="3943" spans="1:5" x14ac:dyDescent="0.3">
      <c r="A3943" s="9">
        <v>3935</v>
      </c>
      <c r="B3943" s="10">
        <f t="shared" ca="1" si="61"/>
        <v>6.5076342268219303E-2</v>
      </c>
      <c r="C3943" s="10">
        <f ca="1">NPV(B3943,Project_FCF!C18:J18)+Project_FCF!B18</f>
        <v>1071.7273845644775</v>
      </c>
      <c r="D3943" s="4"/>
      <c r="E3943" s="4"/>
    </row>
    <row r="3944" spans="1:5" x14ac:dyDescent="0.3">
      <c r="A3944" s="9">
        <v>3936</v>
      </c>
      <c r="B3944" s="10">
        <f t="shared" ca="1" si="61"/>
        <v>6.8602854942634225E-2</v>
      </c>
      <c r="C3944" s="10">
        <f ca="1">NPV(B3944,Project_FCF!C18:J18)+Project_FCF!B18</f>
        <v>1038.7537284050575</v>
      </c>
      <c r="D3944" s="4"/>
      <c r="E3944" s="4"/>
    </row>
    <row r="3945" spans="1:5" x14ac:dyDescent="0.3">
      <c r="A3945" s="9">
        <v>3937</v>
      </c>
      <c r="B3945" s="10">
        <f t="shared" ca="1" si="61"/>
        <v>8.160046273577827E-2</v>
      </c>
      <c r="C3945" s="10">
        <f ca="1">NPV(B3945,Project_FCF!C18:J18)+Project_FCF!B18</f>
        <v>924.96212311466206</v>
      </c>
      <c r="D3945" s="4"/>
      <c r="E3945" s="4"/>
    </row>
    <row r="3946" spans="1:5" x14ac:dyDescent="0.3">
      <c r="A3946" s="9">
        <v>3938</v>
      </c>
      <c r="B3946" s="10">
        <f t="shared" ca="1" si="61"/>
        <v>7.7743219228024157E-2</v>
      </c>
      <c r="C3946" s="10">
        <f ca="1">NPV(B3946,Project_FCF!C18:J18)+Project_FCF!B18</f>
        <v>957.50928286925432</v>
      </c>
      <c r="D3946" s="4"/>
      <c r="E3946" s="4"/>
    </row>
    <row r="3947" spans="1:5" x14ac:dyDescent="0.3">
      <c r="A3947" s="9">
        <v>3939</v>
      </c>
      <c r="B3947" s="10">
        <f t="shared" ca="1" si="61"/>
        <v>8.2393436037267481E-2</v>
      </c>
      <c r="C3947" s="10">
        <f ca="1">NPV(B3947,Project_FCF!C18:J18)+Project_FCF!B18</f>
        <v>918.39366383147058</v>
      </c>
      <c r="D3947" s="4"/>
      <c r="E3947" s="4"/>
    </row>
    <row r="3948" spans="1:5" x14ac:dyDescent="0.3">
      <c r="A3948" s="9">
        <v>3940</v>
      </c>
      <c r="B3948" s="10">
        <f t="shared" ca="1" si="61"/>
        <v>6.9541776579176193E-2</v>
      </c>
      <c r="C3948" s="10">
        <f ca="1">NPV(B3948,Project_FCF!C18:J18)+Project_FCF!B18</f>
        <v>1030.1312404806001</v>
      </c>
      <c r="D3948" s="4"/>
      <c r="E3948" s="4"/>
    </row>
    <row r="3949" spans="1:5" x14ac:dyDescent="0.3">
      <c r="A3949" s="9">
        <v>3941</v>
      </c>
      <c r="B3949" s="10">
        <f t="shared" ca="1" si="61"/>
        <v>9.6867499122488515E-2</v>
      </c>
      <c r="C3949" s="10">
        <f ca="1">NPV(B3949,Project_FCF!C18:J18)+Project_FCF!B18</f>
        <v>805.44086715840945</v>
      </c>
      <c r="D3949" s="4"/>
      <c r="E3949" s="4"/>
    </row>
    <row r="3950" spans="1:5" x14ac:dyDescent="0.3">
      <c r="A3950" s="9">
        <v>3942</v>
      </c>
      <c r="B3950" s="10">
        <f t="shared" ca="1" si="61"/>
        <v>9.017736785990127E-2</v>
      </c>
      <c r="C3950" s="10">
        <f ca="1">NPV(B3950,Project_FCF!C18:J18)+Project_FCF!B18</f>
        <v>856.05531496119056</v>
      </c>
      <c r="D3950" s="4"/>
      <c r="E3950" s="4"/>
    </row>
    <row r="3951" spans="1:5" x14ac:dyDescent="0.3">
      <c r="A3951" s="9">
        <v>3943</v>
      </c>
      <c r="B3951" s="10">
        <f t="shared" ca="1" si="61"/>
        <v>6.4131874341950335E-2</v>
      </c>
      <c r="C3951" s="10">
        <f ca="1">NPV(B3951,Project_FCF!C18:J18)+Project_FCF!B18</f>
        <v>1080.718741985102</v>
      </c>
      <c r="D3951" s="4"/>
      <c r="E3951" s="4"/>
    </row>
    <row r="3952" spans="1:5" x14ac:dyDescent="0.3">
      <c r="A3952" s="9">
        <v>3944</v>
      </c>
      <c r="B3952" s="10">
        <f t="shared" ca="1" si="61"/>
        <v>9.9926041690638262E-2</v>
      </c>
      <c r="C3952" s="10">
        <f ca="1">NPV(B3952,Project_FCF!C18:J18)+Project_FCF!B18</f>
        <v>783.16752259943678</v>
      </c>
      <c r="D3952" s="4"/>
      <c r="E3952" s="4"/>
    </row>
    <row r="3953" spans="1:5" x14ac:dyDescent="0.3">
      <c r="A3953" s="9">
        <v>3945</v>
      </c>
      <c r="B3953" s="10">
        <f t="shared" ca="1" si="61"/>
        <v>8.7024483512297718E-2</v>
      </c>
      <c r="C3953" s="10">
        <f ca="1">NPV(B3953,Project_FCF!C18:J18)+Project_FCF!B18</f>
        <v>880.84533672504153</v>
      </c>
      <c r="D3953" s="4"/>
      <c r="E3953" s="4"/>
    </row>
    <row r="3954" spans="1:5" x14ac:dyDescent="0.3">
      <c r="A3954" s="9">
        <v>3946</v>
      </c>
      <c r="B3954" s="10">
        <f t="shared" ca="1" si="61"/>
        <v>9.3948948286874445E-2</v>
      </c>
      <c r="C3954" s="10">
        <f ca="1">NPV(B3954,Project_FCF!C18:J18)+Project_FCF!B18</f>
        <v>827.19581899521381</v>
      </c>
      <c r="D3954" s="4"/>
      <c r="E3954" s="4"/>
    </row>
    <row r="3955" spans="1:5" x14ac:dyDescent="0.3">
      <c r="A3955" s="9">
        <v>3947</v>
      </c>
      <c r="B3955" s="10">
        <f t="shared" ca="1" si="61"/>
        <v>0.10229918257189113</v>
      </c>
      <c r="C3955" s="10">
        <f ca="1">NPV(B3955,Project_FCF!C18:J18)+Project_FCF!B18</f>
        <v>766.24673182374545</v>
      </c>
      <c r="D3955" s="4"/>
      <c r="E3955" s="4"/>
    </row>
    <row r="3956" spans="1:5" x14ac:dyDescent="0.3">
      <c r="A3956" s="9">
        <v>3948</v>
      </c>
      <c r="B3956" s="10">
        <f t="shared" ca="1" si="61"/>
        <v>7.9066338904912284E-2</v>
      </c>
      <c r="C3956" s="10">
        <f ca="1">NPV(B3956,Project_FCF!C18:J18)+Project_FCF!B18</f>
        <v>946.23229532387518</v>
      </c>
      <c r="D3956" s="4"/>
      <c r="E3956" s="4"/>
    </row>
    <row r="3957" spans="1:5" x14ac:dyDescent="0.3">
      <c r="A3957" s="9">
        <v>3949</v>
      </c>
      <c r="B3957" s="10">
        <f t="shared" ca="1" si="61"/>
        <v>6.4095020821410512E-2</v>
      </c>
      <c r="C3957" s="10">
        <f ca="1">NPV(B3957,Project_FCF!C18:J18)+Project_FCF!B18</f>
        <v>1081.0709809327504</v>
      </c>
      <c r="D3957" s="4"/>
      <c r="E3957" s="4"/>
    </row>
    <row r="3958" spans="1:5" x14ac:dyDescent="0.3">
      <c r="A3958" s="9">
        <v>3950</v>
      </c>
      <c r="B3958" s="10">
        <f t="shared" ca="1" si="61"/>
        <v>8.2657984753224445E-2</v>
      </c>
      <c r="C3958" s="10">
        <f ca="1">NPV(B3958,Project_FCF!C18:J18)+Project_FCF!B18</f>
        <v>916.21148399357912</v>
      </c>
      <c r="D3958" s="4"/>
      <c r="E3958" s="4"/>
    </row>
    <row r="3959" spans="1:5" x14ac:dyDescent="0.3">
      <c r="A3959" s="9">
        <v>3951</v>
      </c>
      <c r="B3959" s="10">
        <f t="shared" ca="1" si="61"/>
        <v>9.0182661543331433E-2</v>
      </c>
      <c r="C3959" s="10">
        <f ca="1">NPV(B3959,Project_FCF!C18:J18)+Project_FCF!B18</f>
        <v>856.01420729920073</v>
      </c>
      <c r="D3959" s="4"/>
      <c r="E3959" s="4"/>
    </row>
    <row r="3960" spans="1:5" x14ac:dyDescent="0.3">
      <c r="A3960" s="9">
        <v>3952</v>
      </c>
      <c r="B3960" s="10">
        <f t="shared" ca="1" si="61"/>
        <v>7.2789201931125563E-2</v>
      </c>
      <c r="C3960" s="10">
        <f ca="1">NPV(B3960,Project_FCF!C18:J18)+Project_FCF!B18</f>
        <v>1000.8049483376838</v>
      </c>
      <c r="D3960" s="4"/>
      <c r="E3960" s="4"/>
    </row>
    <row r="3961" spans="1:5" x14ac:dyDescent="0.3">
      <c r="A3961" s="9">
        <v>3953</v>
      </c>
      <c r="B3961" s="10">
        <f t="shared" ca="1" si="61"/>
        <v>9.4801877193329526E-2</v>
      </c>
      <c r="C3961" s="10">
        <f ca="1">NPV(B3961,Project_FCF!C18:J18)+Project_FCF!B18</f>
        <v>820.78668700971411</v>
      </c>
      <c r="D3961" s="4"/>
      <c r="E3961" s="4"/>
    </row>
    <row r="3962" spans="1:5" x14ac:dyDescent="0.3">
      <c r="A3962" s="9">
        <v>3954</v>
      </c>
      <c r="B3962" s="10">
        <f t="shared" ca="1" si="61"/>
        <v>8.2084798556977784E-2</v>
      </c>
      <c r="C3962" s="10">
        <f ca="1">NPV(B3962,Project_FCF!C18:J18)+Project_FCF!B18</f>
        <v>920.94530469549386</v>
      </c>
      <c r="D3962" s="4"/>
      <c r="E3962" s="4"/>
    </row>
    <row r="3963" spans="1:5" x14ac:dyDescent="0.3">
      <c r="A3963" s="9">
        <v>3955</v>
      </c>
      <c r="B3963" s="10">
        <f t="shared" ca="1" si="61"/>
        <v>8.9887157256699157E-2</v>
      </c>
      <c r="C3963" s="10">
        <f ca="1">NPV(B3963,Project_FCF!C18:J18)+Project_FCF!B18</f>
        <v>858.31153921260511</v>
      </c>
      <c r="D3963" s="4"/>
      <c r="E3963" s="4"/>
    </row>
    <row r="3964" spans="1:5" x14ac:dyDescent="0.3">
      <c r="A3964" s="9">
        <v>3956</v>
      </c>
      <c r="B3964" s="10">
        <f t="shared" ca="1" si="61"/>
        <v>0.10121746471371806</v>
      </c>
      <c r="C3964" s="10">
        <f ca="1">NPV(B3964,Project_FCF!C18:J18)+Project_FCF!B18</f>
        <v>773.92086849117686</v>
      </c>
      <c r="D3964" s="4"/>
      <c r="E3964" s="4"/>
    </row>
    <row r="3965" spans="1:5" x14ac:dyDescent="0.3">
      <c r="A3965" s="9">
        <v>3957</v>
      </c>
      <c r="B3965" s="10">
        <f t="shared" ca="1" si="61"/>
        <v>7.6796336333434023E-2</v>
      </c>
      <c r="C3965" s="10">
        <f ca="1">NPV(B3965,Project_FCF!C18:J18)+Project_FCF!B18</f>
        <v>965.65282321602945</v>
      </c>
      <c r="D3965" s="4"/>
      <c r="E3965" s="4"/>
    </row>
    <row r="3966" spans="1:5" x14ac:dyDescent="0.3">
      <c r="A3966" s="9">
        <v>3958</v>
      </c>
      <c r="B3966" s="10">
        <f t="shared" ca="1" si="61"/>
        <v>9.8296790903427744E-2</v>
      </c>
      <c r="C3966" s="10">
        <f ca="1">NPV(B3966,Project_FCF!C18:J18)+Project_FCF!B18</f>
        <v>794.96624849951309</v>
      </c>
      <c r="D3966" s="4"/>
      <c r="E3966" s="4"/>
    </row>
    <row r="3967" spans="1:5" x14ac:dyDescent="0.3">
      <c r="A3967" s="9">
        <v>3959</v>
      </c>
      <c r="B3967" s="10">
        <f t="shared" ca="1" si="61"/>
        <v>6.4219471030744893E-2</v>
      </c>
      <c r="C3967" s="10">
        <f ca="1">NPV(B3967,Project_FCF!C18:J18)+Project_FCF!B18</f>
        <v>1079.8819303370012</v>
      </c>
      <c r="D3967" s="4"/>
      <c r="E3967" s="4"/>
    </row>
    <row r="3968" spans="1:5" x14ac:dyDescent="0.3">
      <c r="A3968" s="9">
        <v>3960</v>
      </c>
      <c r="B3968" s="10">
        <f t="shared" ca="1" si="61"/>
        <v>9.1174299681842028E-2</v>
      </c>
      <c r="C3968" s="10">
        <f ca="1">NPV(B3968,Project_FCF!C18:J18)+Project_FCF!B18</f>
        <v>848.34378429476465</v>
      </c>
      <c r="D3968" s="4"/>
      <c r="E3968" s="4"/>
    </row>
    <row r="3969" spans="1:5" x14ac:dyDescent="0.3">
      <c r="A3969" s="9">
        <v>3961</v>
      </c>
      <c r="B3969" s="10">
        <f t="shared" ca="1" si="61"/>
        <v>8.9296553042505805E-2</v>
      </c>
      <c r="C3969" s="10">
        <f ca="1">NPV(B3969,Project_FCF!C18:J18)+Project_FCF!B18</f>
        <v>862.91907623413431</v>
      </c>
      <c r="D3969" s="4"/>
      <c r="E3969" s="4"/>
    </row>
    <row r="3970" spans="1:5" x14ac:dyDescent="0.3">
      <c r="A3970" s="9">
        <v>3962</v>
      </c>
      <c r="B3970" s="10">
        <f t="shared" ca="1" si="61"/>
        <v>7.5261235590863021E-2</v>
      </c>
      <c r="C3970" s="10">
        <f ca="1">NPV(B3970,Project_FCF!C18:J18)+Project_FCF!B18</f>
        <v>978.9865606231001</v>
      </c>
      <c r="D3970" s="4"/>
      <c r="E3970" s="4"/>
    </row>
    <row r="3971" spans="1:5" x14ac:dyDescent="0.3">
      <c r="A3971" s="9">
        <v>3963</v>
      </c>
      <c r="B3971" s="10">
        <f t="shared" ca="1" si="61"/>
        <v>0.1010532495943017</v>
      </c>
      <c r="C3971" s="10">
        <f ca="1">NPV(B3971,Project_FCF!C18:J18)+Project_FCF!B18</f>
        <v>775.09151732379405</v>
      </c>
      <c r="D3971" s="4"/>
      <c r="E3971" s="4"/>
    </row>
    <row r="3972" spans="1:5" x14ac:dyDescent="0.3">
      <c r="A3972" s="9">
        <v>3964</v>
      </c>
      <c r="B3972" s="10">
        <f t="shared" ca="1" si="61"/>
        <v>8.6497747462791069E-2</v>
      </c>
      <c r="C3972" s="10">
        <f ca="1">NPV(B3972,Project_FCF!C18:J18)+Project_FCF!B18</f>
        <v>885.04720855699793</v>
      </c>
      <c r="D3972" s="4"/>
      <c r="E3972" s="4"/>
    </row>
    <row r="3973" spans="1:5" x14ac:dyDescent="0.3">
      <c r="A3973" s="9">
        <v>3965</v>
      </c>
      <c r="B3973" s="10">
        <f t="shared" ca="1" si="61"/>
        <v>7.7130329534118219E-2</v>
      </c>
      <c r="C3973" s="10">
        <f ca="1">NPV(B3973,Project_FCF!C18:J18)+Project_FCF!B18</f>
        <v>962.77334427239271</v>
      </c>
      <c r="D3973" s="4"/>
      <c r="E3973" s="4"/>
    </row>
    <row r="3974" spans="1:5" x14ac:dyDescent="0.3">
      <c r="A3974" s="9">
        <v>3966</v>
      </c>
      <c r="B3974" s="10">
        <f t="shared" ca="1" si="61"/>
        <v>8.8621951775901209E-2</v>
      </c>
      <c r="C3974" s="10">
        <f ca="1">NPV(B3974,Project_FCF!C18:J18)+Project_FCF!B18</f>
        <v>868.20815098751041</v>
      </c>
      <c r="D3974" s="4"/>
      <c r="E3974" s="4"/>
    </row>
    <row r="3975" spans="1:5" x14ac:dyDescent="0.3">
      <c r="A3975" s="9">
        <v>3967</v>
      </c>
      <c r="B3975" s="10">
        <f t="shared" ca="1" si="61"/>
        <v>6.7634646257512865E-2</v>
      </c>
      <c r="C3975" s="10">
        <f ca="1">NPV(B3975,Project_FCF!C18:J18)+Project_FCF!B18</f>
        <v>1047.7136152738026</v>
      </c>
      <c r="D3975" s="4"/>
      <c r="E3975" s="4"/>
    </row>
    <row r="3976" spans="1:5" x14ac:dyDescent="0.3">
      <c r="A3976" s="9">
        <v>3968</v>
      </c>
      <c r="B3976" s="10">
        <f t="shared" ca="1" si="61"/>
        <v>9.5313040161554966E-2</v>
      </c>
      <c r="C3976" s="10">
        <f ca="1">NPV(B3976,Project_FCF!C18:J18)+Project_FCF!B18</f>
        <v>816.9661016317466</v>
      </c>
      <c r="D3976" s="4"/>
      <c r="E3976" s="4"/>
    </row>
    <row r="3977" spans="1:5" x14ac:dyDescent="0.3">
      <c r="A3977" s="9">
        <v>3969</v>
      </c>
      <c r="B3977" s="10">
        <f t="shared" ref="B3977:B4040" ca="1" si="62">$B$4+RAND()*($B$5-$B$4)</f>
        <v>8.973983707302266E-2</v>
      </c>
      <c r="C3977" s="10">
        <f ca="1">NPV(B3977,Project_FCF!C18:J18)+Project_FCF!B18</f>
        <v>859.45884093404129</v>
      </c>
      <c r="D3977" s="4"/>
      <c r="E3977" s="4"/>
    </row>
    <row r="3978" spans="1:5" x14ac:dyDescent="0.3">
      <c r="A3978" s="9">
        <v>3970</v>
      </c>
      <c r="B3978" s="10">
        <f t="shared" ca="1" si="62"/>
        <v>0.10210500877771443</v>
      </c>
      <c r="C3978" s="10">
        <f ca="1">NPV(B3978,Project_FCF!C18:J18)+Project_FCF!B18</f>
        <v>767.61954076898041</v>
      </c>
      <c r="D3978" s="4"/>
      <c r="E3978" s="4"/>
    </row>
    <row r="3979" spans="1:5" x14ac:dyDescent="0.3">
      <c r="A3979" s="9">
        <v>3971</v>
      </c>
      <c r="B3979" s="10">
        <f t="shared" ca="1" si="62"/>
        <v>6.9854263937842512E-2</v>
      </c>
      <c r="C3979" s="10">
        <f ca="1">NPV(B3979,Project_FCF!C18:J18)+Project_FCF!B18</f>
        <v>1027.2759431719587</v>
      </c>
      <c r="D3979" s="4"/>
      <c r="E3979" s="4"/>
    </row>
    <row r="3980" spans="1:5" x14ac:dyDescent="0.3">
      <c r="A3980" s="9">
        <v>3972</v>
      </c>
      <c r="B3980" s="10">
        <f t="shared" ca="1" si="62"/>
        <v>9.8295495304968478E-2</v>
      </c>
      <c r="C3980" s="10">
        <f ca="1">NPV(B3980,Project_FCF!C18:J18)+Project_FCF!B18</f>
        <v>794.97569062774414</v>
      </c>
      <c r="D3980" s="4"/>
      <c r="E3980" s="4"/>
    </row>
    <row r="3981" spans="1:5" x14ac:dyDescent="0.3">
      <c r="A3981" s="9">
        <v>3973</v>
      </c>
      <c r="B3981" s="10">
        <f t="shared" ca="1" si="62"/>
        <v>6.5981030116886524E-2</v>
      </c>
      <c r="C3981" s="10">
        <f ca="1">NPV(B3981,Project_FCF!C18:J18)+Project_FCF!B18</f>
        <v>1063.178780015583</v>
      </c>
      <c r="D3981" s="4"/>
      <c r="E3981" s="4"/>
    </row>
    <row r="3982" spans="1:5" x14ac:dyDescent="0.3">
      <c r="A3982" s="9">
        <v>3974</v>
      </c>
      <c r="B3982" s="10">
        <f t="shared" ca="1" si="62"/>
        <v>7.2366907800966607E-2</v>
      </c>
      <c r="C3982" s="10">
        <f ca="1">NPV(B3982,Project_FCF!C18:J18)+Project_FCF!B18</f>
        <v>1004.5754895838224</v>
      </c>
      <c r="D3982" s="4"/>
      <c r="E3982" s="4"/>
    </row>
    <row r="3983" spans="1:5" x14ac:dyDescent="0.3">
      <c r="A3983" s="9">
        <v>3975</v>
      </c>
      <c r="B3983" s="10">
        <f t="shared" ca="1" si="62"/>
        <v>7.1474349407052731E-2</v>
      </c>
      <c r="C3983" s="10">
        <f ca="1">NPV(B3983,Project_FCF!C18:J18)+Project_FCF!B18</f>
        <v>1012.5869733581128</v>
      </c>
      <c r="D3983" s="4"/>
      <c r="E3983" s="4"/>
    </row>
    <row r="3984" spans="1:5" x14ac:dyDescent="0.3">
      <c r="A3984" s="9">
        <v>3976</v>
      </c>
      <c r="B3984" s="10">
        <f t="shared" ca="1" si="62"/>
        <v>8.9848526705629511E-2</v>
      </c>
      <c r="C3984" s="10">
        <f ca="1">NPV(B3984,Project_FCF!C18:J18)+Project_FCF!B18</f>
        <v>858.61225817608147</v>
      </c>
      <c r="D3984" s="4"/>
      <c r="E3984" s="4"/>
    </row>
    <row r="3985" spans="1:5" x14ac:dyDescent="0.3">
      <c r="A3985" s="9">
        <v>3977</v>
      </c>
      <c r="B3985" s="10">
        <f t="shared" ca="1" si="62"/>
        <v>8.2216318779340478E-2</v>
      </c>
      <c r="C3985" s="10">
        <f ca="1">NPV(B3985,Project_FCF!C18:J18)+Project_FCF!B18</f>
        <v>919.85720660201696</v>
      </c>
      <c r="D3985" s="4"/>
      <c r="E3985" s="4"/>
    </row>
    <row r="3986" spans="1:5" x14ac:dyDescent="0.3">
      <c r="A3986" s="9">
        <v>3978</v>
      </c>
      <c r="B3986" s="10">
        <f t="shared" ca="1" si="62"/>
        <v>7.730341176737697E-2</v>
      </c>
      <c r="C3986" s="10">
        <f ca="1">NPV(B3986,Project_FCF!C18:J18)+Project_FCF!B18</f>
        <v>961.28414992813941</v>
      </c>
      <c r="D3986" s="4"/>
      <c r="E3986" s="4"/>
    </row>
    <row r="3987" spans="1:5" x14ac:dyDescent="0.3">
      <c r="A3987" s="9">
        <v>3979</v>
      </c>
      <c r="B3987" s="10">
        <f t="shared" ca="1" si="62"/>
        <v>9.029496392217691E-2</v>
      </c>
      <c r="C3987" s="10">
        <f ca="1">NPV(B3987,Project_FCF!C18:J18)+Project_FCF!B18</f>
        <v>855.14253506964792</v>
      </c>
      <c r="D3987" s="4"/>
      <c r="E3987" s="4"/>
    </row>
    <row r="3988" spans="1:5" x14ac:dyDescent="0.3">
      <c r="A3988" s="9">
        <v>3980</v>
      </c>
      <c r="B3988" s="10">
        <f t="shared" ca="1" si="62"/>
        <v>7.0196601392370078E-2</v>
      </c>
      <c r="C3988" s="10">
        <f ca="1">NPV(B3988,Project_FCF!C18:J18)+Project_FCF!B18</f>
        <v>1024.1561094183094</v>
      </c>
      <c r="D3988" s="4"/>
      <c r="E3988" s="4"/>
    </row>
    <row r="3989" spans="1:5" x14ac:dyDescent="0.3">
      <c r="A3989" s="9">
        <v>3981</v>
      </c>
      <c r="B3989" s="10">
        <f t="shared" ca="1" si="62"/>
        <v>9.8859077695080871E-2</v>
      </c>
      <c r="C3989" s="10">
        <f ca="1">NPV(B3989,Project_FCF!C18:J18)+Project_FCF!B18</f>
        <v>790.87736229797542</v>
      </c>
      <c r="D3989" s="4"/>
      <c r="E3989" s="4"/>
    </row>
    <row r="3990" spans="1:5" x14ac:dyDescent="0.3">
      <c r="A3990" s="9">
        <v>3982</v>
      </c>
      <c r="B3990" s="10">
        <f t="shared" ca="1" si="62"/>
        <v>7.6115506474560155E-2</v>
      </c>
      <c r="C3990" s="10">
        <f ca="1">NPV(B3990,Project_FCF!C18:J18)+Project_FCF!B18</f>
        <v>971.54630302997271</v>
      </c>
      <c r="D3990" s="4"/>
      <c r="E3990" s="4"/>
    </row>
    <row r="3991" spans="1:5" x14ac:dyDescent="0.3">
      <c r="A3991" s="9">
        <v>3983</v>
      </c>
      <c r="B3991" s="10">
        <f t="shared" ca="1" si="62"/>
        <v>9.4678391542471818E-2</v>
      </c>
      <c r="C3991" s="10">
        <f ca="1">NPV(B3991,Project_FCF!C18:J18)+Project_FCF!B18</f>
        <v>821.71194679305927</v>
      </c>
      <c r="D3991" s="4"/>
      <c r="E3991" s="4"/>
    </row>
    <row r="3992" spans="1:5" x14ac:dyDescent="0.3">
      <c r="A3992" s="9">
        <v>3984</v>
      </c>
      <c r="B3992" s="10">
        <f t="shared" ca="1" si="62"/>
        <v>6.4442886229088614E-2</v>
      </c>
      <c r="C3992" s="10">
        <f ca="1">NPV(B3992,Project_FCF!C18:J18)+Project_FCF!B18</f>
        <v>1077.7503234052765</v>
      </c>
      <c r="D3992" s="4"/>
      <c r="E3992" s="4"/>
    </row>
    <row r="3993" spans="1:5" x14ac:dyDescent="0.3">
      <c r="A3993" s="9">
        <v>3985</v>
      </c>
      <c r="B3993" s="10">
        <f t="shared" ca="1" si="62"/>
        <v>9.5225240979614573E-2</v>
      </c>
      <c r="C3993" s="10">
        <f ca="1">NPV(B3993,Project_FCF!C18:J18)+Project_FCF!B18</f>
        <v>817.62125420322263</v>
      </c>
      <c r="D3993" s="4"/>
      <c r="E3993" s="4"/>
    </row>
    <row r="3994" spans="1:5" x14ac:dyDescent="0.3">
      <c r="A3994" s="9">
        <v>3986</v>
      </c>
      <c r="B3994" s="10">
        <f t="shared" ca="1" si="62"/>
        <v>8.5436301939796941E-2</v>
      </c>
      <c r="C3994" s="10">
        <f ca="1">NPV(B3994,Project_FCF!C18:J18)+Project_FCF!B18</f>
        <v>893.56777934583351</v>
      </c>
      <c r="D3994" s="4"/>
      <c r="E3994" s="4"/>
    </row>
    <row r="3995" spans="1:5" x14ac:dyDescent="0.3">
      <c r="A3995" s="9">
        <v>3987</v>
      </c>
      <c r="B3995" s="10">
        <f t="shared" ca="1" si="62"/>
        <v>8.7516119396439704E-2</v>
      </c>
      <c r="C3995" s="10">
        <f ca="1">NPV(B3995,Project_FCF!C18:J18)+Project_FCF!B18</f>
        <v>876.93917409451615</v>
      </c>
      <c r="D3995" s="4"/>
      <c r="E3995" s="4"/>
    </row>
    <row r="3996" spans="1:5" x14ac:dyDescent="0.3">
      <c r="A3996" s="9">
        <v>3988</v>
      </c>
      <c r="B3996" s="10">
        <f t="shared" ca="1" si="62"/>
        <v>7.9191386799345204E-2</v>
      </c>
      <c r="C3996" s="10">
        <f ca="1">NPV(B3996,Project_FCF!C18:J18)+Project_FCF!B18</f>
        <v>945.17263370493856</v>
      </c>
      <c r="D3996" s="4"/>
      <c r="E3996" s="4"/>
    </row>
    <row r="3997" spans="1:5" x14ac:dyDescent="0.3">
      <c r="A3997" s="9">
        <v>3989</v>
      </c>
      <c r="B3997" s="10">
        <f t="shared" ca="1" si="62"/>
        <v>7.2482275347535555E-2</v>
      </c>
      <c r="C3997" s="10">
        <f ca="1">NPV(B3997,Project_FCF!C18:J18)+Project_FCF!B18</f>
        <v>1003.5441403164407</v>
      </c>
      <c r="D3997" s="4"/>
      <c r="E3997" s="4"/>
    </row>
    <row r="3998" spans="1:5" x14ac:dyDescent="0.3">
      <c r="A3998" s="9">
        <v>3990</v>
      </c>
      <c r="B3998" s="10">
        <f t="shared" ca="1" si="62"/>
        <v>8.8261236025256207E-2</v>
      </c>
      <c r="C3998" s="10">
        <f ca="1">NPV(B3998,Project_FCF!C18:J18)+Project_FCF!B18</f>
        <v>871.04780859124185</v>
      </c>
      <c r="D3998" s="4"/>
      <c r="E3998" s="4"/>
    </row>
    <row r="3999" spans="1:5" x14ac:dyDescent="0.3">
      <c r="A3999" s="9">
        <v>3991</v>
      </c>
      <c r="B3999" s="10">
        <f t="shared" ca="1" si="62"/>
        <v>9.9960598932083006E-2</v>
      </c>
      <c r="C3999" s="10">
        <f ca="1">NPV(B3999,Project_FCF!C18:J18)+Project_FCF!B18</f>
        <v>782.91888110287391</v>
      </c>
      <c r="D3999" s="4"/>
      <c r="E3999" s="4"/>
    </row>
    <row r="4000" spans="1:5" x14ac:dyDescent="0.3">
      <c r="A4000" s="9">
        <v>3992</v>
      </c>
      <c r="B4000" s="10">
        <f t="shared" ca="1" si="62"/>
        <v>6.6614867221407428E-2</v>
      </c>
      <c r="C4000" s="10">
        <f ca="1">NPV(B4000,Project_FCF!C18:J18)+Project_FCF!B18</f>
        <v>1057.2265581341812</v>
      </c>
      <c r="D4000" s="4"/>
      <c r="E4000" s="4"/>
    </row>
    <row r="4001" spans="1:5" x14ac:dyDescent="0.3">
      <c r="A4001" s="9">
        <v>3993</v>
      </c>
      <c r="B4001" s="10">
        <f t="shared" ca="1" si="62"/>
        <v>7.3467423499897586E-2</v>
      </c>
      <c r="C4001" s="10">
        <f ca="1">NPV(B4001,Project_FCF!C18:J18)+Project_FCF!B18</f>
        <v>994.77591323606839</v>
      </c>
      <c r="D4001" s="4"/>
      <c r="E4001" s="4"/>
    </row>
    <row r="4002" spans="1:5" x14ac:dyDescent="0.3">
      <c r="A4002" s="9">
        <v>3994</v>
      </c>
      <c r="B4002" s="10">
        <f t="shared" ca="1" si="62"/>
        <v>7.3411815885101497E-2</v>
      </c>
      <c r="C4002" s="10">
        <f ca="1">NPV(B4002,Project_FCF!C18:J18)+Project_FCF!B18</f>
        <v>995.26900553965379</v>
      </c>
      <c r="D4002" s="4"/>
      <c r="E4002" s="4"/>
    </row>
    <row r="4003" spans="1:5" x14ac:dyDescent="0.3">
      <c r="A4003" s="9">
        <v>3995</v>
      </c>
      <c r="B4003" s="10">
        <f t="shared" ca="1" si="62"/>
        <v>6.9385338505867714E-2</v>
      </c>
      <c r="C4003" s="10">
        <f ca="1">NPV(B4003,Project_FCF!C18:J18)+Project_FCF!B18</f>
        <v>1031.5633597893031</v>
      </c>
      <c r="D4003" s="4"/>
      <c r="E4003" s="4"/>
    </row>
    <row r="4004" spans="1:5" x14ac:dyDescent="0.3">
      <c r="A4004" s="9">
        <v>3996</v>
      </c>
      <c r="B4004" s="10">
        <f t="shared" ca="1" si="62"/>
        <v>6.407463165410994E-2</v>
      </c>
      <c r="C4004" s="10">
        <f ca="1">NPV(B4004,Project_FCF!C18:J18)+Project_FCF!B18</f>
        <v>1081.2659017984388</v>
      </c>
      <c r="D4004" s="4"/>
      <c r="E4004" s="4"/>
    </row>
    <row r="4005" spans="1:5" x14ac:dyDescent="0.3">
      <c r="A4005" s="9">
        <v>3997</v>
      </c>
      <c r="B4005" s="10">
        <f t="shared" ca="1" si="62"/>
        <v>8.4735765283582662E-2</v>
      </c>
      <c r="C4005" s="10">
        <f ca="1">NPV(B4005,Project_FCF!C18:J18)+Project_FCF!B18</f>
        <v>899.23045362246853</v>
      </c>
      <c r="D4005" s="4"/>
      <c r="E4005" s="4"/>
    </row>
    <row r="4006" spans="1:5" x14ac:dyDescent="0.3">
      <c r="A4006" s="9">
        <v>3998</v>
      </c>
      <c r="B4006" s="10">
        <f t="shared" ca="1" si="62"/>
        <v>9.6597993021954848E-2</v>
      </c>
      <c r="C4006" s="10">
        <f ca="1">NPV(B4006,Project_FCF!C18:J18)+Project_FCF!B18</f>
        <v>807.42906326161847</v>
      </c>
      <c r="D4006" s="4"/>
      <c r="E4006" s="4"/>
    </row>
    <row r="4007" spans="1:5" x14ac:dyDescent="0.3">
      <c r="A4007" s="9">
        <v>3999</v>
      </c>
      <c r="B4007" s="10">
        <f t="shared" ca="1" si="62"/>
        <v>8.9704024898009493E-2</v>
      </c>
      <c r="C4007" s="10">
        <f ca="1">NPV(B4007,Project_FCF!C18:J18)+Project_FCF!B18</f>
        <v>859.73794011794553</v>
      </c>
      <c r="D4007" s="4"/>
      <c r="E4007" s="4"/>
    </row>
    <row r="4008" spans="1:5" x14ac:dyDescent="0.3">
      <c r="A4008" s="9">
        <v>4000</v>
      </c>
      <c r="B4008" s="10">
        <f t="shared" ca="1" si="62"/>
        <v>7.1660112024469522E-2</v>
      </c>
      <c r="C4008" s="10">
        <f ca="1">NPV(B4008,Project_FCF!C18:J18)+Project_FCF!B18</f>
        <v>1010.9148681326449</v>
      </c>
      <c r="D4008" s="4"/>
      <c r="E4008" s="4"/>
    </row>
    <row r="4009" spans="1:5" x14ac:dyDescent="0.3">
      <c r="A4009" s="9">
        <v>4001</v>
      </c>
      <c r="B4009" s="10">
        <f t="shared" ca="1" si="62"/>
        <v>8.3185870044544641E-2</v>
      </c>
      <c r="C4009" s="10">
        <f ca="1">NPV(B4009,Project_FCF!C18:J18)+Project_FCF!B18</f>
        <v>911.87076065966312</v>
      </c>
      <c r="D4009" s="4"/>
      <c r="E4009" s="4"/>
    </row>
    <row r="4010" spans="1:5" x14ac:dyDescent="0.3">
      <c r="A4010" s="9">
        <v>4002</v>
      </c>
      <c r="B4010" s="10">
        <f t="shared" ca="1" si="62"/>
        <v>8.2235442996444641E-2</v>
      </c>
      <c r="C4010" s="10">
        <f ca="1">NPV(B4010,Project_FCF!C18:J18)+Project_FCF!B18</f>
        <v>919.69908180847187</v>
      </c>
      <c r="D4010" s="4"/>
      <c r="E4010" s="4"/>
    </row>
    <row r="4011" spans="1:5" x14ac:dyDescent="0.3">
      <c r="A4011" s="9">
        <v>4003</v>
      </c>
      <c r="B4011" s="10">
        <f t="shared" ca="1" si="62"/>
        <v>8.3847810508310597E-2</v>
      </c>
      <c r="C4011" s="10">
        <f ca="1">NPV(B4011,Project_FCF!C18:J18)+Project_FCF!B18</f>
        <v>906.45328643972766</v>
      </c>
      <c r="D4011" s="4"/>
      <c r="E4011" s="4"/>
    </row>
    <row r="4012" spans="1:5" x14ac:dyDescent="0.3">
      <c r="A4012" s="9">
        <v>4004</v>
      </c>
      <c r="B4012" s="10">
        <f t="shared" ca="1" si="62"/>
        <v>9.5423277002905066E-2</v>
      </c>
      <c r="C4012" s="10">
        <f ca="1">NPV(B4012,Project_FCF!C18:J18)+Project_FCF!B18</f>
        <v>816.14415647633064</v>
      </c>
      <c r="D4012" s="4"/>
      <c r="E4012" s="4"/>
    </row>
    <row r="4013" spans="1:5" x14ac:dyDescent="0.3">
      <c r="A4013" s="9">
        <v>4005</v>
      </c>
      <c r="B4013" s="10">
        <f t="shared" ca="1" si="62"/>
        <v>8.6078810733869207E-2</v>
      </c>
      <c r="C4013" s="10">
        <f ca="1">NPV(B4013,Project_FCF!C18:J18)+Project_FCF!B18</f>
        <v>888.4016287890629</v>
      </c>
      <c r="D4013" s="4"/>
      <c r="E4013" s="4"/>
    </row>
    <row r="4014" spans="1:5" x14ac:dyDescent="0.3">
      <c r="A4014" s="9">
        <v>4006</v>
      </c>
      <c r="B4014" s="10">
        <f t="shared" ca="1" si="62"/>
        <v>0.10045077494734082</v>
      </c>
      <c r="C4014" s="10">
        <f ca="1">NPV(B4014,Project_FCF!C18:J18)+Project_FCF!B18</f>
        <v>779.39921539861803</v>
      </c>
      <c r="D4014" s="4"/>
      <c r="E4014" s="4"/>
    </row>
    <row r="4015" spans="1:5" x14ac:dyDescent="0.3">
      <c r="A4015" s="9">
        <v>4007</v>
      </c>
      <c r="B4015" s="10">
        <f t="shared" ca="1" si="62"/>
        <v>7.8829516807319727E-2</v>
      </c>
      <c r="C4015" s="10">
        <f ca="1">NPV(B4015,Project_FCF!C18:J18)+Project_FCF!B18</f>
        <v>948.24202589373476</v>
      </c>
      <c r="D4015" s="4"/>
      <c r="E4015" s="4"/>
    </row>
    <row r="4016" spans="1:5" x14ac:dyDescent="0.3">
      <c r="A4016" s="9">
        <v>4008</v>
      </c>
      <c r="B4016" s="10">
        <f t="shared" ca="1" si="62"/>
        <v>7.5725995389116146E-2</v>
      </c>
      <c r="C4016" s="10">
        <f ca="1">NPV(B4016,Project_FCF!C18:J18)+Project_FCF!B18</f>
        <v>974.93245330997524</v>
      </c>
      <c r="D4016" s="4"/>
      <c r="E4016" s="4"/>
    </row>
    <row r="4017" spans="1:5" x14ac:dyDescent="0.3">
      <c r="A4017" s="9">
        <v>4009</v>
      </c>
      <c r="B4017" s="10">
        <f t="shared" ca="1" si="62"/>
        <v>9.4265260476972812E-2</v>
      </c>
      <c r="C4017" s="10">
        <f ca="1">NPV(B4017,Project_FCF!C18:J18)+Project_FCF!B18</f>
        <v>824.81397788272329</v>
      </c>
      <c r="D4017" s="4"/>
      <c r="E4017" s="4"/>
    </row>
    <row r="4018" spans="1:5" x14ac:dyDescent="0.3">
      <c r="A4018" s="9">
        <v>4010</v>
      </c>
      <c r="B4018" s="10">
        <f t="shared" ca="1" si="62"/>
        <v>6.6070730179404624E-2</v>
      </c>
      <c r="C4018" s="10">
        <f ca="1">NPV(B4018,Project_FCF!C18:J18)+Project_FCF!B18</f>
        <v>1062.3345780183649</v>
      </c>
      <c r="D4018" s="4"/>
      <c r="E4018" s="4"/>
    </row>
    <row r="4019" spans="1:5" x14ac:dyDescent="0.3">
      <c r="A4019" s="9">
        <v>4011</v>
      </c>
      <c r="B4019" s="10">
        <f t="shared" ca="1" si="62"/>
        <v>0.10188555411200861</v>
      </c>
      <c r="C4019" s="10">
        <f ca="1">NPV(B4019,Project_FCF!C18:J18)+Project_FCF!B18</f>
        <v>769.17357572795913</v>
      </c>
      <c r="D4019" s="4"/>
      <c r="E4019" s="4"/>
    </row>
    <row r="4020" spans="1:5" x14ac:dyDescent="0.3">
      <c r="A4020" s="9">
        <v>4012</v>
      </c>
      <c r="B4020" s="10">
        <f t="shared" ca="1" si="62"/>
        <v>9.1586469913563798E-2</v>
      </c>
      <c r="C4020" s="10">
        <f ca="1">NPV(B4020,Project_FCF!C18:J18)+Project_FCF!B18</f>
        <v>845.17312578349765</v>
      </c>
      <c r="D4020" s="4"/>
      <c r="E4020" s="4"/>
    </row>
    <row r="4021" spans="1:5" x14ac:dyDescent="0.3">
      <c r="A4021" s="9">
        <v>4013</v>
      </c>
      <c r="B4021" s="10">
        <f t="shared" ca="1" si="62"/>
        <v>6.6372590616515334E-2</v>
      </c>
      <c r="C4021" s="10">
        <f ca="1">NPV(B4021,Project_FCF!C18:J18)+Project_FCF!B18</f>
        <v>1059.4981331618835</v>
      </c>
      <c r="D4021" s="4"/>
      <c r="E4021" s="4"/>
    </row>
    <row r="4022" spans="1:5" x14ac:dyDescent="0.3">
      <c r="A4022" s="9">
        <v>4014</v>
      </c>
      <c r="B4022" s="10">
        <f t="shared" ca="1" si="62"/>
        <v>9.5395627665434801E-2</v>
      </c>
      <c r="C4022" s="10">
        <f ca="1">NPV(B4022,Project_FCF!C18:J18)+Project_FCF!B18</f>
        <v>816.35024828029032</v>
      </c>
      <c r="D4022" s="4"/>
      <c r="E4022" s="4"/>
    </row>
    <row r="4023" spans="1:5" x14ac:dyDescent="0.3">
      <c r="A4023" s="9">
        <v>4015</v>
      </c>
      <c r="B4023" s="10">
        <f t="shared" ca="1" si="62"/>
        <v>7.083312377488446E-2</v>
      </c>
      <c r="C4023" s="10">
        <f ca="1">NPV(B4023,Project_FCF!C18:J18)+Project_FCF!B18</f>
        <v>1018.3780109780741</v>
      </c>
      <c r="D4023" s="4"/>
      <c r="E4023" s="4"/>
    </row>
    <row r="4024" spans="1:5" x14ac:dyDescent="0.3">
      <c r="A4024" s="9">
        <v>4016</v>
      </c>
      <c r="B4024" s="10">
        <f t="shared" ca="1" si="62"/>
        <v>6.7623857773561558E-2</v>
      </c>
      <c r="C4024" s="10">
        <f ca="1">NPV(B4024,Project_FCF!C18:J18)+Project_FCF!B18</f>
        <v>1047.8138466276157</v>
      </c>
      <c r="D4024" s="4"/>
      <c r="E4024" s="4"/>
    </row>
    <row r="4025" spans="1:5" x14ac:dyDescent="0.3">
      <c r="A4025" s="9">
        <v>4017</v>
      </c>
      <c r="B4025" s="10">
        <f t="shared" ca="1" si="62"/>
        <v>9.9668789285259893E-2</v>
      </c>
      <c r="C4025" s="10">
        <f ca="1">NPV(B4025,Project_FCF!C18:J18)+Project_FCF!B18</f>
        <v>785.02057031876666</v>
      </c>
      <c r="D4025" s="4"/>
      <c r="E4025" s="4"/>
    </row>
    <row r="4026" spans="1:5" x14ac:dyDescent="0.3">
      <c r="A4026" s="9">
        <v>4018</v>
      </c>
      <c r="B4026" s="10">
        <f t="shared" ca="1" si="62"/>
        <v>9.215803136920081E-2</v>
      </c>
      <c r="C4026" s="10">
        <f ca="1">NPV(B4026,Project_FCF!C18:J18)+Project_FCF!B18</f>
        <v>840.79326105276027</v>
      </c>
      <c r="D4026" s="4"/>
      <c r="E4026" s="4"/>
    </row>
    <row r="4027" spans="1:5" x14ac:dyDescent="0.3">
      <c r="A4027" s="9">
        <v>4019</v>
      </c>
      <c r="B4027" s="10">
        <f t="shared" ca="1" si="62"/>
        <v>0.10170687047654617</v>
      </c>
      <c r="C4027" s="10">
        <f ca="1">NPV(B4027,Project_FCF!C18:J18)+Project_FCF!B18</f>
        <v>770.44085187141718</v>
      </c>
      <c r="D4027" s="4"/>
      <c r="E4027" s="4"/>
    </row>
    <row r="4028" spans="1:5" x14ac:dyDescent="0.3">
      <c r="A4028" s="9">
        <v>4020</v>
      </c>
      <c r="B4028" s="10">
        <f t="shared" ca="1" si="62"/>
        <v>0.10273293448917545</v>
      </c>
      <c r="C4028" s="10">
        <f ca="1">NPV(B4028,Project_FCF!C18:J18)+Project_FCF!B18</f>
        <v>763.18755858984196</v>
      </c>
      <c r="D4028" s="4"/>
      <c r="E4028" s="4"/>
    </row>
    <row r="4029" spans="1:5" x14ac:dyDescent="0.3">
      <c r="A4029" s="9">
        <v>4021</v>
      </c>
      <c r="B4029" s="10">
        <f t="shared" ca="1" si="62"/>
        <v>9.4961639469541545E-2</v>
      </c>
      <c r="C4029" s="10">
        <f ca="1">NPV(B4029,Project_FCF!C18:J18)+Project_FCF!B18</f>
        <v>819.59093605406883</v>
      </c>
      <c r="D4029" s="4"/>
      <c r="E4029" s="4"/>
    </row>
    <row r="4030" spans="1:5" x14ac:dyDescent="0.3">
      <c r="A4030" s="9">
        <v>4022</v>
      </c>
      <c r="B4030" s="10">
        <f t="shared" ca="1" si="62"/>
        <v>9.3430851673790408E-2</v>
      </c>
      <c r="C4030" s="10">
        <f ca="1">NPV(B4030,Project_FCF!C18:J18)+Project_FCF!B18</f>
        <v>831.1098595170813</v>
      </c>
      <c r="D4030" s="4"/>
      <c r="E4030" s="4"/>
    </row>
    <row r="4031" spans="1:5" x14ac:dyDescent="0.3">
      <c r="A4031" s="9">
        <v>4023</v>
      </c>
      <c r="B4031" s="10">
        <f t="shared" ca="1" si="62"/>
        <v>7.3117331210988679E-2</v>
      </c>
      <c r="C4031" s="10">
        <f ca="1">NPV(B4031,Project_FCF!C18:J18)+Project_FCF!B18</f>
        <v>997.88396481063637</v>
      </c>
      <c r="D4031" s="4"/>
      <c r="E4031" s="4"/>
    </row>
    <row r="4032" spans="1:5" x14ac:dyDescent="0.3">
      <c r="A4032" s="9">
        <v>4024</v>
      </c>
      <c r="B4032" s="10">
        <f t="shared" ca="1" si="62"/>
        <v>7.3075900035001376E-2</v>
      </c>
      <c r="C4032" s="10">
        <f ca="1">NPV(B4032,Project_FCF!C18:J18)+Project_FCF!B18</f>
        <v>998.25235921652074</v>
      </c>
      <c r="D4032" s="4"/>
      <c r="E4032" s="4"/>
    </row>
    <row r="4033" spans="1:5" x14ac:dyDescent="0.3">
      <c r="A4033" s="9">
        <v>4025</v>
      </c>
      <c r="B4033" s="10">
        <f t="shared" ca="1" si="62"/>
        <v>6.4542904140160395E-2</v>
      </c>
      <c r="C4033" s="10">
        <f ca="1">NPV(B4033,Project_FCF!C18:J18)+Project_FCF!B18</f>
        <v>1076.7972973626731</v>
      </c>
      <c r="D4033" s="4"/>
      <c r="E4033" s="4"/>
    </row>
    <row r="4034" spans="1:5" x14ac:dyDescent="0.3">
      <c r="A4034" s="9">
        <v>4026</v>
      </c>
      <c r="B4034" s="10">
        <f t="shared" ca="1" si="62"/>
        <v>8.8342807146558913E-2</v>
      </c>
      <c r="C4034" s="10">
        <f ca="1">NPV(B4034,Project_FCF!C18:J18)+Project_FCF!B18</f>
        <v>870.40495184490578</v>
      </c>
      <c r="D4034" s="4"/>
      <c r="E4034" s="4"/>
    </row>
    <row r="4035" spans="1:5" x14ac:dyDescent="0.3">
      <c r="A4035" s="9">
        <v>4027</v>
      </c>
      <c r="B4035" s="10">
        <f t="shared" ca="1" si="62"/>
        <v>6.4864615732118325E-2</v>
      </c>
      <c r="C4035" s="10">
        <f ca="1">NPV(B4035,Project_FCF!C18:J18)+Project_FCF!B18</f>
        <v>1073.7370666152412</v>
      </c>
      <c r="D4035" s="4"/>
      <c r="E4035" s="4"/>
    </row>
    <row r="4036" spans="1:5" x14ac:dyDescent="0.3">
      <c r="A4036" s="9">
        <v>4028</v>
      </c>
      <c r="B4036" s="10">
        <f t="shared" ca="1" si="62"/>
        <v>8.4898230189083199E-2</v>
      </c>
      <c r="C4036" s="10">
        <f ca="1">NPV(B4036,Project_FCF!C18:J18)+Project_FCF!B18</f>
        <v>897.91440277233846</v>
      </c>
      <c r="D4036" s="4"/>
      <c r="E4036" s="4"/>
    </row>
    <row r="4037" spans="1:5" x14ac:dyDescent="0.3">
      <c r="A4037" s="9">
        <v>4029</v>
      </c>
      <c r="B4037" s="10">
        <f t="shared" ca="1" si="62"/>
        <v>7.0209756811377005E-2</v>
      </c>
      <c r="C4037" s="10">
        <f ca="1">NPV(B4037,Project_FCF!C18:J18)+Project_FCF!B18</f>
        <v>1024.0363907621122</v>
      </c>
      <c r="D4037" s="4"/>
      <c r="E4037" s="4"/>
    </row>
    <row r="4038" spans="1:5" x14ac:dyDescent="0.3">
      <c r="A4038" s="9">
        <v>4030</v>
      </c>
      <c r="B4038" s="10">
        <f t="shared" ca="1" si="62"/>
        <v>9.6312543119884145E-2</v>
      </c>
      <c r="C4038" s="10">
        <f ca="1">NPV(B4038,Project_FCF!C18:J18)+Project_FCF!B18</f>
        <v>809.53944266931762</v>
      </c>
      <c r="D4038" s="4"/>
      <c r="E4038" s="4"/>
    </row>
    <row r="4039" spans="1:5" x14ac:dyDescent="0.3">
      <c r="A4039" s="9">
        <v>4031</v>
      </c>
      <c r="B4039" s="10">
        <f t="shared" ca="1" si="62"/>
        <v>8.1203501846250456E-2</v>
      </c>
      <c r="C4039" s="10">
        <f ca="1">NPV(B4039,Project_FCF!C18:J18)+Project_FCF!B18</f>
        <v>928.26582196610866</v>
      </c>
      <c r="D4039" s="4"/>
      <c r="E4039" s="4"/>
    </row>
    <row r="4040" spans="1:5" x14ac:dyDescent="0.3">
      <c r="A4040" s="9">
        <v>4032</v>
      </c>
      <c r="B4040" s="10">
        <f t="shared" ca="1" si="62"/>
        <v>7.7407351866886576E-2</v>
      </c>
      <c r="C4040" s="10">
        <f ca="1">NPV(B4040,Project_FCF!C18:J18)+Project_FCF!B18</f>
        <v>960.39083864478266</v>
      </c>
      <c r="D4040" s="4"/>
      <c r="E4040" s="4"/>
    </row>
    <row r="4041" spans="1:5" x14ac:dyDescent="0.3">
      <c r="A4041" s="9">
        <v>4033</v>
      </c>
      <c r="B4041" s="10">
        <f t="shared" ref="B4041:B4104" ca="1" si="63">$B$4+RAND()*($B$5-$B$4)</f>
        <v>8.8516231937475293E-2</v>
      </c>
      <c r="C4041" s="10">
        <f ca="1">NPV(B4041,Project_FCF!C18:J18)+Project_FCF!B18</f>
        <v>869.03957293373446</v>
      </c>
      <c r="D4041" s="4"/>
      <c r="E4041" s="4"/>
    </row>
    <row r="4042" spans="1:5" x14ac:dyDescent="0.3">
      <c r="A4042" s="9">
        <v>4034</v>
      </c>
      <c r="B4042" s="10">
        <f t="shared" ca="1" si="63"/>
        <v>8.7117641291864847E-2</v>
      </c>
      <c r="C4042" s="10">
        <f ca="1">NPV(B4042,Project_FCF!C18:J18)+Project_FCF!B18</f>
        <v>880.1040137384407</v>
      </c>
      <c r="D4042" s="4"/>
      <c r="E4042" s="4"/>
    </row>
    <row r="4043" spans="1:5" x14ac:dyDescent="0.3">
      <c r="A4043" s="9">
        <v>4035</v>
      </c>
      <c r="B4043" s="10">
        <f t="shared" ca="1" si="63"/>
        <v>9.2177222768813377E-2</v>
      </c>
      <c r="C4043" s="10">
        <f ca="1">NPV(B4043,Project_FCF!C18:J18)+Project_FCF!B18</f>
        <v>840.64653798979498</v>
      </c>
      <c r="D4043" s="4"/>
      <c r="E4043" s="4"/>
    </row>
    <row r="4044" spans="1:5" x14ac:dyDescent="0.3">
      <c r="A4044" s="9">
        <v>4036</v>
      </c>
      <c r="B4044" s="10">
        <f t="shared" ca="1" si="63"/>
        <v>8.3118629749692557E-2</v>
      </c>
      <c r="C4044" s="10">
        <f ca="1">NPV(B4044,Project_FCF!C18:J18)+Project_FCF!B18</f>
        <v>912.42266013615927</v>
      </c>
      <c r="D4044" s="4"/>
      <c r="E4044" s="4"/>
    </row>
    <row r="4045" spans="1:5" x14ac:dyDescent="0.3">
      <c r="A4045" s="9">
        <v>4037</v>
      </c>
      <c r="B4045" s="10">
        <f t="shared" ca="1" si="63"/>
        <v>8.3948097851537853E-2</v>
      </c>
      <c r="C4045" s="10">
        <f ca="1">NPV(B4045,Project_FCF!C18:J18)+Project_FCF!B18</f>
        <v>905.63498327033949</v>
      </c>
      <c r="D4045" s="4"/>
      <c r="E4045" s="4"/>
    </row>
    <row r="4046" spans="1:5" x14ac:dyDescent="0.3">
      <c r="A4046" s="9">
        <v>4038</v>
      </c>
      <c r="B4046" s="10">
        <f t="shared" ca="1" si="63"/>
        <v>0.1030584941664337</v>
      </c>
      <c r="C4046" s="10">
        <f ca="1">NPV(B4046,Project_FCF!C18:J18)+Project_FCF!B18</f>
        <v>760.89819128178556</v>
      </c>
      <c r="D4046" s="4"/>
      <c r="E4046" s="4"/>
    </row>
    <row r="4047" spans="1:5" x14ac:dyDescent="0.3">
      <c r="A4047" s="9">
        <v>4039</v>
      </c>
      <c r="B4047" s="10">
        <f t="shared" ca="1" si="63"/>
        <v>9.8323533948422318E-2</v>
      </c>
      <c r="C4047" s="10">
        <f ca="1">NPV(B4047,Project_FCF!C18:J18)+Project_FCF!B18</f>
        <v>794.77137045118866</v>
      </c>
      <c r="D4047" s="4"/>
      <c r="E4047" s="4"/>
    </row>
    <row r="4048" spans="1:5" x14ac:dyDescent="0.3">
      <c r="A4048" s="9">
        <v>4040</v>
      </c>
      <c r="B4048" s="10">
        <f t="shared" ca="1" si="63"/>
        <v>8.1351159730745082E-2</v>
      </c>
      <c r="C4048" s="10">
        <f ca="1">NPV(B4048,Project_FCF!C18:J18)+Project_FCF!B18</f>
        <v>927.03572732830435</v>
      </c>
      <c r="D4048" s="4"/>
      <c r="E4048" s="4"/>
    </row>
    <row r="4049" spans="1:5" x14ac:dyDescent="0.3">
      <c r="A4049" s="9">
        <v>4041</v>
      </c>
      <c r="B4049" s="10">
        <f t="shared" ca="1" si="63"/>
        <v>9.2499585408975751E-2</v>
      </c>
      <c r="C4049" s="10">
        <f ca="1">NPV(B4049,Project_FCF!C18:J18)+Project_FCF!B18</f>
        <v>838.18529039901773</v>
      </c>
      <c r="D4049" s="4"/>
      <c r="E4049" s="4"/>
    </row>
    <row r="4050" spans="1:5" x14ac:dyDescent="0.3">
      <c r="A4050" s="9">
        <v>4042</v>
      </c>
      <c r="B4050" s="10">
        <f t="shared" ca="1" si="63"/>
        <v>7.1689037331148675E-2</v>
      </c>
      <c r="C4050" s="10">
        <f ca="1">NPV(B4050,Project_FCF!C18:J18)+Project_FCF!B18</f>
        <v>1010.6547266812222</v>
      </c>
      <c r="D4050" s="4"/>
      <c r="E4050" s="4"/>
    </row>
    <row r="4051" spans="1:5" x14ac:dyDescent="0.3">
      <c r="A4051" s="9">
        <v>4043</v>
      </c>
      <c r="B4051" s="10">
        <f t="shared" ca="1" si="63"/>
        <v>7.3738204635189195E-2</v>
      </c>
      <c r="C4051" s="10">
        <f ca="1">NPV(B4051,Project_FCF!C18:J18)+Project_FCF!B18</f>
        <v>992.37793315717408</v>
      </c>
      <c r="D4051" s="4"/>
      <c r="E4051" s="4"/>
    </row>
    <row r="4052" spans="1:5" x14ac:dyDescent="0.3">
      <c r="A4052" s="9">
        <v>4044</v>
      </c>
      <c r="B4052" s="10">
        <f t="shared" ca="1" si="63"/>
        <v>6.7590641175879637E-2</v>
      </c>
      <c r="C4052" s="10">
        <f ca="1">NPV(B4052,Project_FCF!C18:J18)+Project_FCF!B18</f>
        <v>1048.1225030001715</v>
      </c>
      <c r="D4052" s="4"/>
      <c r="E4052" s="4"/>
    </row>
    <row r="4053" spans="1:5" x14ac:dyDescent="0.3">
      <c r="A4053" s="9">
        <v>4045</v>
      </c>
      <c r="B4053" s="10">
        <f t="shared" ca="1" si="63"/>
        <v>8.6441435934115574E-2</v>
      </c>
      <c r="C4053" s="10">
        <f ca="1">NPV(B4053,Project_FCF!C18:J18)+Project_FCF!B18</f>
        <v>885.4974495750032</v>
      </c>
      <c r="D4053" s="4"/>
      <c r="E4053" s="4"/>
    </row>
    <row r="4054" spans="1:5" x14ac:dyDescent="0.3">
      <c r="A4054" s="9">
        <v>4046</v>
      </c>
      <c r="B4054" s="10">
        <f t="shared" ca="1" si="63"/>
        <v>7.3588101369125816E-2</v>
      </c>
      <c r="C4054" s="10">
        <f ca="1">NPV(B4054,Project_FCF!C18:J18)+Project_FCF!B18</f>
        <v>993.70657421679948</v>
      </c>
      <c r="D4054" s="4"/>
      <c r="E4054" s="4"/>
    </row>
    <row r="4055" spans="1:5" x14ac:dyDescent="0.3">
      <c r="A4055" s="9">
        <v>4047</v>
      </c>
      <c r="B4055" s="10">
        <f t="shared" ca="1" si="63"/>
        <v>8.8809998623425451E-2</v>
      </c>
      <c r="C4055" s="10">
        <f ca="1">NPV(B4055,Project_FCF!C18:J18)+Project_FCF!B18</f>
        <v>866.73098540657043</v>
      </c>
      <c r="D4055" s="4"/>
      <c r="E4055" s="4"/>
    </row>
    <row r="4056" spans="1:5" x14ac:dyDescent="0.3">
      <c r="A4056" s="9">
        <v>4048</v>
      </c>
      <c r="B4056" s="10">
        <f t="shared" ca="1" si="63"/>
        <v>7.900232829141568E-2</v>
      </c>
      <c r="C4056" s="10">
        <f ca="1">NPV(B4056,Project_FCF!C18:J18)+Project_FCF!B18</f>
        <v>946.77513199135137</v>
      </c>
      <c r="D4056" s="4"/>
      <c r="E4056" s="4"/>
    </row>
    <row r="4057" spans="1:5" x14ac:dyDescent="0.3">
      <c r="A4057" s="9">
        <v>4049</v>
      </c>
      <c r="B4057" s="10">
        <f t="shared" ca="1" si="63"/>
        <v>8.1945187728744609E-2</v>
      </c>
      <c r="C4057" s="10">
        <f ca="1">NPV(B4057,Project_FCF!C18:J18)+Project_FCF!B18</f>
        <v>922.10157976317487</v>
      </c>
      <c r="D4057" s="4"/>
      <c r="E4057" s="4"/>
    </row>
    <row r="4058" spans="1:5" x14ac:dyDescent="0.3">
      <c r="A4058" s="9">
        <v>4050</v>
      </c>
      <c r="B4058" s="10">
        <f t="shared" ca="1" si="63"/>
        <v>9.1643614837581364E-2</v>
      </c>
      <c r="C4058" s="10">
        <f ca="1">NPV(B4058,Project_FCF!C18:J18)+Project_FCF!B18</f>
        <v>844.73434161748787</v>
      </c>
      <c r="D4058" s="4"/>
      <c r="E4058" s="4"/>
    </row>
    <row r="4059" spans="1:5" x14ac:dyDescent="0.3">
      <c r="A4059" s="9">
        <v>4051</v>
      </c>
      <c r="B4059" s="10">
        <f t="shared" ca="1" si="63"/>
        <v>8.71128441495089E-2</v>
      </c>
      <c r="C4059" s="10">
        <f ca="1">NPV(B4059,Project_FCF!C18:J18)+Project_FCF!B18</f>
        <v>880.14217473565918</v>
      </c>
      <c r="D4059" s="4"/>
      <c r="E4059" s="4"/>
    </row>
    <row r="4060" spans="1:5" x14ac:dyDescent="0.3">
      <c r="A4060" s="9">
        <v>4052</v>
      </c>
      <c r="B4060" s="10">
        <f t="shared" ca="1" si="63"/>
        <v>7.3298335466903092E-2</v>
      </c>
      <c r="C4060" s="10">
        <f ca="1">NPV(B4060,Project_FCF!C18:J18)+Project_FCF!B18</f>
        <v>996.2759571825643</v>
      </c>
      <c r="D4060" s="4"/>
      <c r="E4060" s="4"/>
    </row>
    <row r="4061" spans="1:5" x14ac:dyDescent="0.3">
      <c r="A4061" s="9">
        <v>4053</v>
      </c>
      <c r="B4061" s="10">
        <f t="shared" ca="1" si="63"/>
        <v>7.7887344419658389E-2</v>
      </c>
      <c r="C4061" s="10">
        <f ca="1">NPV(B4061,Project_FCF!C18:J18)+Project_FCF!B18</f>
        <v>956.27512953189057</v>
      </c>
      <c r="D4061" s="4"/>
      <c r="E4061" s="4"/>
    </row>
    <row r="4062" spans="1:5" x14ac:dyDescent="0.3">
      <c r="A4062" s="9">
        <v>4054</v>
      </c>
      <c r="B4062" s="10">
        <f t="shared" ca="1" si="63"/>
        <v>6.4205053589710487E-2</v>
      </c>
      <c r="C4062" s="10">
        <f ca="1">NPV(B4062,Project_FCF!C18:J18)+Project_FCF!B18</f>
        <v>1080.0196195122962</v>
      </c>
      <c r="D4062" s="4"/>
      <c r="E4062" s="4"/>
    </row>
    <row r="4063" spans="1:5" x14ac:dyDescent="0.3">
      <c r="A4063" s="9">
        <v>4055</v>
      </c>
      <c r="B4063" s="10">
        <f t="shared" ca="1" si="63"/>
        <v>7.1310236715745115E-2</v>
      </c>
      <c r="C4063" s="10">
        <f ca="1">NPV(B4063,Project_FCF!C18:J18)+Project_FCF!B18</f>
        <v>1014.0662740837656</v>
      </c>
      <c r="D4063" s="4"/>
      <c r="E4063" s="4"/>
    </row>
    <row r="4064" spans="1:5" x14ac:dyDescent="0.3">
      <c r="A4064" s="9">
        <v>4056</v>
      </c>
      <c r="B4064" s="10">
        <f t="shared" ca="1" si="63"/>
        <v>8.7433256291376049E-2</v>
      </c>
      <c r="C4064" s="10">
        <f ca="1">NPV(B4064,Project_FCF!C18:J18)+Project_FCF!B18</f>
        <v>877.59648115440064</v>
      </c>
      <c r="D4064" s="4"/>
      <c r="E4064" s="4"/>
    </row>
    <row r="4065" spans="1:5" x14ac:dyDescent="0.3">
      <c r="A4065" s="9">
        <v>4057</v>
      </c>
      <c r="B4065" s="10">
        <f t="shared" ca="1" si="63"/>
        <v>9.5467729398396817E-2</v>
      </c>
      <c r="C4065" s="10">
        <f ca="1">NPV(B4065,Project_FCF!C18:J18)+Project_FCF!B18</f>
        <v>815.81291182169366</v>
      </c>
      <c r="D4065" s="4"/>
      <c r="E4065" s="4"/>
    </row>
    <row r="4066" spans="1:5" x14ac:dyDescent="0.3">
      <c r="A4066" s="9">
        <v>4058</v>
      </c>
      <c r="B4066" s="10">
        <f t="shared" ca="1" si="63"/>
        <v>8.5929448695734115E-2</v>
      </c>
      <c r="C4066" s="10">
        <f ca="1">NPV(B4066,Project_FCF!C18:J18)+Project_FCF!B18</f>
        <v>889.60025188236568</v>
      </c>
      <c r="D4066" s="4"/>
      <c r="E4066" s="4"/>
    </row>
    <row r="4067" spans="1:5" x14ac:dyDescent="0.3">
      <c r="A4067" s="9">
        <v>4059</v>
      </c>
      <c r="B4067" s="10">
        <f t="shared" ca="1" si="63"/>
        <v>9.4064040479195629E-2</v>
      </c>
      <c r="C4067" s="10">
        <f ca="1">NPV(B4067,Project_FCF!C18:J18)+Project_FCF!B18</f>
        <v>826.32848896124824</v>
      </c>
      <c r="D4067" s="4"/>
      <c r="E4067" s="4"/>
    </row>
    <row r="4068" spans="1:5" x14ac:dyDescent="0.3">
      <c r="A4068" s="9">
        <v>4060</v>
      </c>
      <c r="B4068" s="10">
        <f t="shared" ca="1" si="63"/>
        <v>9.4280440823834785E-2</v>
      </c>
      <c r="C4068" s="10">
        <f ca="1">NPV(B4068,Project_FCF!C18:J18)+Project_FCF!B18</f>
        <v>824.6998174870198</v>
      </c>
      <c r="D4068" s="4"/>
      <c r="E4068" s="4"/>
    </row>
    <row r="4069" spans="1:5" x14ac:dyDescent="0.3">
      <c r="A4069" s="9">
        <v>4061</v>
      </c>
      <c r="B4069" s="10">
        <f t="shared" ca="1" si="63"/>
        <v>8.331882156331509E-2</v>
      </c>
      <c r="C4069" s="10">
        <f ca="1">NPV(B4069,Project_FCF!C18:J18)+Project_FCF!B18</f>
        <v>910.78037623798878</v>
      </c>
      <c r="D4069" s="4"/>
      <c r="E4069" s="4"/>
    </row>
    <row r="4070" spans="1:5" x14ac:dyDescent="0.3">
      <c r="A4070" s="9">
        <v>4062</v>
      </c>
      <c r="B4070" s="10">
        <f t="shared" ca="1" si="63"/>
        <v>8.7798079642666393E-2</v>
      </c>
      <c r="C4070" s="10">
        <f ca="1">NPV(B4070,Project_FCF!C18:J18)+Project_FCF!B18</f>
        <v>874.70575082308801</v>
      </c>
      <c r="D4070" s="4"/>
      <c r="E4070" s="4"/>
    </row>
    <row r="4071" spans="1:5" x14ac:dyDescent="0.3">
      <c r="A4071" s="9">
        <v>4063</v>
      </c>
      <c r="B4071" s="10">
        <f t="shared" ca="1" si="63"/>
        <v>8.4549079876305402E-2</v>
      </c>
      <c r="C4071" s="10">
        <f ca="1">NPV(B4071,Project_FCF!C18:J18)+Project_FCF!B18</f>
        <v>900.74479069251424</v>
      </c>
      <c r="D4071" s="4"/>
      <c r="E4071" s="4"/>
    </row>
    <row r="4072" spans="1:5" x14ac:dyDescent="0.3">
      <c r="A4072" s="9">
        <v>4064</v>
      </c>
      <c r="B4072" s="10">
        <f t="shared" ca="1" si="63"/>
        <v>9.9413669317129361E-2</v>
      </c>
      <c r="C4072" s="10">
        <f ca="1">NPV(B4072,Project_FCF!C18:J18)+Project_FCF!B18</f>
        <v>786.86192144379061</v>
      </c>
      <c r="D4072" s="4"/>
      <c r="E4072" s="4"/>
    </row>
    <row r="4073" spans="1:5" x14ac:dyDescent="0.3">
      <c r="A4073" s="9">
        <v>4065</v>
      </c>
      <c r="B4073" s="10">
        <f t="shared" ca="1" si="63"/>
        <v>8.727129857287981E-2</v>
      </c>
      <c r="C4073" s="10">
        <f ca="1">NPV(B4073,Project_FCF!C18:J18)+Project_FCF!B18</f>
        <v>878.88244158096131</v>
      </c>
      <c r="D4073" s="4"/>
      <c r="E4073" s="4"/>
    </row>
    <row r="4074" spans="1:5" x14ac:dyDescent="0.3">
      <c r="A4074" s="9">
        <v>4066</v>
      </c>
      <c r="B4074" s="10">
        <f t="shared" ca="1" si="63"/>
        <v>0.10231746493780708</v>
      </c>
      <c r="C4074" s="10">
        <f ca="1">NPV(B4074,Project_FCF!C18:J18)+Project_FCF!B18</f>
        <v>766.11758189820375</v>
      </c>
      <c r="D4074" s="4"/>
      <c r="E4074" s="4"/>
    </row>
    <row r="4075" spans="1:5" x14ac:dyDescent="0.3">
      <c r="A4075" s="9">
        <v>4067</v>
      </c>
      <c r="B4075" s="10">
        <f t="shared" ca="1" si="63"/>
        <v>7.5561352547074037E-2</v>
      </c>
      <c r="C4075" s="10">
        <f ca="1">NPV(B4075,Project_FCF!C18:J18)+Project_FCF!B18</f>
        <v>976.36691581707009</v>
      </c>
      <c r="D4075" s="4"/>
      <c r="E4075" s="4"/>
    </row>
    <row r="4076" spans="1:5" x14ac:dyDescent="0.3">
      <c r="A4076" s="9">
        <v>4068</v>
      </c>
      <c r="B4076" s="10">
        <f t="shared" ca="1" si="63"/>
        <v>0.10097771980137525</v>
      </c>
      <c r="C4076" s="10">
        <f ca="1">NPV(B4076,Project_FCF!C18:J18)+Project_FCF!B18</f>
        <v>775.63045170889177</v>
      </c>
      <c r="D4076" s="4"/>
      <c r="E4076" s="4"/>
    </row>
    <row r="4077" spans="1:5" x14ac:dyDescent="0.3">
      <c r="A4077" s="9">
        <v>4069</v>
      </c>
      <c r="B4077" s="10">
        <f t="shared" ca="1" si="63"/>
        <v>8.5983092418499441E-2</v>
      </c>
      <c r="C4077" s="10">
        <f ca="1">NPV(B4077,Project_FCF!C18:J18)+Project_FCF!B18</f>
        <v>889.16960103872157</v>
      </c>
      <c r="D4077" s="4"/>
      <c r="E4077" s="4"/>
    </row>
    <row r="4078" spans="1:5" x14ac:dyDescent="0.3">
      <c r="A4078" s="9">
        <v>4070</v>
      </c>
      <c r="B4078" s="10">
        <f t="shared" ca="1" si="63"/>
        <v>8.8181641758649648E-2</v>
      </c>
      <c r="C4078" s="10">
        <f ca="1">NPV(B4078,Project_FCF!C18:J18)+Project_FCF!B18</f>
        <v>871.67548386992735</v>
      </c>
      <c r="D4078" s="4"/>
      <c r="E4078" s="4"/>
    </row>
    <row r="4079" spans="1:5" x14ac:dyDescent="0.3">
      <c r="A4079" s="9">
        <v>4071</v>
      </c>
      <c r="B4079" s="10">
        <f t="shared" ca="1" si="63"/>
        <v>6.7874129631459432E-2</v>
      </c>
      <c r="C4079" s="10">
        <f ca="1">NPV(B4079,Project_FCF!C18:J18)+Project_FCF!B18</f>
        <v>1045.4909136607632</v>
      </c>
      <c r="D4079" s="4"/>
      <c r="E4079" s="4"/>
    </row>
    <row r="4080" spans="1:5" x14ac:dyDescent="0.3">
      <c r="A4080" s="9">
        <v>4072</v>
      </c>
      <c r="B4080" s="10">
        <f t="shared" ca="1" si="63"/>
        <v>7.9338744212399157E-2</v>
      </c>
      <c r="C4080" s="10">
        <f ca="1">NPV(B4080,Project_FCF!C18:J18)+Project_FCF!B18</f>
        <v>943.9252714126003</v>
      </c>
      <c r="D4080" s="4"/>
      <c r="E4080" s="4"/>
    </row>
    <row r="4081" spans="1:5" x14ac:dyDescent="0.3">
      <c r="A4081" s="9">
        <v>4073</v>
      </c>
      <c r="B4081" s="10">
        <f t="shared" ca="1" si="63"/>
        <v>8.8101416670320745E-2</v>
      </c>
      <c r="C4081" s="10">
        <f ca="1">NPV(B4081,Project_FCF!C18:J18)+Project_FCF!B18</f>
        <v>872.30853185568367</v>
      </c>
      <c r="D4081" s="4"/>
      <c r="E4081" s="4"/>
    </row>
    <row r="4082" spans="1:5" x14ac:dyDescent="0.3">
      <c r="A4082" s="9">
        <v>4074</v>
      </c>
      <c r="B4082" s="10">
        <f t="shared" ca="1" si="63"/>
        <v>9.6501128494172889E-2</v>
      </c>
      <c r="C4082" s="10">
        <f ca="1">NPV(B4082,Project_FCF!C18:J18)+Project_FCF!B18</f>
        <v>808.14467235417101</v>
      </c>
      <c r="D4082" s="4"/>
      <c r="E4082" s="4"/>
    </row>
    <row r="4083" spans="1:5" x14ac:dyDescent="0.3">
      <c r="A4083" s="9">
        <v>4075</v>
      </c>
      <c r="B4083" s="10">
        <f t="shared" ca="1" si="63"/>
        <v>7.2460729076257932E-2</v>
      </c>
      <c r="C4083" s="10">
        <f ca="1">NPV(B4083,Project_FCF!C18:J18)+Project_FCF!B18</f>
        <v>1003.7366847958822</v>
      </c>
      <c r="D4083" s="4"/>
      <c r="E4083" s="4"/>
    </row>
    <row r="4084" spans="1:5" x14ac:dyDescent="0.3">
      <c r="A4084" s="9">
        <v>4076</v>
      </c>
      <c r="B4084" s="10">
        <f t="shared" ca="1" si="63"/>
        <v>7.435099650946482E-2</v>
      </c>
      <c r="C4084" s="10">
        <f ca="1">NPV(B4084,Project_FCF!C18:J18)+Project_FCF!B18</f>
        <v>986.97030964685359</v>
      </c>
      <c r="D4084" s="4"/>
      <c r="E4084" s="4"/>
    </row>
    <row r="4085" spans="1:5" x14ac:dyDescent="0.3">
      <c r="A4085" s="9">
        <v>4077</v>
      </c>
      <c r="B4085" s="10">
        <f t="shared" ca="1" si="63"/>
        <v>7.9522327098516171E-2</v>
      </c>
      <c r="C4085" s="10">
        <f ca="1">NPV(B4085,Project_FCF!C18:J18)+Project_FCF!B18</f>
        <v>942.37330728045049</v>
      </c>
      <c r="D4085" s="4"/>
      <c r="E4085" s="4"/>
    </row>
    <row r="4086" spans="1:5" x14ac:dyDescent="0.3">
      <c r="A4086" s="9">
        <v>4078</v>
      </c>
      <c r="B4086" s="10">
        <f t="shared" ca="1" si="63"/>
        <v>9.8604512106661713E-2</v>
      </c>
      <c r="C4086" s="10">
        <f ca="1">NPV(B4086,Project_FCF!C18:J18)+Project_FCF!B18</f>
        <v>792.72631776340859</v>
      </c>
      <c r="D4086" s="4"/>
      <c r="E4086" s="4"/>
    </row>
    <row r="4087" spans="1:5" x14ac:dyDescent="0.3">
      <c r="A4087" s="9">
        <v>4079</v>
      </c>
      <c r="B4087" s="10">
        <f t="shared" ca="1" si="63"/>
        <v>8.7394808631186011E-2</v>
      </c>
      <c r="C4087" s="10">
        <f ca="1">NPV(B4087,Project_FCF!C18:J18)+Project_FCF!B18</f>
        <v>877.90161088904529</v>
      </c>
      <c r="D4087" s="4"/>
      <c r="E4087" s="4"/>
    </row>
    <row r="4088" spans="1:5" x14ac:dyDescent="0.3">
      <c r="A4088" s="9">
        <v>4080</v>
      </c>
      <c r="B4088" s="10">
        <f t="shared" ca="1" si="63"/>
        <v>0.10256966894027875</v>
      </c>
      <c r="C4088" s="10">
        <f ca="1">NPV(B4088,Project_FCF!C18:J18)+Project_FCF!B18</f>
        <v>764.33783392757459</v>
      </c>
      <c r="D4088" s="4"/>
      <c r="E4088" s="4"/>
    </row>
    <row r="4089" spans="1:5" x14ac:dyDescent="0.3">
      <c r="A4089" s="9">
        <v>4081</v>
      </c>
      <c r="B4089" s="10">
        <f t="shared" ca="1" si="63"/>
        <v>9.8981401887613438E-2</v>
      </c>
      <c r="C4089" s="10">
        <f ca="1">NPV(B4089,Project_FCF!C18:J18)+Project_FCF!B18</f>
        <v>789.99020180528328</v>
      </c>
      <c r="D4089" s="4"/>
      <c r="E4089" s="4"/>
    </row>
    <row r="4090" spans="1:5" x14ac:dyDescent="0.3">
      <c r="A4090" s="9">
        <v>4082</v>
      </c>
      <c r="B4090" s="10">
        <f t="shared" ca="1" si="63"/>
        <v>7.9076010871848956E-2</v>
      </c>
      <c r="C4090" s="10">
        <f ca="1">NPV(B4090,Project_FCF!C18:J18)+Project_FCF!B18</f>
        <v>946.1502970371007</v>
      </c>
      <c r="D4090" s="4"/>
      <c r="E4090" s="4"/>
    </row>
    <row r="4091" spans="1:5" x14ac:dyDescent="0.3">
      <c r="A4091" s="9">
        <v>4083</v>
      </c>
      <c r="B4091" s="10">
        <f t="shared" ca="1" si="63"/>
        <v>9.2965569083727495E-2</v>
      </c>
      <c r="C4091" s="10">
        <f ca="1">NPV(B4091,Project_FCF!C18:J18)+Project_FCF!B18</f>
        <v>834.63846161930633</v>
      </c>
      <c r="D4091" s="4"/>
      <c r="E4091" s="4"/>
    </row>
    <row r="4092" spans="1:5" x14ac:dyDescent="0.3">
      <c r="A4092" s="9">
        <v>4084</v>
      </c>
      <c r="B4092" s="10">
        <f t="shared" ca="1" si="63"/>
        <v>0.10275284461938983</v>
      </c>
      <c r="C4092" s="10">
        <f ca="1">NPV(B4092,Project_FCF!C18:J18)+Project_FCF!B18</f>
        <v>763.04738277450065</v>
      </c>
      <c r="D4092" s="4"/>
      <c r="E4092" s="4"/>
    </row>
    <row r="4093" spans="1:5" x14ac:dyDescent="0.3">
      <c r="A4093" s="9">
        <v>4085</v>
      </c>
      <c r="B4093" s="10">
        <f t="shared" ca="1" si="63"/>
        <v>9.3124606189302989E-2</v>
      </c>
      <c r="C4093" s="10">
        <f ca="1">NPV(B4093,Project_FCF!C18:J18)+Project_FCF!B18</f>
        <v>833.4309125278071</v>
      </c>
      <c r="D4093" s="4"/>
      <c r="E4093" s="4"/>
    </row>
    <row r="4094" spans="1:5" x14ac:dyDescent="0.3">
      <c r="A4094" s="9">
        <v>4086</v>
      </c>
      <c r="B4094" s="10">
        <f t="shared" ca="1" si="63"/>
        <v>6.5382370038852652E-2</v>
      </c>
      <c r="C4094" s="10">
        <f ca="1">NPV(B4094,Project_FCF!C18:J18)+Project_FCF!B18</f>
        <v>1068.8286703426554</v>
      </c>
      <c r="D4094" s="4"/>
      <c r="E4094" s="4"/>
    </row>
    <row r="4095" spans="1:5" x14ac:dyDescent="0.3">
      <c r="A4095" s="9">
        <v>4087</v>
      </c>
      <c r="B4095" s="10">
        <f t="shared" ca="1" si="63"/>
        <v>0.10355137949228135</v>
      </c>
      <c r="C4095" s="10">
        <f ca="1">NPV(B4095,Project_FCF!C18:J18)+Project_FCF!B18</f>
        <v>757.44314146221086</v>
      </c>
      <c r="D4095" s="4"/>
      <c r="E4095" s="4"/>
    </row>
    <row r="4096" spans="1:5" x14ac:dyDescent="0.3">
      <c r="A4096" s="9">
        <v>4088</v>
      </c>
      <c r="B4096" s="10">
        <f t="shared" ca="1" si="63"/>
        <v>9.7135888185820266E-2</v>
      </c>
      <c r="C4096" s="10">
        <f ca="1">NPV(B4096,Project_FCF!C18:J18)+Project_FCF!B18</f>
        <v>803.46505985482372</v>
      </c>
      <c r="D4096" s="4"/>
      <c r="E4096" s="4"/>
    </row>
    <row r="4097" spans="1:5" x14ac:dyDescent="0.3">
      <c r="A4097" s="9">
        <v>4089</v>
      </c>
      <c r="B4097" s="10">
        <f t="shared" ca="1" si="63"/>
        <v>9.0118320862069903E-2</v>
      </c>
      <c r="C4097" s="10">
        <f ca="1">NPV(B4097,Project_FCF!C18:J18)+Project_FCF!B18</f>
        <v>856.51395543921626</v>
      </c>
      <c r="D4097" s="4"/>
      <c r="E4097" s="4"/>
    </row>
    <row r="4098" spans="1:5" x14ac:dyDescent="0.3">
      <c r="A4098" s="9">
        <v>4090</v>
      </c>
      <c r="B4098" s="10">
        <f t="shared" ca="1" si="63"/>
        <v>6.4302780425930281E-2</v>
      </c>
      <c r="C4098" s="10">
        <f ca="1">NPV(B4098,Project_FCF!C18:J18)+Project_FCF!B18</f>
        <v>1079.086624555498</v>
      </c>
      <c r="D4098" s="4"/>
      <c r="E4098" s="4"/>
    </row>
    <row r="4099" spans="1:5" x14ac:dyDescent="0.3">
      <c r="A4099" s="9">
        <v>4091</v>
      </c>
      <c r="B4099" s="10">
        <f t="shared" ca="1" si="63"/>
        <v>8.8730689586837053E-2</v>
      </c>
      <c r="C4099" s="10">
        <f ca="1">NPV(B4099,Project_FCF!C18:J18)+Project_FCF!B18</f>
        <v>867.35371571160545</v>
      </c>
      <c r="D4099" s="4"/>
      <c r="E4099" s="4"/>
    </row>
    <row r="4100" spans="1:5" x14ac:dyDescent="0.3">
      <c r="A4100" s="9">
        <v>4092</v>
      </c>
      <c r="B4100" s="10">
        <f t="shared" ca="1" si="63"/>
        <v>8.0840703068449524E-2</v>
      </c>
      <c r="C4100" s="10">
        <f ca="1">NPV(B4100,Project_FCF!C18:J18)+Project_FCF!B18</f>
        <v>931.29431852340008</v>
      </c>
      <c r="D4100" s="4"/>
      <c r="E4100" s="4"/>
    </row>
    <row r="4101" spans="1:5" x14ac:dyDescent="0.3">
      <c r="A4101" s="9">
        <v>4093</v>
      </c>
      <c r="B4101" s="10">
        <f t="shared" ca="1" si="63"/>
        <v>0.10200398165690172</v>
      </c>
      <c r="C4101" s="10">
        <f ca="1">NPV(B4101,Project_FCF!C18:J18)+Project_FCF!B18</f>
        <v>768.33462050335766</v>
      </c>
      <c r="D4101" s="4"/>
      <c r="E4101" s="4"/>
    </row>
    <row r="4102" spans="1:5" x14ac:dyDescent="0.3">
      <c r="A4102" s="9">
        <v>4094</v>
      </c>
      <c r="B4102" s="10">
        <f t="shared" ca="1" si="63"/>
        <v>9.6508265122549036E-2</v>
      </c>
      <c r="C4102" s="10">
        <f ca="1">NPV(B4102,Project_FCF!C18:J18)+Project_FCF!B18</f>
        <v>808.09193040790228</v>
      </c>
      <c r="D4102" s="4"/>
      <c r="E4102" s="4"/>
    </row>
    <row r="4103" spans="1:5" x14ac:dyDescent="0.3">
      <c r="A4103" s="9">
        <v>4095</v>
      </c>
      <c r="B4103" s="10">
        <f t="shared" ca="1" si="63"/>
        <v>8.656156295355355E-2</v>
      </c>
      <c r="C4103" s="10">
        <f ca="1">NPV(B4103,Project_FCF!C18:J18)+Project_FCF!B18</f>
        <v>884.53721094816956</v>
      </c>
      <c r="D4103" s="4"/>
      <c r="E4103" s="4"/>
    </row>
    <row r="4104" spans="1:5" x14ac:dyDescent="0.3">
      <c r="A4104" s="9">
        <v>4096</v>
      </c>
      <c r="B4104" s="10">
        <f t="shared" ca="1" si="63"/>
        <v>6.9782927496377281E-2</v>
      </c>
      <c r="C4104" s="10">
        <f ca="1">NPV(B4104,Project_FCF!C18:J18)+Project_FCF!B18</f>
        <v>1027.9271360447849</v>
      </c>
      <c r="D4104" s="4"/>
      <c r="E4104" s="4"/>
    </row>
    <row r="4105" spans="1:5" x14ac:dyDescent="0.3">
      <c r="A4105" s="9">
        <v>4097</v>
      </c>
      <c r="B4105" s="10">
        <f t="shared" ref="B4105:B4168" ca="1" si="64">$B$4+RAND()*($B$5-$B$4)</f>
        <v>0.10253496823238351</v>
      </c>
      <c r="C4105" s="10">
        <f ca="1">NPV(B4105,Project_FCF!C18:J18)+Project_FCF!B18</f>
        <v>764.58250279635149</v>
      </c>
      <c r="D4105" s="4"/>
      <c r="E4105" s="4"/>
    </row>
    <row r="4106" spans="1:5" x14ac:dyDescent="0.3">
      <c r="A4106" s="9">
        <v>4098</v>
      </c>
      <c r="B4106" s="10">
        <f t="shared" ca="1" si="64"/>
        <v>7.1841466523860489E-2</v>
      </c>
      <c r="C4106" s="10">
        <f ca="1">NPV(B4106,Project_FCF!C18:J18)+Project_FCF!B18</f>
        <v>1009.2848415128731</v>
      </c>
      <c r="D4106" s="4"/>
      <c r="E4106" s="4"/>
    </row>
    <row r="4107" spans="1:5" x14ac:dyDescent="0.3">
      <c r="A4107" s="9">
        <v>4099</v>
      </c>
      <c r="B4107" s="10">
        <f t="shared" ca="1" si="64"/>
        <v>9.1776406315832781E-2</v>
      </c>
      <c r="C4107" s="10">
        <f ca="1">NPV(B4107,Project_FCF!C18:J18)+Project_FCF!B18</f>
        <v>843.71546859089813</v>
      </c>
      <c r="D4107" s="4"/>
      <c r="E4107" s="4"/>
    </row>
    <row r="4108" spans="1:5" x14ac:dyDescent="0.3">
      <c r="A4108" s="9">
        <v>4100</v>
      </c>
      <c r="B4108" s="10">
        <f t="shared" ca="1" si="64"/>
        <v>7.4747434876058796E-2</v>
      </c>
      <c r="C4108" s="10">
        <f ca="1">NPV(B4108,Project_FCF!C18:J18)+Project_FCF!B18</f>
        <v>983.48599427208569</v>
      </c>
      <c r="D4108" s="4"/>
      <c r="E4108" s="4"/>
    </row>
    <row r="4109" spans="1:5" x14ac:dyDescent="0.3">
      <c r="A4109" s="9">
        <v>4101</v>
      </c>
      <c r="B4109" s="10">
        <f t="shared" ca="1" si="64"/>
        <v>8.4619264558038268E-2</v>
      </c>
      <c r="C4109" s="10">
        <f ca="1">NPV(B4109,Project_FCF!C18:J18)+Project_FCF!B18</f>
        <v>900.17521113627026</v>
      </c>
      <c r="D4109" s="4"/>
      <c r="E4109" s="4"/>
    </row>
    <row r="4110" spans="1:5" x14ac:dyDescent="0.3">
      <c r="A4110" s="9">
        <v>4102</v>
      </c>
      <c r="B4110" s="10">
        <f t="shared" ca="1" si="64"/>
        <v>6.5769097666825718E-2</v>
      </c>
      <c r="C4110" s="10">
        <f ca="1">NPV(B4110,Project_FCF!C18:J18)+Project_FCF!B18</f>
        <v>1065.1757860311309</v>
      </c>
      <c r="D4110" s="4"/>
      <c r="E4110" s="4"/>
    </row>
    <row r="4111" spans="1:5" x14ac:dyDescent="0.3">
      <c r="A4111" s="9">
        <v>4103</v>
      </c>
      <c r="B4111" s="10">
        <f t="shared" ca="1" si="64"/>
        <v>7.2270757358550541E-2</v>
      </c>
      <c r="C4111" s="10">
        <f ca="1">NPV(B4111,Project_FCF!C18:J18)+Project_FCF!B18</f>
        <v>1005.4357723474727</v>
      </c>
      <c r="D4111" s="4"/>
      <c r="E4111" s="4"/>
    </row>
    <row r="4112" spans="1:5" x14ac:dyDescent="0.3">
      <c r="A4112" s="9">
        <v>4104</v>
      </c>
      <c r="B4112" s="10">
        <f t="shared" ca="1" si="64"/>
        <v>9.1728252208774425E-2</v>
      </c>
      <c r="C4112" s="10">
        <f ca="1">NPV(B4112,Project_FCF!C18:J18)+Project_FCF!B18</f>
        <v>844.08481939946864</v>
      </c>
      <c r="D4112" s="4"/>
      <c r="E4112" s="4"/>
    </row>
    <row r="4113" spans="1:5" x14ac:dyDescent="0.3">
      <c r="A4113" s="9">
        <v>4105</v>
      </c>
      <c r="B4113" s="10">
        <f t="shared" ca="1" si="64"/>
        <v>9.2932996839176149E-2</v>
      </c>
      <c r="C4113" s="10">
        <f ca="1">NPV(B4113,Project_FCF!C18:J18)+Project_FCF!B18</f>
        <v>834.88596424604793</v>
      </c>
      <c r="D4113" s="4"/>
      <c r="E4113" s="4"/>
    </row>
    <row r="4114" spans="1:5" x14ac:dyDescent="0.3">
      <c r="A4114" s="9">
        <v>4106</v>
      </c>
      <c r="B4114" s="10">
        <f t="shared" ca="1" si="64"/>
        <v>7.5647567755498288E-2</v>
      </c>
      <c r="C4114" s="10">
        <f ca="1">NPV(B4114,Project_FCF!C18:J18)+Project_FCF!B18</f>
        <v>975.61552461132942</v>
      </c>
      <c r="D4114" s="4"/>
      <c r="E4114" s="4"/>
    </row>
    <row r="4115" spans="1:5" x14ac:dyDescent="0.3">
      <c r="A4115" s="9">
        <v>4107</v>
      </c>
      <c r="B4115" s="10">
        <f t="shared" ca="1" si="64"/>
        <v>9.5336717160794893E-2</v>
      </c>
      <c r="C4115" s="10">
        <f ca="1">NPV(B4115,Project_FCF!C18:J18)+Project_FCF!B18</f>
        <v>816.78950210212724</v>
      </c>
      <c r="D4115" s="4"/>
      <c r="E4115" s="4"/>
    </row>
    <row r="4116" spans="1:5" x14ac:dyDescent="0.3">
      <c r="A4116" s="9">
        <v>4108</v>
      </c>
      <c r="B4116" s="10">
        <f t="shared" ca="1" si="64"/>
        <v>0.10035126498684516</v>
      </c>
      <c r="C4116" s="10">
        <f ca="1">NPV(B4116,Project_FCF!C18:J18)+Project_FCF!B18</f>
        <v>780.11265390306107</v>
      </c>
      <c r="D4116" s="4"/>
      <c r="E4116" s="4"/>
    </row>
    <row r="4117" spans="1:5" x14ac:dyDescent="0.3">
      <c r="A4117" s="9">
        <v>4109</v>
      </c>
      <c r="B4117" s="10">
        <f t="shared" ca="1" si="64"/>
        <v>7.8690916379535972E-2</v>
      </c>
      <c r="C4117" s="10">
        <f ca="1">NPV(B4117,Project_FCF!C18:J18)+Project_FCF!B18</f>
        <v>949.41998009890676</v>
      </c>
      <c r="D4117" s="4"/>
      <c r="E4117" s="4"/>
    </row>
    <row r="4118" spans="1:5" x14ac:dyDescent="0.3">
      <c r="A4118" s="9">
        <v>4110</v>
      </c>
      <c r="B4118" s="10">
        <f t="shared" ca="1" si="64"/>
        <v>8.0949600049518358E-2</v>
      </c>
      <c r="C4118" s="10">
        <f ca="1">NPV(B4118,Project_FCF!C18:J18)+Project_FCF!B18</f>
        <v>930.38437511862048</v>
      </c>
      <c r="D4118" s="4"/>
      <c r="E4118" s="4"/>
    </row>
    <row r="4119" spans="1:5" x14ac:dyDescent="0.3">
      <c r="A4119" s="9">
        <v>4111</v>
      </c>
      <c r="B4119" s="10">
        <f t="shared" ca="1" si="64"/>
        <v>8.6130654381642732E-2</v>
      </c>
      <c r="C4119" s="10">
        <f ca="1">NPV(B4119,Project_FCF!C18:J18)+Project_FCF!B18</f>
        <v>887.98591616955014</v>
      </c>
      <c r="D4119" s="4"/>
      <c r="E4119" s="4"/>
    </row>
    <row r="4120" spans="1:5" x14ac:dyDescent="0.3">
      <c r="A4120" s="9">
        <v>4112</v>
      </c>
      <c r="B4120" s="10">
        <f t="shared" ca="1" si="64"/>
        <v>8.368943810464094E-2</v>
      </c>
      <c r="C4120" s="10">
        <f ca="1">NPV(B4120,Project_FCF!C18:J18)+Project_FCF!B18</f>
        <v>907.74686219992236</v>
      </c>
      <c r="D4120" s="4"/>
      <c r="E4120" s="4"/>
    </row>
    <row r="4121" spans="1:5" x14ac:dyDescent="0.3">
      <c r="A4121" s="9">
        <v>4113</v>
      </c>
      <c r="B4121" s="10">
        <f t="shared" ca="1" si="64"/>
        <v>7.7773402012074583E-2</v>
      </c>
      <c r="C4121" s="10">
        <f ca="1">NPV(B4121,Project_FCF!C18:J18)+Project_FCF!B18</f>
        <v>957.25070849876147</v>
      </c>
      <c r="D4121" s="4"/>
      <c r="E4121" s="4"/>
    </row>
    <row r="4122" spans="1:5" x14ac:dyDescent="0.3">
      <c r="A4122" s="9">
        <v>4114</v>
      </c>
      <c r="B4122" s="10">
        <f t="shared" ca="1" si="64"/>
        <v>7.9015977374077395E-2</v>
      </c>
      <c r="C4122" s="10">
        <f ca="1">NPV(B4122,Project_FCF!C18:J18)+Project_FCF!B18</f>
        <v>946.65935891012873</v>
      </c>
      <c r="D4122" s="4"/>
      <c r="E4122" s="4"/>
    </row>
    <row r="4123" spans="1:5" x14ac:dyDescent="0.3">
      <c r="A4123" s="9">
        <v>4115</v>
      </c>
      <c r="B4123" s="10">
        <f t="shared" ca="1" si="64"/>
        <v>8.9633173123999058E-2</v>
      </c>
      <c r="C4123" s="10">
        <f ca="1">NPV(B4123,Project_FCF!C18:J18)+Project_FCF!B18</f>
        <v>860.29034897052225</v>
      </c>
      <c r="D4123" s="4"/>
      <c r="E4123" s="4"/>
    </row>
    <row r="4124" spans="1:5" x14ac:dyDescent="0.3">
      <c r="A4124" s="9">
        <v>4116</v>
      </c>
      <c r="B4124" s="10">
        <f t="shared" ca="1" si="64"/>
        <v>7.0759255246090461E-2</v>
      </c>
      <c r="C4124" s="10">
        <f ca="1">NPV(B4124,Project_FCF!C18:J18)+Project_FCF!B18</f>
        <v>1019.0470475834454</v>
      </c>
      <c r="D4124" s="4"/>
      <c r="E4124" s="4"/>
    </row>
    <row r="4125" spans="1:5" x14ac:dyDescent="0.3">
      <c r="A4125" s="9">
        <v>4117</v>
      </c>
      <c r="B4125" s="10">
        <f t="shared" ca="1" si="64"/>
        <v>9.3864042507802559E-2</v>
      </c>
      <c r="C4125" s="10">
        <f ca="1">NPV(B4125,Project_FCF!C18:J18)+Project_FCF!B18</f>
        <v>827.83616617568509</v>
      </c>
      <c r="D4125" s="4"/>
      <c r="E4125" s="4"/>
    </row>
    <row r="4126" spans="1:5" x14ac:dyDescent="0.3">
      <c r="A4126" s="9">
        <v>4118</v>
      </c>
      <c r="B4126" s="10">
        <f t="shared" ca="1" si="64"/>
        <v>7.5266473523495303E-2</v>
      </c>
      <c r="C4126" s="10">
        <f ca="1">NPV(B4126,Project_FCF!C18:J18)+Project_FCF!B18</f>
        <v>978.9407862073399</v>
      </c>
      <c r="D4126" s="4"/>
      <c r="E4126" s="4"/>
    </row>
    <row r="4127" spans="1:5" x14ac:dyDescent="0.3">
      <c r="A4127" s="9">
        <v>4119</v>
      </c>
      <c r="B4127" s="10">
        <f t="shared" ca="1" si="64"/>
        <v>7.6507950012890208E-2</v>
      </c>
      <c r="C4127" s="10">
        <f ca="1">NPV(B4127,Project_FCF!C18:J18)+Project_FCF!B18</f>
        <v>968.14528211271977</v>
      </c>
      <c r="D4127" s="4"/>
      <c r="E4127" s="4"/>
    </row>
    <row r="4128" spans="1:5" x14ac:dyDescent="0.3">
      <c r="A4128" s="9">
        <v>4120</v>
      </c>
      <c r="B4128" s="10">
        <f t="shared" ca="1" si="64"/>
        <v>9.7399021611167091E-2</v>
      </c>
      <c r="C4128" s="10">
        <f ca="1">NPV(B4128,Project_FCF!C18:J18)+Project_FCF!B18</f>
        <v>801.5319524092954</v>
      </c>
      <c r="D4128" s="4"/>
      <c r="E4128" s="4"/>
    </row>
    <row r="4129" spans="1:5" x14ac:dyDescent="0.3">
      <c r="A4129" s="9">
        <v>4121</v>
      </c>
      <c r="B4129" s="10">
        <f t="shared" ca="1" si="64"/>
        <v>9.3523530211960915E-2</v>
      </c>
      <c r="C4129" s="10">
        <f ca="1">NPV(B4129,Project_FCF!C18:J18)+Project_FCF!B18</f>
        <v>830.40853930026537</v>
      </c>
      <c r="D4129" s="4"/>
      <c r="E4129" s="4"/>
    </row>
    <row r="4130" spans="1:5" x14ac:dyDescent="0.3">
      <c r="A4130" s="9">
        <v>4122</v>
      </c>
      <c r="B4130" s="10">
        <f t="shared" ca="1" si="64"/>
        <v>8.9282722646876866E-2</v>
      </c>
      <c r="C4130" s="10">
        <f ca="1">NPV(B4130,Project_FCF!C18:J18)+Project_FCF!B18</f>
        <v>863.02722915114941</v>
      </c>
      <c r="D4130" s="4"/>
      <c r="E4130" s="4"/>
    </row>
    <row r="4131" spans="1:5" x14ac:dyDescent="0.3">
      <c r="A4131" s="9">
        <v>4123</v>
      </c>
      <c r="B4131" s="10">
        <f t="shared" ca="1" si="64"/>
        <v>7.7206341775662268E-2</v>
      </c>
      <c r="C4131" s="10">
        <f ca="1">NPV(B4131,Project_FCF!C18:J18)+Project_FCF!B18</f>
        <v>962.1190843506904</v>
      </c>
      <c r="D4131" s="4"/>
      <c r="E4131" s="4"/>
    </row>
    <row r="4132" spans="1:5" x14ac:dyDescent="0.3">
      <c r="A4132" s="9">
        <v>4124</v>
      </c>
      <c r="B4132" s="10">
        <f t="shared" ca="1" si="64"/>
        <v>8.0912604371305347E-2</v>
      </c>
      <c r="C4132" s="10">
        <f ca="1">NPV(B4132,Project_FCF!C18:J18)+Project_FCF!B18</f>
        <v>930.69342290838881</v>
      </c>
      <c r="D4132" s="4"/>
      <c r="E4132" s="4"/>
    </row>
    <row r="4133" spans="1:5" x14ac:dyDescent="0.3">
      <c r="A4133" s="9">
        <v>4125</v>
      </c>
      <c r="B4133" s="10">
        <f t="shared" ca="1" si="64"/>
        <v>8.6682514852640072E-2</v>
      </c>
      <c r="C4133" s="10">
        <f ca="1">NPV(B4133,Project_FCF!C18:J18)+Project_FCF!B18</f>
        <v>883.57129720100056</v>
      </c>
      <c r="D4133" s="4"/>
      <c r="E4133" s="4"/>
    </row>
    <row r="4134" spans="1:5" x14ac:dyDescent="0.3">
      <c r="A4134" s="9">
        <v>4126</v>
      </c>
      <c r="B4134" s="10">
        <f t="shared" ca="1" si="64"/>
        <v>8.8806530929322114E-2</v>
      </c>
      <c r="C4134" s="10">
        <f ca="1">NPV(B4134,Project_FCF!C18:J18)+Project_FCF!B18</f>
        <v>866.75820543309896</v>
      </c>
      <c r="D4134" s="4"/>
      <c r="E4134" s="4"/>
    </row>
    <row r="4135" spans="1:5" x14ac:dyDescent="0.3">
      <c r="A4135" s="9">
        <v>4127</v>
      </c>
      <c r="B4135" s="10">
        <f t="shared" ca="1" si="64"/>
        <v>8.6724330398218849E-2</v>
      </c>
      <c r="C4135" s="10">
        <f ca="1">NPV(B4135,Project_FCF!C18:J18)+Project_FCF!B18</f>
        <v>883.23757529169234</v>
      </c>
      <c r="D4135" s="4"/>
      <c r="E4135" s="4"/>
    </row>
    <row r="4136" spans="1:5" x14ac:dyDescent="0.3">
      <c r="A4136" s="9">
        <v>4128</v>
      </c>
      <c r="B4136" s="10">
        <f t="shared" ca="1" si="64"/>
        <v>7.3722605271760833E-2</v>
      </c>
      <c r="C4136" s="10">
        <f ca="1">NPV(B4136,Project_FCF!C18:J18)+Project_FCF!B18</f>
        <v>992.51593688188927</v>
      </c>
      <c r="D4136" s="4"/>
      <c r="E4136" s="4"/>
    </row>
    <row r="4137" spans="1:5" x14ac:dyDescent="0.3">
      <c r="A4137" s="9">
        <v>4129</v>
      </c>
      <c r="B4137" s="10">
        <f t="shared" ca="1" si="64"/>
        <v>9.7976373521523802E-2</v>
      </c>
      <c r="C4137" s="10">
        <f ca="1">NPV(B4137,Project_FCF!C18:J18)+Project_FCF!B18</f>
        <v>797.30430641324119</v>
      </c>
      <c r="D4137" s="4"/>
      <c r="E4137" s="4"/>
    </row>
    <row r="4138" spans="1:5" x14ac:dyDescent="0.3">
      <c r="A4138" s="9">
        <v>4130</v>
      </c>
      <c r="B4138" s="10">
        <f t="shared" ca="1" si="64"/>
        <v>7.7639857092242553E-2</v>
      </c>
      <c r="C4138" s="10">
        <f ca="1">NPV(B4138,Project_FCF!C18:J18)+Project_FCF!B18</f>
        <v>958.39525192221549</v>
      </c>
      <c r="D4138" s="4"/>
      <c r="E4138" s="4"/>
    </row>
    <row r="4139" spans="1:5" x14ac:dyDescent="0.3">
      <c r="A4139" s="9">
        <v>4131</v>
      </c>
      <c r="B4139" s="10">
        <f t="shared" ca="1" si="64"/>
        <v>8.7996303778349494E-2</v>
      </c>
      <c r="C4139" s="10">
        <f ca="1">NPV(B4139,Project_FCF!C18:J18)+Project_FCF!B18</f>
        <v>873.1385723052615</v>
      </c>
      <c r="D4139" s="4"/>
      <c r="E4139" s="4"/>
    </row>
    <row r="4140" spans="1:5" x14ac:dyDescent="0.3">
      <c r="A4140" s="9">
        <v>4132</v>
      </c>
      <c r="B4140" s="10">
        <f t="shared" ca="1" si="64"/>
        <v>0.10222025286138359</v>
      </c>
      <c r="C4140" s="10">
        <f ca="1">NPV(B4140,Project_FCF!C18:J18)+Project_FCF!B18</f>
        <v>766.80451567132059</v>
      </c>
      <c r="D4140" s="4"/>
      <c r="E4140" s="4"/>
    </row>
    <row r="4141" spans="1:5" x14ac:dyDescent="0.3">
      <c r="A4141" s="9">
        <v>4133</v>
      </c>
      <c r="B4141" s="10">
        <f t="shared" ca="1" si="64"/>
        <v>8.705055205240872E-2</v>
      </c>
      <c r="C4141" s="10">
        <f ca="1">NPV(B4141,Project_FCF!C18:J18)+Project_FCF!B18</f>
        <v>880.63783588538513</v>
      </c>
      <c r="D4141" s="4"/>
      <c r="E4141" s="4"/>
    </row>
    <row r="4142" spans="1:5" x14ac:dyDescent="0.3">
      <c r="A4142" s="9">
        <v>4134</v>
      </c>
      <c r="B4142" s="10">
        <f t="shared" ca="1" si="64"/>
        <v>6.4278189553475515E-2</v>
      </c>
      <c r="C4142" s="10">
        <f ca="1">NPV(B4142,Project_FCF!C18:J18)+Project_FCF!B18</f>
        <v>1079.3213234625021</v>
      </c>
      <c r="D4142" s="4"/>
      <c r="E4142" s="4"/>
    </row>
    <row r="4143" spans="1:5" x14ac:dyDescent="0.3">
      <c r="A4143" s="9">
        <v>4135</v>
      </c>
      <c r="B4143" s="10">
        <f t="shared" ca="1" si="64"/>
        <v>0.10309447671345615</v>
      </c>
      <c r="C4143" s="10">
        <f ca="1">NPV(B4143,Project_FCF!C18:J18)+Project_FCF!B18</f>
        <v>760.6455126850135</v>
      </c>
      <c r="D4143" s="4"/>
      <c r="E4143" s="4"/>
    </row>
    <row r="4144" spans="1:5" x14ac:dyDescent="0.3">
      <c r="A4144" s="9">
        <v>4136</v>
      </c>
      <c r="B4144" s="10">
        <f t="shared" ca="1" si="64"/>
        <v>8.4777130116600999E-2</v>
      </c>
      <c r="C4144" s="10">
        <f ca="1">NPV(B4144,Project_FCF!C18:J18)+Project_FCF!B18</f>
        <v>898.89521648840673</v>
      </c>
      <c r="D4144" s="4"/>
      <c r="E4144" s="4"/>
    </row>
    <row r="4145" spans="1:5" x14ac:dyDescent="0.3">
      <c r="A4145" s="9">
        <v>4137</v>
      </c>
      <c r="B4145" s="10">
        <f t="shared" ca="1" si="64"/>
        <v>7.8537440018289537E-2</v>
      </c>
      <c r="C4145" s="10">
        <f ca="1">NPV(B4145,Project_FCF!C18:J18)+Project_FCF!B18</f>
        <v>950.72587966455444</v>
      </c>
      <c r="D4145" s="4"/>
      <c r="E4145" s="4"/>
    </row>
    <row r="4146" spans="1:5" x14ac:dyDescent="0.3">
      <c r="A4146" s="9">
        <v>4138</v>
      </c>
      <c r="B4146" s="10">
        <f t="shared" ca="1" si="64"/>
        <v>9.4172001286146167E-2</v>
      </c>
      <c r="C4146" s="10">
        <f ca="1">NPV(B4146,Project_FCF!C18:J18)+Project_FCF!B18</f>
        <v>825.5156101796465</v>
      </c>
      <c r="D4146" s="4"/>
      <c r="E4146" s="4"/>
    </row>
    <row r="4147" spans="1:5" x14ac:dyDescent="0.3">
      <c r="A4147" s="9">
        <v>4139</v>
      </c>
      <c r="B4147" s="10">
        <f t="shared" ca="1" si="64"/>
        <v>7.8121731327429347E-2</v>
      </c>
      <c r="C4147" s="10">
        <f ca="1">NPV(B4147,Project_FCF!C18:J18)+Project_FCF!B18</f>
        <v>954.27108050414495</v>
      </c>
      <c r="D4147" s="4"/>
      <c r="E4147" s="4"/>
    </row>
    <row r="4148" spans="1:5" x14ac:dyDescent="0.3">
      <c r="A4148" s="9">
        <v>4140</v>
      </c>
      <c r="B4148" s="10">
        <f t="shared" ca="1" si="64"/>
        <v>9.516200148835445E-2</v>
      </c>
      <c r="C4148" s="10">
        <f ca="1">NPV(B4148,Project_FCF!C18:J18)+Project_FCF!B18</f>
        <v>818.09342221131851</v>
      </c>
      <c r="D4148" s="4"/>
      <c r="E4148" s="4"/>
    </row>
    <row r="4149" spans="1:5" x14ac:dyDescent="0.3">
      <c r="A4149" s="9">
        <v>4141</v>
      </c>
      <c r="B4149" s="10">
        <f t="shared" ca="1" si="64"/>
        <v>0.10397250386081525</v>
      </c>
      <c r="C4149" s="10">
        <f ca="1">NPV(B4149,Project_FCF!C18:J18)+Project_FCF!B18</f>
        <v>754.50155183213383</v>
      </c>
      <c r="D4149" s="4"/>
      <c r="E4149" s="4"/>
    </row>
    <row r="4150" spans="1:5" x14ac:dyDescent="0.3">
      <c r="A4150" s="9">
        <v>4142</v>
      </c>
      <c r="B4150" s="10">
        <f t="shared" ca="1" si="64"/>
        <v>9.5841129581370615E-2</v>
      </c>
      <c r="C4150" s="10">
        <f ca="1">NPV(B4150,Project_FCF!C18:J18)+Project_FCF!B18</f>
        <v>813.03499122395669</v>
      </c>
      <c r="D4150" s="4"/>
      <c r="E4150" s="4"/>
    </row>
    <row r="4151" spans="1:5" x14ac:dyDescent="0.3">
      <c r="A4151" s="9">
        <v>4143</v>
      </c>
      <c r="B4151" s="10">
        <f t="shared" ca="1" si="64"/>
        <v>7.8176979757545437E-2</v>
      </c>
      <c r="C4151" s="10">
        <f ca="1">NPV(B4151,Project_FCF!C18:J18)+Project_FCF!B18</f>
        <v>953.79924098827541</v>
      </c>
      <c r="D4151" s="4"/>
      <c r="E4151" s="4"/>
    </row>
    <row r="4152" spans="1:5" x14ac:dyDescent="0.3">
      <c r="A4152" s="9">
        <v>4144</v>
      </c>
      <c r="B4152" s="10">
        <f t="shared" ca="1" si="64"/>
        <v>0.1027289076745482</v>
      </c>
      <c r="C4152" s="10">
        <f ca="1">NPV(B4152,Project_FCF!C18:J18)+Project_FCF!B18</f>
        <v>763.21591171303658</v>
      </c>
      <c r="D4152" s="4"/>
      <c r="E4152" s="4"/>
    </row>
    <row r="4153" spans="1:5" x14ac:dyDescent="0.3">
      <c r="A4153" s="9">
        <v>4145</v>
      </c>
      <c r="B4153" s="10">
        <f t="shared" ca="1" si="64"/>
        <v>6.5852601253105769E-2</v>
      </c>
      <c r="C4153" s="10">
        <f ca="1">NPV(B4153,Project_FCF!C18:J18)+Project_FCF!B18</f>
        <v>1064.3885373722935</v>
      </c>
      <c r="D4153" s="4"/>
      <c r="E4153" s="4"/>
    </row>
    <row r="4154" spans="1:5" x14ac:dyDescent="0.3">
      <c r="A4154" s="9">
        <v>4146</v>
      </c>
      <c r="B4154" s="10">
        <f t="shared" ca="1" si="64"/>
        <v>7.7565728830092592E-2</v>
      </c>
      <c r="C4154" s="10">
        <f ca="1">NPV(B4154,Project_FCF!C18:J18)+Project_FCF!B18</f>
        <v>959.03109182333537</v>
      </c>
      <c r="D4154" s="4"/>
      <c r="E4154" s="4"/>
    </row>
    <row r="4155" spans="1:5" x14ac:dyDescent="0.3">
      <c r="A4155" s="9">
        <v>4147</v>
      </c>
      <c r="B4155" s="10">
        <f t="shared" ca="1" si="64"/>
        <v>7.786291111650874E-2</v>
      </c>
      <c r="C4155" s="10">
        <f ca="1">NPV(B4155,Project_FCF!C18:J18)+Project_FCF!B18</f>
        <v>956.48425381906236</v>
      </c>
      <c r="D4155" s="4"/>
      <c r="E4155" s="4"/>
    </row>
    <row r="4156" spans="1:5" x14ac:dyDescent="0.3">
      <c r="A4156" s="9">
        <v>4148</v>
      </c>
      <c r="B4156" s="10">
        <f t="shared" ca="1" si="64"/>
        <v>9.0274690552216305E-2</v>
      </c>
      <c r="C4156" s="10">
        <f ca="1">NPV(B4156,Project_FCF!C18:J18)+Project_FCF!B18</f>
        <v>855.29983670164529</v>
      </c>
      <c r="D4156" s="4"/>
      <c r="E4156" s="4"/>
    </row>
    <row r="4157" spans="1:5" x14ac:dyDescent="0.3">
      <c r="A4157" s="9">
        <v>4149</v>
      </c>
      <c r="B4157" s="10">
        <f t="shared" ca="1" si="64"/>
        <v>7.919092433463866E-2</v>
      </c>
      <c r="C4157" s="10">
        <f ca="1">NPV(B4157,Project_FCF!C18:J18)+Project_FCF!B18</f>
        <v>945.17655071183708</v>
      </c>
      <c r="D4157" s="4"/>
      <c r="E4157" s="4"/>
    </row>
    <row r="4158" spans="1:5" x14ac:dyDescent="0.3">
      <c r="A4158" s="9">
        <v>4150</v>
      </c>
      <c r="B4158" s="10">
        <f t="shared" ca="1" si="64"/>
        <v>6.8395877617097284E-2</v>
      </c>
      <c r="C4158" s="10">
        <f ca="1">NPV(B4158,Project_FCF!C18:J18)+Project_FCF!B18</f>
        <v>1040.6632538755971</v>
      </c>
      <c r="D4158" s="4"/>
      <c r="E4158" s="4"/>
    </row>
    <row r="4159" spans="1:5" x14ac:dyDescent="0.3">
      <c r="A4159" s="9">
        <v>4151</v>
      </c>
      <c r="B4159" s="10">
        <f t="shared" ca="1" si="64"/>
        <v>6.57429682467848E-2</v>
      </c>
      <c r="C4159" s="10">
        <f ca="1">NPV(B4159,Project_FCF!C18:J18)+Project_FCF!B18</f>
        <v>1065.4222359014952</v>
      </c>
      <c r="D4159" s="4"/>
      <c r="E4159" s="4"/>
    </row>
    <row r="4160" spans="1:5" x14ac:dyDescent="0.3">
      <c r="A4160" s="9">
        <v>4152</v>
      </c>
      <c r="B4160" s="10">
        <f t="shared" ca="1" si="64"/>
        <v>6.5999063382618267E-2</v>
      </c>
      <c r="C4160" s="10">
        <f ca="1">NPV(B4160,Project_FCF!C18:J18)+Project_FCF!B18</f>
        <v>1063.0090129271159</v>
      </c>
      <c r="D4160" s="4"/>
      <c r="E4160" s="4"/>
    </row>
    <row r="4161" spans="1:5" x14ac:dyDescent="0.3">
      <c r="A4161" s="9">
        <v>4153</v>
      </c>
      <c r="B4161" s="10">
        <f t="shared" ca="1" si="64"/>
        <v>6.496960027520314E-2</v>
      </c>
      <c r="C4161" s="10">
        <f ca="1">NPV(B4161,Project_FCF!C18:J18)+Project_FCF!B18</f>
        <v>1072.7401369556774</v>
      </c>
      <c r="D4161" s="4"/>
      <c r="E4161" s="4"/>
    </row>
    <row r="4162" spans="1:5" x14ac:dyDescent="0.3">
      <c r="A4162" s="9">
        <v>4154</v>
      </c>
      <c r="B4162" s="10">
        <f t="shared" ca="1" si="64"/>
        <v>9.2515127594544638E-2</v>
      </c>
      <c r="C4162" s="10">
        <f ca="1">NPV(B4162,Project_FCF!C18:J18)+Project_FCF!B18</f>
        <v>838.06678241560417</v>
      </c>
      <c r="D4162" s="4"/>
      <c r="E4162" s="4"/>
    </row>
    <row r="4163" spans="1:5" x14ac:dyDescent="0.3">
      <c r="A4163" s="9">
        <v>4155</v>
      </c>
      <c r="B4163" s="10">
        <f t="shared" ca="1" si="64"/>
        <v>6.8564571989718812E-2</v>
      </c>
      <c r="C4163" s="10">
        <f ca="1">NPV(B4163,Project_FCF!C18:J18)+Project_FCF!B18</f>
        <v>1039.1066786339079</v>
      </c>
      <c r="D4163" s="4"/>
      <c r="E4163" s="4"/>
    </row>
    <row r="4164" spans="1:5" x14ac:dyDescent="0.3">
      <c r="A4164" s="9">
        <v>4156</v>
      </c>
      <c r="B4164" s="10">
        <f t="shared" ca="1" si="64"/>
        <v>8.0946128634504289E-2</v>
      </c>
      <c r="C4164" s="10">
        <f ca="1">NPV(B4164,Project_FCF!C18:J18)+Project_FCF!B18</f>
        <v>930.41337013956786</v>
      </c>
      <c r="D4164" s="4"/>
      <c r="E4164" s="4"/>
    </row>
    <row r="4165" spans="1:5" x14ac:dyDescent="0.3">
      <c r="A4165" s="9">
        <v>4157</v>
      </c>
      <c r="B4165" s="10">
        <f t="shared" ca="1" si="64"/>
        <v>8.2732955664085783E-2</v>
      </c>
      <c r="C4165" s="10">
        <f ca="1">NPV(B4165,Project_FCF!C18:J18)+Project_FCF!B18</f>
        <v>915.59390331142549</v>
      </c>
      <c r="D4165" s="4"/>
      <c r="E4165" s="4"/>
    </row>
    <row r="4166" spans="1:5" x14ac:dyDescent="0.3">
      <c r="A4166" s="9">
        <v>4158</v>
      </c>
      <c r="B4166" s="10">
        <f t="shared" ca="1" si="64"/>
        <v>8.341102534950709E-2</v>
      </c>
      <c r="C4166" s="10">
        <f ca="1">NPV(B4166,Project_FCF!C18:J18)+Project_FCF!B18</f>
        <v>910.02485241041268</v>
      </c>
      <c r="D4166" s="4"/>
      <c r="E4166" s="4"/>
    </row>
    <row r="4167" spans="1:5" x14ac:dyDescent="0.3">
      <c r="A4167" s="9">
        <v>4159</v>
      </c>
      <c r="B4167" s="10">
        <f t="shared" ca="1" si="64"/>
        <v>0.10318764259261143</v>
      </c>
      <c r="C4167" s="10">
        <f ca="1">NPV(B4167,Project_FCF!C18:J18)+Project_FCF!B18</f>
        <v>759.99160532304063</v>
      </c>
      <c r="D4167" s="4"/>
      <c r="E4167" s="4"/>
    </row>
    <row r="4168" spans="1:5" x14ac:dyDescent="0.3">
      <c r="A4168" s="9">
        <v>4160</v>
      </c>
      <c r="B4168" s="10">
        <f t="shared" ca="1" si="64"/>
        <v>7.4093624654092111E-2</v>
      </c>
      <c r="C4168" s="10">
        <f ca="1">NPV(B4168,Project_FCF!C18:J18)+Project_FCF!B18</f>
        <v>989.23827911149874</v>
      </c>
      <c r="D4168" s="4"/>
      <c r="E4168" s="4"/>
    </row>
    <row r="4169" spans="1:5" x14ac:dyDescent="0.3">
      <c r="A4169" s="9">
        <v>4161</v>
      </c>
      <c r="B4169" s="10">
        <f t="shared" ref="B4169:B4232" ca="1" si="65">$B$4+RAND()*($B$5-$B$4)</f>
        <v>9.072380450413535E-2</v>
      </c>
      <c r="C4169" s="10">
        <f ca="1">NPV(B4169,Project_FCF!C18:J18)+Project_FCF!B18</f>
        <v>851.8210099751509</v>
      </c>
      <c r="D4169" s="4"/>
      <c r="E4169" s="4"/>
    </row>
    <row r="4170" spans="1:5" x14ac:dyDescent="0.3">
      <c r="A4170" s="9">
        <v>4162</v>
      </c>
      <c r="B4170" s="10">
        <f t="shared" ca="1" si="65"/>
        <v>9.3916792063282947E-2</v>
      </c>
      <c r="C4170" s="10">
        <f ca="1">NPV(B4170,Project_FCF!C18:J18)+Project_FCF!B18</f>
        <v>827.43828657269796</v>
      </c>
      <c r="D4170" s="4"/>
      <c r="E4170" s="4"/>
    </row>
    <row r="4171" spans="1:5" x14ac:dyDescent="0.3">
      <c r="A4171" s="9">
        <v>4163</v>
      </c>
      <c r="B4171" s="10">
        <f t="shared" ca="1" si="65"/>
        <v>8.1892695857609873E-2</v>
      </c>
      <c r="C4171" s="10">
        <f ca="1">NPV(B4171,Project_FCF!C18:J18)+Project_FCF!B18</f>
        <v>922.53665532147897</v>
      </c>
      <c r="D4171" s="4"/>
      <c r="E4171" s="4"/>
    </row>
    <row r="4172" spans="1:5" x14ac:dyDescent="0.3">
      <c r="A4172" s="9">
        <v>4164</v>
      </c>
      <c r="B4172" s="10">
        <f t="shared" ca="1" si="65"/>
        <v>8.6049431168605917E-2</v>
      </c>
      <c r="C4172" s="10">
        <f ca="1">NPV(B4172,Project_FCF!C18:J18)+Project_FCF!B18</f>
        <v>888.63728678261214</v>
      </c>
      <c r="D4172" s="4"/>
      <c r="E4172" s="4"/>
    </row>
    <row r="4173" spans="1:5" x14ac:dyDescent="0.3">
      <c r="A4173" s="9">
        <v>4165</v>
      </c>
      <c r="B4173" s="10">
        <f t="shared" ca="1" si="65"/>
        <v>8.2917988398764852E-2</v>
      </c>
      <c r="C4173" s="10">
        <f ca="1">NPV(B4173,Project_FCF!C18:J18)+Project_FCF!B18</f>
        <v>914.07124500308669</v>
      </c>
      <c r="D4173" s="4"/>
      <c r="E4173" s="4"/>
    </row>
    <row r="4174" spans="1:5" x14ac:dyDescent="0.3">
      <c r="A4174" s="9">
        <v>4166</v>
      </c>
      <c r="B4174" s="10">
        <f t="shared" ca="1" si="65"/>
        <v>8.4298530368958291E-2</v>
      </c>
      <c r="C4174" s="10">
        <f ca="1">NPV(B4174,Project_FCF!C18:J18)+Project_FCF!B18</f>
        <v>902.78068922030229</v>
      </c>
      <c r="D4174" s="4"/>
      <c r="E4174" s="4"/>
    </row>
    <row r="4175" spans="1:5" x14ac:dyDescent="0.3">
      <c r="A4175" s="9">
        <v>4167</v>
      </c>
      <c r="B4175" s="10">
        <f t="shared" ca="1" si="65"/>
        <v>9.661312779687084E-2</v>
      </c>
      <c r="C4175" s="10">
        <f ca="1">NPV(B4175,Project_FCF!C18:J18)+Project_FCF!B18</f>
        <v>807.31730044815595</v>
      </c>
      <c r="D4175" s="4"/>
      <c r="E4175" s="4"/>
    </row>
    <row r="4176" spans="1:5" x14ac:dyDescent="0.3">
      <c r="A4176" s="9">
        <v>4168</v>
      </c>
      <c r="B4176" s="10">
        <f t="shared" ca="1" si="65"/>
        <v>7.3017739005649618E-2</v>
      </c>
      <c r="C4176" s="10">
        <f ca="1">NPV(B4176,Project_FCF!C18:J18)+Project_FCF!B18</f>
        <v>998.76971691097538</v>
      </c>
      <c r="D4176" s="4"/>
      <c r="E4176" s="4"/>
    </row>
    <row r="4177" spans="1:5" x14ac:dyDescent="0.3">
      <c r="A4177" s="9">
        <v>4169</v>
      </c>
      <c r="B4177" s="10">
        <f t="shared" ca="1" si="65"/>
        <v>0.10057584405996722</v>
      </c>
      <c r="C4177" s="10">
        <f ca="1">NPV(B4177,Project_FCF!C18:J18)+Project_FCF!B18</f>
        <v>778.50331186769381</v>
      </c>
      <c r="D4177" s="4"/>
      <c r="E4177" s="4"/>
    </row>
    <row r="4178" spans="1:5" x14ac:dyDescent="0.3">
      <c r="A4178" s="9">
        <v>4170</v>
      </c>
      <c r="B4178" s="10">
        <f t="shared" ca="1" si="65"/>
        <v>8.9259689993887309E-2</v>
      </c>
      <c r="C4178" s="10">
        <f ca="1">NPV(B4178,Project_FCF!C18:J18)+Project_FCF!B18</f>
        <v>863.20736930771272</v>
      </c>
      <c r="D4178" s="4"/>
      <c r="E4178" s="4"/>
    </row>
    <row r="4179" spans="1:5" x14ac:dyDescent="0.3">
      <c r="A4179" s="9">
        <v>4171</v>
      </c>
      <c r="B4179" s="10">
        <f t="shared" ca="1" si="65"/>
        <v>7.4722644709249941E-2</v>
      </c>
      <c r="C4179" s="10">
        <f ca="1">NPV(B4179,Project_FCF!C18:J18)+Project_FCF!B18</f>
        <v>983.70355290442194</v>
      </c>
      <c r="D4179" s="4"/>
      <c r="E4179" s="4"/>
    </row>
    <row r="4180" spans="1:5" x14ac:dyDescent="0.3">
      <c r="A4180" s="9">
        <v>4172</v>
      </c>
      <c r="B4180" s="10">
        <f t="shared" ca="1" si="65"/>
        <v>7.3458040271829478E-2</v>
      </c>
      <c r="C4180" s="10">
        <f ca="1">NPV(B4180,Project_FCF!C18:J18)+Project_FCF!B18</f>
        <v>994.85910224206395</v>
      </c>
      <c r="D4180" s="4"/>
      <c r="E4180" s="4"/>
    </row>
    <row r="4181" spans="1:5" x14ac:dyDescent="0.3">
      <c r="A4181" s="9">
        <v>4173</v>
      </c>
      <c r="B4181" s="10">
        <f t="shared" ca="1" si="65"/>
        <v>9.3569069311695896E-2</v>
      </c>
      <c r="C4181" s="10">
        <f ca="1">NPV(B4181,Project_FCF!C18:J18)+Project_FCF!B18</f>
        <v>830.06412060796242</v>
      </c>
      <c r="D4181" s="4"/>
      <c r="E4181" s="4"/>
    </row>
    <row r="4182" spans="1:5" x14ac:dyDescent="0.3">
      <c r="A4182" s="9">
        <v>4174</v>
      </c>
      <c r="B4182" s="10">
        <f t="shared" ca="1" si="65"/>
        <v>9.2656304232661121E-2</v>
      </c>
      <c r="C4182" s="10">
        <f ca="1">NPV(B4182,Project_FCF!C18:J18)+Project_FCF!B18</f>
        <v>836.99098188394532</v>
      </c>
      <c r="D4182" s="4"/>
      <c r="E4182" s="4"/>
    </row>
    <row r="4183" spans="1:5" x14ac:dyDescent="0.3">
      <c r="A4183" s="9">
        <v>4175</v>
      </c>
      <c r="B4183" s="10">
        <f t="shared" ca="1" si="65"/>
        <v>8.9085768781521787E-2</v>
      </c>
      <c r="C4183" s="10">
        <f ca="1">NPV(B4183,Project_FCF!C18:J18)+Project_FCF!B18</f>
        <v>864.56867433482989</v>
      </c>
      <c r="D4183" s="4"/>
      <c r="E4183" s="4"/>
    </row>
    <row r="4184" spans="1:5" x14ac:dyDescent="0.3">
      <c r="A4184" s="9">
        <v>4176</v>
      </c>
      <c r="B4184" s="10">
        <f t="shared" ca="1" si="65"/>
        <v>9.463344670355088E-2</v>
      </c>
      <c r="C4184" s="10">
        <f ca="1">NPV(B4184,Project_FCF!C18:J18)+Project_FCF!B18</f>
        <v>822.04893358914296</v>
      </c>
      <c r="D4184" s="4"/>
      <c r="E4184" s="4"/>
    </row>
    <row r="4185" spans="1:5" x14ac:dyDescent="0.3">
      <c r="A4185" s="9">
        <v>4177</v>
      </c>
      <c r="B4185" s="10">
        <f t="shared" ca="1" si="65"/>
        <v>9.3615470385984528E-2</v>
      </c>
      <c r="C4185" s="10">
        <f ca="1">NPV(B4185,Project_FCF!C18:J18)+Project_FCF!B18</f>
        <v>829.71330891159801</v>
      </c>
      <c r="D4185" s="4"/>
      <c r="E4185" s="4"/>
    </row>
    <row r="4186" spans="1:5" x14ac:dyDescent="0.3">
      <c r="A4186" s="9">
        <v>4178</v>
      </c>
      <c r="B4186" s="10">
        <f t="shared" ca="1" si="65"/>
        <v>8.5133217072574152E-2</v>
      </c>
      <c r="C4186" s="10">
        <f ca="1">NPV(B4186,Project_FCF!C18:J18)+Project_FCF!B18</f>
        <v>896.01387173455123</v>
      </c>
      <c r="D4186" s="4"/>
      <c r="E4186" s="4"/>
    </row>
    <row r="4187" spans="1:5" x14ac:dyDescent="0.3">
      <c r="A4187" s="9">
        <v>4179</v>
      </c>
      <c r="B4187" s="10">
        <f t="shared" ca="1" si="65"/>
        <v>8.9068811392332484E-2</v>
      </c>
      <c r="C4187" s="10">
        <f ca="1">NPV(B4187,Project_FCF!C18:J18)+Project_FCF!B18</f>
        <v>864.701501771018</v>
      </c>
      <c r="D4187" s="4"/>
      <c r="E4187" s="4"/>
    </row>
    <row r="4188" spans="1:5" x14ac:dyDescent="0.3">
      <c r="A4188" s="9">
        <v>4180</v>
      </c>
      <c r="B4188" s="10">
        <f t="shared" ca="1" si="65"/>
        <v>0.10186484128462171</v>
      </c>
      <c r="C4188" s="10">
        <f ca="1">NPV(B4188,Project_FCF!C18:J18)+Project_FCF!B18</f>
        <v>769.3203871207545</v>
      </c>
      <c r="D4188" s="4"/>
      <c r="E4188" s="4"/>
    </row>
    <row r="4189" spans="1:5" x14ac:dyDescent="0.3">
      <c r="A4189" s="9">
        <v>4181</v>
      </c>
      <c r="B4189" s="10">
        <f t="shared" ca="1" si="65"/>
        <v>8.7267137771395192E-2</v>
      </c>
      <c r="C4189" s="10">
        <f ca="1">NPV(B4189,Project_FCF!C18:J18)+Project_FCF!B18</f>
        <v>878.91550038518562</v>
      </c>
      <c r="D4189" s="4"/>
      <c r="E4189" s="4"/>
    </row>
    <row r="4190" spans="1:5" x14ac:dyDescent="0.3">
      <c r="A4190" s="9">
        <v>4182</v>
      </c>
      <c r="B4190" s="10">
        <f t="shared" ca="1" si="65"/>
        <v>0.10313219572737273</v>
      </c>
      <c r="C4190" s="10">
        <f ca="1">NPV(B4190,Project_FCF!C18:J18)+Project_FCF!B18</f>
        <v>760.38071577072492</v>
      </c>
      <c r="D4190" s="4"/>
      <c r="E4190" s="4"/>
    </row>
    <row r="4191" spans="1:5" x14ac:dyDescent="0.3">
      <c r="A4191" s="9">
        <v>4183</v>
      </c>
      <c r="B4191" s="10">
        <f t="shared" ca="1" si="65"/>
        <v>9.9125570647760036E-2</v>
      </c>
      <c r="C4191" s="10">
        <f ca="1">NPV(B4191,Project_FCF!C18:J18)+Project_FCF!B18</f>
        <v>788.94569620329366</v>
      </c>
      <c r="D4191" s="4"/>
      <c r="E4191" s="4"/>
    </row>
    <row r="4192" spans="1:5" x14ac:dyDescent="0.3">
      <c r="A4192" s="9">
        <v>4184</v>
      </c>
      <c r="B4192" s="10">
        <f t="shared" ca="1" si="65"/>
        <v>7.3605258896304079E-2</v>
      </c>
      <c r="C4192" s="10">
        <f ca="1">NPV(B4192,Project_FCF!C18:J18)+Project_FCF!B18</f>
        <v>993.55462338877328</v>
      </c>
      <c r="D4192" s="4"/>
      <c r="E4192" s="4"/>
    </row>
    <row r="4193" spans="1:5" x14ac:dyDescent="0.3">
      <c r="A4193" s="9">
        <v>4185</v>
      </c>
      <c r="B4193" s="10">
        <f t="shared" ca="1" si="65"/>
        <v>6.5473006846774554E-2</v>
      </c>
      <c r="C4193" s="10">
        <f ca="1">NPV(B4193,Project_FCF!C18:J18)+Project_FCF!B18</f>
        <v>1067.9715260912512</v>
      </c>
      <c r="D4193" s="4"/>
      <c r="E4193" s="4"/>
    </row>
    <row r="4194" spans="1:5" x14ac:dyDescent="0.3">
      <c r="A4194" s="9">
        <v>4186</v>
      </c>
      <c r="B4194" s="10">
        <f t="shared" ca="1" si="65"/>
        <v>0.10257309640826091</v>
      </c>
      <c r="C4194" s="10">
        <f ca="1">NPV(B4194,Project_FCF!C18:J18)+Project_FCF!B18</f>
        <v>764.31367099643103</v>
      </c>
      <c r="D4194" s="4"/>
      <c r="E4194" s="4"/>
    </row>
    <row r="4195" spans="1:5" x14ac:dyDescent="0.3">
      <c r="A4195" s="9">
        <v>4187</v>
      </c>
      <c r="B4195" s="10">
        <f t="shared" ca="1" si="65"/>
        <v>8.1708143287647514E-2</v>
      </c>
      <c r="C4195" s="10">
        <f ca="1">NPV(B4195,Project_FCF!C18:J18)+Project_FCF!B18</f>
        <v>924.06774544636255</v>
      </c>
      <c r="D4195" s="4"/>
      <c r="E4195" s="4"/>
    </row>
    <row r="4196" spans="1:5" x14ac:dyDescent="0.3">
      <c r="A4196" s="9">
        <v>4188</v>
      </c>
      <c r="B4196" s="10">
        <f t="shared" ca="1" si="65"/>
        <v>8.9995982998591462E-2</v>
      </c>
      <c r="C4196" s="10">
        <f ca="1">NPV(B4196,Project_FCF!C18:J18)+Project_FCF!B18</f>
        <v>857.46487739038821</v>
      </c>
      <c r="D4196" s="4"/>
      <c r="E4196" s="4"/>
    </row>
    <row r="4197" spans="1:5" x14ac:dyDescent="0.3">
      <c r="A4197" s="9">
        <v>4189</v>
      </c>
      <c r="B4197" s="10">
        <f t="shared" ca="1" si="65"/>
        <v>6.4383439615812318E-2</v>
      </c>
      <c r="C4197" s="10">
        <f ca="1">NPV(B4197,Project_FCF!C18:J18)+Project_FCF!B18</f>
        <v>1078.3171285954777</v>
      </c>
      <c r="D4197" s="4"/>
      <c r="E4197" s="4"/>
    </row>
    <row r="4198" spans="1:5" x14ac:dyDescent="0.3">
      <c r="A4198" s="9">
        <v>4190</v>
      </c>
      <c r="B4198" s="10">
        <f t="shared" ca="1" si="65"/>
        <v>9.46131638372084E-2</v>
      </c>
      <c r="C4198" s="10">
        <f ca="1">NPV(B4198,Project_FCF!C18:J18)+Project_FCF!B18</f>
        <v>822.20104896084922</v>
      </c>
      <c r="D4198" s="4"/>
      <c r="E4198" s="4"/>
    </row>
    <row r="4199" spans="1:5" x14ac:dyDescent="0.3">
      <c r="A4199" s="9">
        <v>4191</v>
      </c>
      <c r="B4199" s="10">
        <f t="shared" ca="1" si="65"/>
        <v>8.9438805208125582E-2</v>
      </c>
      <c r="C4199" s="10">
        <f ca="1">NPV(B4199,Project_FCF!C18:J18)+Project_FCF!B18</f>
        <v>861.8073545498562</v>
      </c>
      <c r="D4199" s="4"/>
      <c r="E4199" s="4"/>
    </row>
    <row r="4200" spans="1:5" x14ac:dyDescent="0.3">
      <c r="A4200" s="9">
        <v>4192</v>
      </c>
      <c r="B4200" s="10">
        <f t="shared" ca="1" si="65"/>
        <v>6.5845428058012037E-2</v>
      </c>
      <c r="C4200" s="10">
        <f ca="1">NPV(B4200,Project_FCF!C18:J18)+Project_FCF!B18</f>
        <v>1064.4561434505142</v>
      </c>
      <c r="D4200" s="4"/>
      <c r="E4200" s="4"/>
    </row>
    <row r="4201" spans="1:5" x14ac:dyDescent="0.3">
      <c r="A4201" s="9">
        <v>4193</v>
      </c>
      <c r="B4201" s="10">
        <f t="shared" ca="1" si="65"/>
        <v>7.2923233829104095E-2</v>
      </c>
      <c r="C4201" s="10">
        <f ca="1">NPV(B4201,Project_FCF!C18:J18)+Project_FCF!B18</f>
        <v>999.61087909035518</v>
      </c>
      <c r="D4201" s="4"/>
      <c r="E4201" s="4"/>
    </row>
    <row r="4202" spans="1:5" x14ac:dyDescent="0.3">
      <c r="A4202" s="9">
        <v>4194</v>
      </c>
      <c r="B4202" s="10">
        <f t="shared" ca="1" si="65"/>
        <v>9.6262390898491784E-2</v>
      </c>
      <c r="C4202" s="10">
        <f ca="1">NPV(B4202,Project_FCF!C18:J18)+Project_FCF!B18</f>
        <v>809.91071220445451</v>
      </c>
      <c r="D4202" s="4"/>
      <c r="E4202" s="4"/>
    </row>
    <row r="4203" spans="1:5" x14ac:dyDescent="0.3">
      <c r="A4203" s="9">
        <v>4195</v>
      </c>
      <c r="B4203" s="10">
        <f t="shared" ca="1" si="65"/>
        <v>8.140188259299011E-2</v>
      </c>
      <c r="C4203" s="10">
        <f ca="1">NPV(B4203,Project_FCF!C18:J18)+Project_FCF!B18</f>
        <v>926.61350230047469</v>
      </c>
      <c r="D4203" s="4"/>
      <c r="E4203" s="4"/>
    </row>
    <row r="4204" spans="1:5" x14ac:dyDescent="0.3">
      <c r="A4204" s="9">
        <v>4196</v>
      </c>
      <c r="B4204" s="10">
        <f t="shared" ca="1" si="65"/>
        <v>8.4847871714306744E-2</v>
      </c>
      <c r="C4204" s="10">
        <f ca="1">NPV(B4204,Project_FCF!C18:J18)+Project_FCF!B18</f>
        <v>898.32215216213012</v>
      </c>
      <c r="D4204" s="4"/>
      <c r="E4204" s="4"/>
    </row>
    <row r="4205" spans="1:5" x14ac:dyDescent="0.3">
      <c r="A4205" s="9">
        <v>4197</v>
      </c>
      <c r="B4205" s="10">
        <f t="shared" ca="1" si="65"/>
        <v>6.8852363770929098E-2</v>
      </c>
      <c r="C4205" s="10">
        <f ca="1">NPV(B4205,Project_FCF!C18:J18)+Project_FCF!B18</f>
        <v>1036.4560379102602</v>
      </c>
      <c r="D4205" s="4"/>
      <c r="E4205" s="4"/>
    </row>
    <row r="4206" spans="1:5" x14ac:dyDescent="0.3">
      <c r="A4206" s="9">
        <v>4198</v>
      </c>
      <c r="B4206" s="10">
        <f t="shared" ca="1" si="65"/>
        <v>8.0450613679439884E-2</v>
      </c>
      <c r="C4206" s="10">
        <f ca="1">NPV(B4206,Project_FCF!C18:J18)+Project_FCF!B18</f>
        <v>934.56036756238086</v>
      </c>
      <c r="D4206" s="4"/>
      <c r="E4206" s="4"/>
    </row>
    <row r="4207" spans="1:5" x14ac:dyDescent="0.3">
      <c r="A4207" s="9">
        <v>4199</v>
      </c>
      <c r="B4207" s="10">
        <f t="shared" ca="1" si="65"/>
        <v>7.7450493902150017E-2</v>
      </c>
      <c r="C4207" s="10">
        <f ca="1">NPV(B4207,Project_FCF!C18:J18)+Project_FCF!B18</f>
        <v>960.02027233962258</v>
      </c>
      <c r="D4207" s="4"/>
      <c r="E4207" s="4"/>
    </row>
    <row r="4208" spans="1:5" x14ac:dyDescent="0.3">
      <c r="A4208" s="9">
        <v>4200</v>
      </c>
      <c r="B4208" s="10">
        <f t="shared" ca="1" si="65"/>
        <v>9.6133849774358376E-2</v>
      </c>
      <c r="C4208" s="10">
        <f ca="1">NPV(B4208,Project_FCF!C18:J18)+Project_FCF!B18</f>
        <v>810.86294699902555</v>
      </c>
      <c r="D4208" s="4"/>
      <c r="E4208" s="4"/>
    </row>
    <row r="4209" spans="1:5" x14ac:dyDescent="0.3">
      <c r="A4209" s="9">
        <v>4201</v>
      </c>
      <c r="B4209" s="10">
        <f t="shared" ca="1" si="65"/>
        <v>7.3693325465181356E-2</v>
      </c>
      <c r="C4209" s="10">
        <f ca="1">NPV(B4209,Project_FCF!C18:J18)+Project_FCF!B18</f>
        <v>992.77501460226836</v>
      </c>
      <c r="D4209" s="4"/>
      <c r="E4209" s="4"/>
    </row>
    <row r="4210" spans="1:5" x14ac:dyDescent="0.3">
      <c r="A4210" s="9">
        <v>4202</v>
      </c>
      <c r="B4210" s="10">
        <f t="shared" ca="1" si="65"/>
        <v>0.10177001995091575</v>
      </c>
      <c r="C4210" s="10">
        <f ca="1">NPV(B4210,Project_FCF!C18:J18)+Project_FCF!B18</f>
        <v>769.99277679118586</v>
      </c>
      <c r="D4210" s="4"/>
      <c r="E4210" s="4"/>
    </row>
    <row r="4211" spans="1:5" x14ac:dyDescent="0.3">
      <c r="A4211" s="9">
        <v>4203</v>
      </c>
      <c r="B4211" s="10">
        <f t="shared" ca="1" si="65"/>
        <v>7.3896757573096605E-2</v>
      </c>
      <c r="C4211" s="10">
        <f ca="1">NPV(B4211,Project_FCF!C18:J18)+Project_FCF!B18</f>
        <v>990.9762305921297</v>
      </c>
      <c r="D4211" s="4"/>
      <c r="E4211" s="4"/>
    </row>
    <row r="4212" spans="1:5" x14ac:dyDescent="0.3">
      <c r="A4212" s="9">
        <v>4204</v>
      </c>
      <c r="B4212" s="10">
        <f t="shared" ca="1" si="65"/>
        <v>0.10161257574293331</v>
      </c>
      <c r="C4212" s="10">
        <f ca="1">NPV(B4212,Project_FCF!C18:J18)+Project_FCF!B18</f>
        <v>771.11032587083992</v>
      </c>
      <c r="D4212" s="4"/>
      <c r="E4212" s="4"/>
    </row>
    <row r="4213" spans="1:5" x14ac:dyDescent="0.3">
      <c r="A4213" s="9">
        <v>4205</v>
      </c>
      <c r="B4213" s="10">
        <f t="shared" ca="1" si="65"/>
        <v>7.0485906303083851E-2</v>
      </c>
      <c r="C4213" s="10">
        <f ca="1">NPV(B4213,Project_FCF!C18:J18)+Project_FCF!B18</f>
        <v>1021.5262548353817</v>
      </c>
      <c r="D4213" s="4"/>
      <c r="E4213" s="4"/>
    </row>
    <row r="4214" spans="1:5" x14ac:dyDescent="0.3">
      <c r="A4214" s="9">
        <v>4206</v>
      </c>
      <c r="B4214" s="10">
        <f t="shared" ca="1" si="65"/>
        <v>9.5569085936046946E-2</v>
      </c>
      <c r="C4214" s="10">
        <f ca="1">NPV(B4214,Project_FCF!C18:J18)+Project_FCF!B18</f>
        <v>815.05806607883301</v>
      </c>
      <c r="D4214" s="4"/>
      <c r="E4214" s="4"/>
    </row>
    <row r="4215" spans="1:5" x14ac:dyDescent="0.3">
      <c r="A4215" s="9">
        <v>4207</v>
      </c>
      <c r="B4215" s="10">
        <f t="shared" ca="1" si="65"/>
        <v>6.6027592839003599E-2</v>
      </c>
      <c r="C4215" s="10">
        <f ca="1">NPV(B4215,Project_FCF!C18:J18)+Project_FCF!B18</f>
        <v>1062.7404840000058</v>
      </c>
      <c r="D4215" s="4"/>
      <c r="E4215" s="4"/>
    </row>
    <row r="4216" spans="1:5" x14ac:dyDescent="0.3">
      <c r="A4216" s="9">
        <v>4208</v>
      </c>
      <c r="B4216" s="10">
        <f t="shared" ca="1" si="65"/>
        <v>9.6197813443466104E-2</v>
      </c>
      <c r="C4216" s="10">
        <f ca="1">NPV(B4216,Project_FCF!C18:J18)+Project_FCF!B18</f>
        <v>810.38898367283673</v>
      </c>
      <c r="D4216" s="4"/>
      <c r="E4216" s="4"/>
    </row>
    <row r="4217" spans="1:5" x14ac:dyDescent="0.3">
      <c r="A4217" s="9">
        <v>4209</v>
      </c>
      <c r="B4217" s="10">
        <f t="shared" ca="1" si="65"/>
        <v>9.371526621034279E-2</v>
      </c>
      <c r="C4217" s="10">
        <f ca="1">NPV(B4217,Project_FCF!C18:J18)+Project_FCF!B18</f>
        <v>828.95924183900775</v>
      </c>
      <c r="D4217" s="4"/>
      <c r="E4217" s="4"/>
    </row>
    <row r="4218" spans="1:5" x14ac:dyDescent="0.3">
      <c r="A4218" s="9">
        <v>4210</v>
      </c>
      <c r="B4218" s="10">
        <f t="shared" ca="1" si="65"/>
        <v>7.1630848667188274E-2</v>
      </c>
      <c r="C4218" s="10">
        <f ca="1">NPV(B4218,Project_FCF!C18:J18)+Project_FCF!B18</f>
        <v>1011.1781112383937</v>
      </c>
      <c r="D4218" s="4"/>
      <c r="E4218" s="4"/>
    </row>
    <row r="4219" spans="1:5" x14ac:dyDescent="0.3">
      <c r="A4219" s="9">
        <v>4211</v>
      </c>
      <c r="B4219" s="10">
        <f t="shared" ca="1" si="65"/>
        <v>7.4206645975873328E-2</v>
      </c>
      <c r="C4219" s="10">
        <f ca="1">NPV(B4219,Project_FCF!C18:J18)+Project_FCF!B18</f>
        <v>988.24175687813727</v>
      </c>
      <c r="D4219" s="4"/>
      <c r="E4219" s="4"/>
    </row>
    <row r="4220" spans="1:5" x14ac:dyDescent="0.3">
      <c r="A4220" s="9">
        <v>4212</v>
      </c>
      <c r="B4220" s="10">
        <f t="shared" ca="1" si="65"/>
        <v>0.1039439935472016</v>
      </c>
      <c r="C4220" s="10">
        <f ca="1">NPV(B4220,Project_FCF!C18:J18)+Project_FCF!B18</f>
        <v>754.70039636757429</v>
      </c>
      <c r="D4220" s="4"/>
      <c r="E4220" s="4"/>
    </row>
    <row r="4221" spans="1:5" x14ac:dyDescent="0.3">
      <c r="A4221" s="9">
        <v>4213</v>
      </c>
      <c r="B4221" s="10">
        <f t="shared" ca="1" si="65"/>
        <v>7.0236858275162753E-2</v>
      </c>
      <c r="C4221" s="10">
        <f ca="1">NPV(B4221,Project_FCF!C18:J18)+Project_FCF!B18</f>
        <v>1023.7897983408534</v>
      </c>
      <c r="D4221" s="4"/>
      <c r="E4221" s="4"/>
    </row>
    <row r="4222" spans="1:5" x14ac:dyDescent="0.3">
      <c r="A4222" s="9">
        <v>4214</v>
      </c>
      <c r="B4222" s="10">
        <f t="shared" ca="1" si="65"/>
        <v>8.3924433247190733E-2</v>
      </c>
      <c r="C4222" s="10">
        <f ca="1">NPV(B4222,Project_FCF!C18:J18)+Project_FCF!B18</f>
        <v>905.82801813659421</v>
      </c>
      <c r="D4222" s="4"/>
      <c r="E4222" s="4"/>
    </row>
    <row r="4223" spans="1:5" x14ac:dyDescent="0.3">
      <c r="A4223" s="9">
        <v>4215</v>
      </c>
      <c r="B4223" s="10">
        <f t="shared" ca="1" si="65"/>
        <v>9.6587715093816667E-2</v>
      </c>
      <c r="C4223" s="10">
        <f ca="1">NPV(B4223,Project_FCF!C18:J18)+Project_FCF!B18</f>
        <v>807.50496819111754</v>
      </c>
      <c r="D4223" s="4"/>
      <c r="E4223" s="4"/>
    </row>
    <row r="4224" spans="1:5" x14ac:dyDescent="0.3">
      <c r="A4224" s="9">
        <v>4216</v>
      </c>
      <c r="B4224" s="10">
        <f t="shared" ca="1" si="65"/>
        <v>0.10237518488525692</v>
      </c>
      <c r="C4224" s="10">
        <f ca="1">NPV(B4224,Project_FCF!C18:J18)+Project_FCF!B18</f>
        <v>765.70995789246717</v>
      </c>
      <c r="D4224" s="4"/>
      <c r="E4224" s="4"/>
    </row>
    <row r="4225" spans="1:5" x14ac:dyDescent="0.3">
      <c r="A4225" s="9">
        <v>4217</v>
      </c>
      <c r="B4225" s="10">
        <f t="shared" ca="1" si="65"/>
        <v>8.0402812441261393E-2</v>
      </c>
      <c r="C4225" s="10">
        <f ca="1">NPV(B4225,Project_FCF!C18:J18)+Project_FCF!B18</f>
        <v>934.96128253019583</v>
      </c>
      <c r="D4225" s="4"/>
      <c r="E4225" s="4"/>
    </row>
    <row r="4226" spans="1:5" x14ac:dyDescent="0.3">
      <c r="A4226" s="9">
        <v>4218</v>
      </c>
      <c r="B4226" s="10">
        <f t="shared" ca="1" si="65"/>
        <v>6.8823792330644923E-2</v>
      </c>
      <c r="C4226" s="10">
        <f ca="1">NPV(B4226,Project_FCF!C18:J18)+Project_FCF!B18</f>
        <v>1036.7189145177636</v>
      </c>
      <c r="D4226" s="4"/>
      <c r="E4226" s="4"/>
    </row>
    <row r="4227" spans="1:5" x14ac:dyDescent="0.3">
      <c r="A4227" s="9">
        <v>4219</v>
      </c>
      <c r="B4227" s="10">
        <f t="shared" ca="1" si="65"/>
        <v>9.2683499657578383E-2</v>
      </c>
      <c r="C4227" s="10">
        <f ca="1">NPV(B4227,Project_FCF!C18:J18)+Project_FCF!B18</f>
        <v>836.78388273264909</v>
      </c>
      <c r="D4227" s="4"/>
      <c r="E4227" s="4"/>
    </row>
    <row r="4228" spans="1:5" x14ac:dyDescent="0.3">
      <c r="A4228" s="9">
        <v>4220</v>
      </c>
      <c r="B4228" s="10">
        <f t="shared" ca="1" si="65"/>
        <v>8.1172411784010121E-2</v>
      </c>
      <c r="C4228" s="10">
        <f ca="1">NPV(B4228,Project_FCF!C18:J18)+Project_FCF!B18</f>
        <v>928.52500782751099</v>
      </c>
      <c r="D4228" s="4"/>
      <c r="E4228" s="4"/>
    </row>
    <row r="4229" spans="1:5" x14ac:dyDescent="0.3">
      <c r="A4229" s="9">
        <v>4221</v>
      </c>
      <c r="B4229" s="10">
        <f t="shared" ca="1" si="65"/>
        <v>6.7556492231570356E-2</v>
      </c>
      <c r="C4229" s="10">
        <f ca="1">NPV(B4229,Project_FCF!C18:J18)+Project_FCF!B18</f>
        <v>1048.4399090109353</v>
      </c>
      <c r="D4229" s="4"/>
      <c r="E4229" s="4"/>
    </row>
    <row r="4230" spans="1:5" x14ac:dyDescent="0.3">
      <c r="A4230" s="9">
        <v>4222</v>
      </c>
      <c r="B4230" s="10">
        <f t="shared" ca="1" si="65"/>
        <v>9.0739518990486642E-2</v>
      </c>
      <c r="C4230" s="10">
        <f ca="1">NPV(B4230,Project_FCF!C18:J18)+Project_FCF!B18</f>
        <v>851.69950789274299</v>
      </c>
      <c r="D4230" s="4"/>
      <c r="E4230" s="4"/>
    </row>
    <row r="4231" spans="1:5" x14ac:dyDescent="0.3">
      <c r="A4231" s="9">
        <v>4223</v>
      </c>
      <c r="B4231" s="10">
        <f t="shared" ca="1" si="65"/>
        <v>8.1182310896134063E-2</v>
      </c>
      <c r="C4231" s="10">
        <f ca="1">NPV(B4231,Project_FCF!C18:J18)+Project_FCF!B18</f>
        <v>928.44247581084505</v>
      </c>
      <c r="D4231" s="4"/>
      <c r="E4231" s="4"/>
    </row>
    <row r="4232" spans="1:5" x14ac:dyDescent="0.3">
      <c r="A4232" s="9">
        <v>4224</v>
      </c>
      <c r="B4232" s="10">
        <f t="shared" ca="1" si="65"/>
        <v>7.2132580494573509E-2</v>
      </c>
      <c r="C4232" s="10">
        <f ca="1">NPV(B4232,Project_FCF!C18:J18)+Project_FCF!B18</f>
        <v>1006.6732370711504</v>
      </c>
      <c r="D4232" s="4"/>
      <c r="E4232" s="4"/>
    </row>
    <row r="4233" spans="1:5" x14ac:dyDescent="0.3">
      <c r="A4233" s="9">
        <v>4225</v>
      </c>
      <c r="B4233" s="10">
        <f t="shared" ref="B4233:B4296" ca="1" si="66">$B$4+RAND()*($B$5-$B$4)</f>
        <v>9.1196979858036264E-2</v>
      </c>
      <c r="C4233" s="10">
        <f ca="1">NPV(B4233,Project_FCF!C18:J18)+Project_FCF!B18</f>
        <v>848.16904821023286</v>
      </c>
      <c r="D4233" s="4"/>
      <c r="E4233" s="4"/>
    </row>
    <row r="4234" spans="1:5" x14ac:dyDescent="0.3">
      <c r="A4234" s="9">
        <v>4226</v>
      </c>
      <c r="B4234" s="10">
        <f t="shared" ca="1" si="66"/>
        <v>7.6883726186398979E-2</v>
      </c>
      <c r="C4234" s="10">
        <f ca="1">NPV(B4234,Project_FCF!C18:J18)+Project_FCF!B18</f>
        <v>964.89866253160949</v>
      </c>
      <c r="D4234" s="4"/>
      <c r="E4234" s="4"/>
    </row>
    <row r="4235" spans="1:5" x14ac:dyDescent="0.3">
      <c r="A4235" s="9">
        <v>4227</v>
      </c>
      <c r="B4235" s="10">
        <f t="shared" ca="1" si="66"/>
        <v>6.531160526477417E-2</v>
      </c>
      <c r="C4235" s="10">
        <f ca="1">NPV(B4235,Project_FCF!C18:J18)+Project_FCF!B18</f>
        <v>1069.498322487985</v>
      </c>
      <c r="D4235" s="4"/>
      <c r="E4235" s="4"/>
    </row>
    <row r="4236" spans="1:5" x14ac:dyDescent="0.3">
      <c r="A4236" s="9">
        <v>4228</v>
      </c>
      <c r="B4236" s="10">
        <f t="shared" ca="1" si="66"/>
        <v>0.10271371888935117</v>
      </c>
      <c r="C4236" s="10">
        <f ca="1">NPV(B4236,Project_FCF!C18:J18)+Project_FCF!B18</f>
        <v>763.32286512440555</v>
      </c>
      <c r="D4236" s="4"/>
      <c r="E4236" s="4"/>
    </row>
    <row r="4237" spans="1:5" x14ac:dyDescent="0.3">
      <c r="A4237" s="9">
        <v>4229</v>
      </c>
      <c r="B4237" s="10">
        <f t="shared" ca="1" si="66"/>
        <v>9.4256561450388965E-2</v>
      </c>
      <c r="C4237" s="10">
        <f ca="1">NPV(B4237,Project_FCF!C18:J18)+Project_FCF!B18</f>
        <v>824.87940307058943</v>
      </c>
      <c r="D4237" s="4"/>
      <c r="E4237" s="4"/>
    </row>
    <row r="4238" spans="1:5" x14ac:dyDescent="0.3">
      <c r="A4238" s="9">
        <v>4230</v>
      </c>
      <c r="B4238" s="10">
        <f t="shared" ca="1" si="66"/>
        <v>7.3218730114783914E-2</v>
      </c>
      <c r="C4238" s="10">
        <f ca="1">NPV(B4238,Project_FCF!C18:J18)+Project_FCF!B18</f>
        <v>996.98286922930174</v>
      </c>
      <c r="D4238" s="4"/>
      <c r="E4238" s="4"/>
    </row>
    <row r="4239" spans="1:5" x14ac:dyDescent="0.3">
      <c r="A4239" s="9">
        <v>4231</v>
      </c>
      <c r="B4239" s="10">
        <f t="shared" ca="1" si="66"/>
        <v>8.9272482531301794E-2</v>
      </c>
      <c r="C4239" s="10">
        <f ca="1">NPV(B4239,Project_FCF!C18:J18)+Project_FCF!B18</f>
        <v>863.10731385759141</v>
      </c>
      <c r="D4239" s="4"/>
      <c r="E4239" s="4"/>
    </row>
    <row r="4240" spans="1:5" x14ac:dyDescent="0.3">
      <c r="A4240" s="9">
        <v>4232</v>
      </c>
      <c r="B4240" s="10">
        <f t="shared" ca="1" si="66"/>
        <v>6.6011741527269727E-2</v>
      </c>
      <c r="C4240" s="10">
        <f ca="1">NPV(B4240,Project_FCF!C18:J18)+Project_FCF!B18</f>
        <v>1062.8896742993411</v>
      </c>
      <c r="D4240" s="4"/>
      <c r="E4240" s="4"/>
    </row>
    <row r="4241" spans="1:5" x14ac:dyDescent="0.3">
      <c r="A4241" s="9">
        <v>4233</v>
      </c>
      <c r="B4241" s="10">
        <f t="shared" ca="1" si="66"/>
        <v>9.9962935374985629E-2</v>
      </c>
      <c r="C4241" s="10">
        <f ca="1">NPV(B4241,Project_FCF!C18:J18)+Project_FCF!B18</f>
        <v>782.90207266130801</v>
      </c>
      <c r="D4241" s="4"/>
      <c r="E4241" s="4"/>
    </row>
    <row r="4242" spans="1:5" x14ac:dyDescent="0.3">
      <c r="A4242" s="9">
        <v>4234</v>
      </c>
      <c r="B4242" s="10">
        <f t="shared" ca="1" si="66"/>
        <v>7.2954666962615128E-2</v>
      </c>
      <c r="C4242" s="10">
        <f ca="1">NPV(B4242,Project_FCF!C18:J18)+Project_FCF!B18</f>
        <v>999.33103159783741</v>
      </c>
      <c r="D4242" s="4"/>
      <c r="E4242" s="4"/>
    </row>
    <row r="4243" spans="1:5" x14ac:dyDescent="0.3">
      <c r="A4243" s="9">
        <v>4235</v>
      </c>
      <c r="B4243" s="10">
        <f t="shared" ca="1" si="66"/>
        <v>6.6202250519217604E-2</v>
      </c>
      <c r="C4243" s="10">
        <f ca="1">NPV(B4243,Project_FCF!C18:J18)+Project_FCF!B18</f>
        <v>1061.0978926963035</v>
      </c>
      <c r="D4243" s="4"/>
      <c r="E4243" s="4"/>
    </row>
    <row r="4244" spans="1:5" x14ac:dyDescent="0.3">
      <c r="A4244" s="9">
        <v>4236</v>
      </c>
      <c r="B4244" s="10">
        <f t="shared" ca="1" si="66"/>
        <v>7.5295143688607777E-2</v>
      </c>
      <c r="C4244" s="10">
        <f ca="1">NPV(B4244,Project_FCF!C18:J18)+Project_FCF!B18</f>
        <v>978.69027087214727</v>
      </c>
      <c r="D4244" s="4"/>
      <c r="E4244" s="4"/>
    </row>
    <row r="4245" spans="1:5" x14ac:dyDescent="0.3">
      <c r="A4245" s="9">
        <v>4237</v>
      </c>
      <c r="B4245" s="10">
        <f t="shared" ca="1" si="66"/>
        <v>8.1745072673860761E-2</v>
      </c>
      <c r="C4245" s="10">
        <f ca="1">NPV(B4245,Project_FCF!C18:J18)+Project_FCF!B18</f>
        <v>923.76119157055109</v>
      </c>
      <c r="D4245" s="4"/>
      <c r="E4245" s="4"/>
    </row>
    <row r="4246" spans="1:5" x14ac:dyDescent="0.3">
      <c r="A4246" s="9">
        <v>4238</v>
      </c>
      <c r="B4246" s="10">
        <f t="shared" ca="1" si="66"/>
        <v>9.6746575080325387E-2</v>
      </c>
      <c r="C4246" s="10">
        <f ca="1">NPV(B4246,Project_FCF!C18:J18)+Project_FCF!B18</f>
        <v>806.33242920648854</v>
      </c>
      <c r="D4246" s="4"/>
      <c r="E4246" s="4"/>
    </row>
    <row r="4247" spans="1:5" x14ac:dyDescent="0.3">
      <c r="A4247" s="9">
        <v>4239</v>
      </c>
      <c r="B4247" s="10">
        <f t="shared" ca="1" si="66"/>
        <v>9.0969340536517299E-2</v>
      </c>
      <c r="C4247" s="10">
        <f ca="1">NPV(B4247,Project_FCF!C18:J18)+Project_FCF!B18</f>
        <v>849.92427303251384</v>
      </c>
      <c r="D4247" s="4"/>
      <c r="E4247" s="4"/>
    </row>
    <row r="4248" spans="1:5" x14ac:dyDescent="0.3">
      <c r="A4248" s="9">
        <v>4240</v>
      </c>
      <c r="B4248" s="10">
        <f t="shared" ca="1" si="66"/>
        <v>8.7512025475009636E-2</v>
      </c>
      <c r="C4248" s="10">
        <f ca="1">NPV(B4248,Project_FCF!C18:J18)+Project_FCF!B18</f>
        <v>876.97163882809582</v>
      </c>
      <c r="D4248" s="4"/>
      <c r="E4248" s="4"/>
    </row>
    <row r="4249" spans="1:5" x14ac:dyDescent="0.3">
      <c r="A4249" s="9">
        <v>4241</v>
      </c>
      <c r="B4249" s="10">
        <f t="shared" ca="1" si="66"/>
        <v>6.9876920031491485E-2</v>
      </c>
      <c r="C4249" s="10">
        <f ca="1">NPV(B4249,Project_FCF!C18:J18)+Project_FCF!B18</f>
        <v>1027.0692056452876</v>
      </c>
      <c r="D4249" s="4"/>
      <c r="E4249" s="4"/>
    </row>
    <row r="4250" spans="1:5" x14ac:dyDescent="0.3">
      <c r="A4250" s="9">
        <v>4242</v>
      </c>
      <c r="B4250" s="10">
        <f t="shared" ca="1" si="66"/>
        <v>6.4003321642061281E-2</v>
      </c>
      <c r="C4250" s="10">
        <f ca="1">NPV(B4250,Project_FCF!C18:J18)+Project_FCF!B18</f>
        <v>1081.9478796635105</v>
      </c>
      <c r="D4250" s="4"/>
      <c r="E4250" s="4"/>
    </row>
    <row r="4251" spans="1:5" x14ac:dyDescent="0.3">
      <c r="A4251" s="9">
        <v>4243</v>
      </c>
      <c r="B4251" s="10">
        <f t="shared" ca="1" si="66"/>
        <v>9.6087371188261939E-2</v>
      </c>
      <c r="C4251" s="10">
        <f ca="1">NPV(B4251,Project_FCF!C18:J18)+Project_FCF!B18</f>
        <v>811.20749635415314</v>
      </c>
      <c r="D4251" s="4"/>
      <c r="E4251" s="4"/>
    </row>
    <row r="4252" spans="1:5" x14ac:dyDescent="0.3">
      <c r="A4252" s="9">
        <v>4244</v>
      </c>
      <c r="B4252" s="10">
        <f t="shared" ca="1" si="66"/>
        <v>8.7541266481311927E-2</v>
      </c>
      <c r="C4252" s="10">
        <f ca="1">NPV(B4252,Project_FCF!C18:J18)+Project_FCF!B18</f>
        <v>876.73978106641289</v>
      </c>
      <c r="D4252" s="4"/>
      <c r="E4252" s="4"/>
    </row>
    <row r="4253" spans="1:5" x14ac:dyDescent="0.3">
      <c r="A4253" s="9">
        <v>4245</v>
      </c>
      <c r="B4253" s="10">
        <f t="shared" ca="1" si="66"/>
        <v>9.8633377916504325E-2</v>
      </c>
      <c r="C4253" s="10">
        <f ca="1">NPV(B4253,Project_FCF!C18:J18)+Project_FCF!B18</f>
        <v>792.51647603090964</v>
      </c>
      <c r="D4253" s="4"/>
      <c r="E4253" s="4"/>
    </row>
    <row r="4254" spans="1:5" x14ac:dyDescent="0.3">
      <c r="A4254" s="9">
        <v>4246</v>
      </c>
      <c r="B4254" s="10">
        <f t="shared" ca="1" si="66"/>
        <v>0.10114951225978208</v>
      </c>
      <c r="C4254" s="10">
        <f ca="1">NPV(B4254,Project_FCF!C18:J18)+Project_FCF!B18</f>
        <v>774.40510369682352</v>
      </c>
      <c r="D4254" s="4"/>
      <c r="E4254" s="4"/>
    </row>
    <row r="4255" spans="1:5" x14ac:dyDescent="0.3">
      <c r="A4255" s="9">
        <v>4247</v>
      </c>
      <c r="B4255" s="10">
        <f t="shared" ca="1" si="66"/>
        <v>6.401920951003634E-2</v>
      </c>
      <c r="C4255" s="10">
        <f ca="1">NPV(B4255,Project_FCF!C18:J18)+Project_FCF!B18</f>
        <v>1081.7959009905805</v>
      </c>
      <c r="D4255" s="4"/>
      <c r="E4255" s="4"/>
    </row>
    <row r="4256" spans="1:5" x14ac:dyDescent="0.3">
      <c r="A4256" s="9">
        <v>4248</v>
      </c>
      <c r="B4256" s="10">
        <f t="shared" ca="1" si="66"/>
        <v>7.7894958292964278E-2</v>
      </c>
      <c r="C4256" s="10">
        <f ca="1">NPV(B4256,Project_FCF!C18:J18)+Project_FCF!B18</f>
        <v>956.20997081272344</v>
      </c>
      <c r="D4256" s="4"/>
      <c r="E4256" s="4"/>
    </row>
    <row r="4257" spans="1:5" x14ac:dyDescent="0.3">
      <c r="A4257" s="9">
        <v>4249</v>
      </c>
      <c r="B4257" s="10">
        <f t="shared" ca="1" si="66"/>
        <v>6.9188510393697458E-2</v>
      </c>
      <c r="C4257" s="10">
        <f ca="1">NPV(B4257,Project_FCF!C18:J18)+Project_FCF!B18</f>
        <v>1033.3677906046005</v>
      </c>
      <c r="D4257" s="4"/>
      <c r="E4257" s="4"/>
    </row>
    <row r="4258" spans="1:5" x14ac:dyDescent="0.3">
      <c r="A4258" s="9">
        <v>4250</v>
      </c>
      <c r="B4258" s="10">
        <f t="shared" ca="1" si="66"/>
        <v>7.4354143703497536E-2</v>
      </c>
      <c r="C4258" s="10">
        <f ca="1">NPV(B4258,Project_FCF!C18:J18)+Project_FCF!B18</f>
        <v>986.94260532771727</v>
      </c>
      <c r="D4258" s="4"/>
      <c r="E4258" s="4"/>
    </row>
    <row r="4259" spans="1:5" x14ac:dyDescent="0.3">
      <c r="A4259" s="9">
        <v>4251</v>
      </c>
      <c r="B4259" s="10">
        <f t="shared" ca="1" si="66"/>
        <v>7.6905287806916273E-2</v>
      </c>
      <c r="C4259" s="10">
        <f ca="1">NPV(B4259,Project_FCF!C18:J18)+Project_FCF!B18</f>
        <v>964.71266990541403</v>
      </c>
      <c r="D4259" s="4"/>
      <c r="E4259" s="4"/>
    </row>
    <row r="4260" spans="1:5" x14ac:dyDescent="0.3">
      <c r="A4260" s="9">
        <v>4252</v>
      </c>
      <c r="B4260" s="10">
        <f t="shared" ca="1" si="66"/>
        <v>6.6601297986414371E-2</v>
      </c>
      <c r="C4260" s="10">
        <f ca="1">NPV(B4260,Project_FCF!C18:J18)+Project_FCF!B18</f>
        <v>1057.3536654741526</v>
      </c>
      <c r="D4260" s="4"/>
      <c r="E4260" s="4"/>
    </row>
    <row r="4261" spans="1:5" x14ac:dyDescent="0.3">
      <c r="A4261" s="9">
        <v>4253</v>
      </c>
      <c r="B4261" s="10">
        <f t="shared" ca="1" si="66"/>
        <v>7.9716071914140707E-2</v>
      </c>
      <c r="C4261" s="10">
        <f ca="1">NPV(B4261,Project_FCF!C18:J18)+Project_FCF!B18</f>
        <v>940.73789031549927</v>
      </c>
      <c r="D4261" s="4"/>
      <c r="E4261" s="4"/>
    </row>
    <row r="4262" spans="1:5" x14ac:dyDescent="0.3">
      <c r="A4262" s="9">
        <v>4254</v>
      </c>
      <c r="B4262" s="10">
        <f t="shared" ca="1" si="66"/>
        <v>7.8199754660627285E-2</v>
      </c>
      <c r="C4262" s="10">
        <f ca="1">NPV(B4262,Project_FCF!C18:J18)+Project_FCF!B18</f>
        <v>953.60479630497161</v>
      </c>
      <c r="D4262" s="4"/>
      <c r="E4262" s="4"/>
    </row>
    <row r="4263" spans="1:5" x14ac:dyDescent="0.3">
      <c r="A4263" s="9">
        <v>4255</v>
      </c>
      <c r="B4263" s="10">
        <f t="shared" ca="1" si="66"/>
        <v>6.7799240004154132E-2</v>
      </c>
      <c r="C4263" s="10">
        <f ca="1">NPV(B4263,Project_FCF!C18:J18)+Project_FCF!B18</f>
        <v>1046.1855215830915</v>
      </c>
      <c r="D4263" s="4"/>
      <c r="E4263" s="4"/>
    </row>
    <row r="4264" spans="1:5" x14ac:dyDescent="0.3">
      <c r="A4264" s="9">
        <v>4256</v>
      </c>
      <c r="B4264" s="10">
        <f t="shared" ca="1" si="66"/>
        <v>9.9324136865758583E-2</v>
      </c>
      <c r="C4264" s="10">
        <f ca="1">NPV(B4264,Project_FCF!C18:J18)+Project_FCF!B18</f>
        <v>787.50899633908398</v>
      </c>
      <c r="D4264" s="4"/>
      <c r="E4264" s="4"/>
    </row>
    <row r="4265" spans="1:5" x14ac:dyDescent="0.3">
      <c r="A4265" s="9">
        <v>4257</v>
      </c>
      <c r="B4265" s="10">
        <f t="shared" ca="1" si="66"/>
        <v>7.5694284354312316E-2</v>
      </c>
      <c r="C4265" s="10">
        <f ca="1">NPV(B4265,Project_FCF!C18:J18)+Project_FCF!B18</f>
        <v>975.20859144590486</v>
      </c>
      <c r="D4265" s="4"/>
      <c r="E4265" s="4"/>
    </row>
    <row r="4266" spans="1:5" x14ac:dyDescent="0.3">
      <c r="A4266" s="9">
        <v>4258</v>
      </c>
      <c r="B4266" s="10">
        <f t="shared" ca="1" si="66"/>
        <v>7.2751177034109896E-2</v>
      </c>
      <c r="C4266" s="10">
        <f ca="1">NPV(B4266,Project_FCF!C18:J18)+Project_FCF!B18</f>
        <v>1001.1439395464945</v>
      </c>
      <c r="D4266" s="4"/>
      <c r="E4266" s="4"/>
    </row>
    <row r="4267" spans="1:5" x14ac:dyDescent="0.3">
      <c r="A4267" s="9">
        <v>4259</v>
      </c>
      <c r="B4267" s="10">
        <f t="shared" ca="1" si="66"/>
        <v>7.4897858283608995E-2</v>
      </c>
      <c r="C4267" s="10">
        <f ca="1">NPV(B4267,Project_FCF!C18:J18)+Project_FCF!B18</f>
        <v>982.16680101595625</v>
      </c>
      <c r="D4267" s="4"/>
      <c r="E4267" s="4"/>
    </row>
    <row r="4268" spans="1:5" x14ac:dyDescent="0.3">
      <c r="A4268" s="9">
        <v>4260</v>
      </c>
      <c r="B4268" s="10">
        <f t="shared" ca="1" si="66"/>
        <v>8.8808054865970959E-2</v>
      </c>
      <c r="C4268" s="10">
        <f ca="1">NPV(B4268,Project_FCF!C18:J18)+Project_FCF!B18</f>
        <v>866.74624304197982</v>
      </c>
      <c r="D4268" s="4"/>
      <c r="E4268" s="4"/>
    </row>
    <row r="4269" spans="1:5" x14ac:dyDescent="0.3">
      <c r="A4269" s="9">
        <v>4261</v>
      </c>
      <c r="B4269" s="10">
        <f t="shared" ca="1" si="66"/>
        <v>0.10211087116767086</v>
      </c>
      <c r="C4269" s="10">
        <f ca="1">NPV(B4269,Project_FCF!C18:J18)+Project_FCF!B18</f>
        <v>767.57806339995273</v>
      </c>
      <c r="D4269" s="4"/>
      <c r="E4269" s="4"/>
    </row>
    <row r="4270" spans="1:5" x14ac:dyDescent="0.3">
      <c r="A4270" s="9">
        <v>4262</v>
      </c>
      <c r="B4270" s="10">
        <f t="shared" ca="1" si="66"/>
        <v>0.10203446861497739</v>
      </c>
      <c r="C4270" s="10">
        <f ca="1">NPV(B4270,Project_FCF!C18:J18)+Project_FCF!B18</f>
        <v>768.1187718419153</v>
      </c>
      <c r="D4270" s="4"/>
      <c r="E4270" s="4"/>
    </row>
    <row r="4271" spans="1:5" x14ac:dyDescent="0.3">
      <c r="A4271" s="9">
        <v>4263</v>
      </c>
      <c r="B4271" s="10">
        <f t="shared" ca="1" si="66"/>
        <v>6.5154549844082421E-2</v>
      </c>
      <c r="C4271" s="10">
        <f ca="1">NPV(B4271,Project_FCF!C18:J18)+Project_FCF!B18</f>
        <v>1070.9859162767659</v>
      </c>
      <c r="D4271" s="4"/>
      <c r="E4271" s="4"/>
    </row>
    <row r="4272" spans="1:5" x14ac:dyDescent="0.3">
      <c r="A4272" s="9">
        <v>4264</v>
      </c>
      <c r="B4272" s="10">
        <f t="shared" ca="1" si="66"/>
        <v>0.10132517317056595</v>
      </c>
      <c r="C4272" s="10">
        <f ca="1">NPV(B4272,Project_FCF!C18:J18)+Project_FCF!B18</f>
        <v>773.15385152302315</v>
      </c>
      <c r="D4272" s="4"/>
      <c r="E4272" s="4"/>
    </row>
    <row r="4273" spans="1:5" x14ac:dyDescent="0.3">
      <c r="A4273" s="9">
        <v>4265</v>
      </c>
      <c r="B4273" s="10">
        <f t="shared" ca="1" si="66"/>
        <v>7.1548354699275535E-2</v>
      </c>
      <c r="C4273" s="10">
        <f ca="1">NPV(B4273,Project_FCF!C18:J18)+Project_FCF!B18</f>
        <v>1011.9205310712421</v>
      </c>
      <c r="D4273" s="4"/>
      <c r="E4273" s="4"/>
    </row>
    <row r="4274" spans="1:5" x14ac:dyDescent="0.3">
      <c r="A4274" s="9">
        <v>4266</v>
      </c>
      <c r="B4274" s="10">
        <f t="shared" ca="1" si="66"/>
        <v>8.5313142178641915E-2</v>
      </c>
      <c r="C4274" s="10">
        <f ca="1">NPV(B4274,Project_FCF!C18:J18)+Project_FCF!B18</f>
        <v>894.56105280936231</v>
      </c>
      <c r="D4274" s="4"/>
      <c r="E4274" s="4"/>
    </row>
    <row r="4275" spans="1:5" x14ac:dyDescent="0.3">
      <c r="A4275" s="9">
        <v>4267</v>
      </c>
      <c r="B4275" s="10">
        <f t="shared" ca="1" si="66"/>
        <v>6.4057766906652741E-2</v>
      </c>
      <c r="C4275" s="10">
        <f ca="1">NPV(B4275,Project_FCF!C18:J18)+Project_FCF!B18</f>
        <v>1081.4271534083207</v>
      </c>
      <c r="D4275" s="4"/>
      <c r="E4275" s="4"/>
    </row>
    <row r="4276" spans="1:5" x14ac:dyDescent="0.3">
      <c r="A4276" s="9">
        <v>4268</v>
      </c>
      <c r="B4276" s="10">
        <f t="shared" ca="1" si="66"/>
        <v>6.4758289245963191E-2</v>
      </c>
      <c r="C4276" s="10">
        <f ca="1">NPV(B4276,Project_FCF!C18:J18)+Project_FCF!B18</f>
        <v>1074.7476010475202</v>
      </c>
      <c r="D4276" s="4"/>
      <c r="E4276" s="4"/>
    </row>
    <row r="4277" spans="1:5" x14ac:dyDescent="0.3">
      <c r="A4277" s="9">
        <v>4269</v>
      </c>
      <c r="B4277" s="10">
        <f t="shared" ca="1" si="66"/>
        <v>8.195528516065434E-2</v>
      </c>
      <c r="C4277" s="10">
        <f ca="1">NPV(B4277,Project_FCF!C18:J18)+Project_FCF!B18</f>
        <v>922.01790859235803</v>
      </c>
      <c r="D4277" s="4"/>
      <c r="E4277" s="4"/>
    </row>
    <row r="4278" spans="1:5" x14ac:dyDescent="0.3">
      <c r="A4278" s="9">
        <v>4270</v>
      </c>
      <c r="B4278" s="10">
        <f t="shared" ca="1" si="66"/>
        <v>7.7124074905234444E-2</v>
      </c>
      <c r="C4278" s="10">
        <f ca="1">NPV(B4278,Project_FCF!C18:J18)+Project_FCF!B18</f>
        <v>962.82719736350987</v>
      </c>
      <c r="D4278" s="4"/>
      <c r="E4278" s="4"/>
    </row>
    <row r="4279" spans="1:5" x14ac:dyDescent="0.3">
      <c r="A4279" s="9">
        <v>4271</v>
      </c>
      <c r="B4279" s="10">
        <f t="shared" ca="1" si="66"/>
        <v>9.2734538213441131E-2</v>
      </c>
      <c r="C4279" s="10">
        <f ca="1">NPV(B4279,Project_FCF!C18:J18)+Project_FCF!B18</f>
        <v>836.39533196430239</v>
      </c>
      <c r="D4279" s="4"/>
      <c r="E4279" s="4"/>
    </row>
    <row r="4280" spans="1:5" x14ac:dyDescent="0.3">
      <c r="A4280" s="9">
        <v>4272</v>
      </c>
      <c r="B4280" s="10">
        <f t="shared" ca="1" si="66"/>
        <v>0.10040155283419189</v>
      </c>
      <c r="C4280" s="10">
        <f ca="1">NPV(B4280,Project_FCF!C18:J18)+Project_FCF!B18</f>
        <v>779.75204531905251</v>
      </c>
      <c r="D4280" s="4"/>
      <c r="E4280" s="4"/>
    </row>
    <row r="4281" spans="1:5" x14ac:dyDescent="0.3">
      <c r="A4281" s="9">
        <v>4273</v>
      </c>
      <c r="B4281" s="10">
        <f t="shared" ca="1" si="66"/>
        <v>8.569517338284427E-2</v>
      </c>
      <c r="C4281" s="10">
        <f ca="1">NPV(B4281,Project_FCF!C18:J18)+Project_FCF!B18</f>
        <v>891.48314805049449</v>
      </c>
      <c r="D4281" s="4"/>
      <c r="E4281" s="4"/>
    </row>
    <row r="4282" spans="1:5" x14ac:dyDescent="0.3">
      <c r="A4282" s="9">
        <v>4274</v>
      </c>
      <c r="B4282" s="10">
        <f t="shared" ca="1" si="66"/>
        <v>7.2979362302154432E-2</v>
      </c>
      <c r="C4282" s="10">
        <f ca="1">NPV(B4282,Project_FCF!C18:J18)+Project_FCF!B18</f>
        <v>999.1112196991337</v>
      </c>
      <c r="D4282" s="4"/>
      <c r="E4282" s="4"/>
    </row>
    <row r="4283" spans="1:5" x14ac:dyDescent="0.3">
      <c r="A4283" s="9">
        <v>4275</v>
      </c>
      <c r="B4283" s="10">
        <f t="shared" ca="1" si="66"/>
        <v>7.2445108987316376E-2</v>
      </c>
      <c r="C4283" s="10">
        <f ca="1">NPV(B4283,Project_FCF!C18:J18)+Project_FCF!B18</f>
        <v>1003.8762917578167</v>
      </c>
      <c r="D4283" s="4"/>
      <c r="E4283" s="4"/>
    </row>
    <row r="4284" spans="1:5" x14ac:dyDescent="0.3">
      <c r="A4284" s="9">
        <v>4276</v>
      </c>
      <c r="B4284" s="10">
        <f t="shared" ca="1" si="66"/>
        <v>8.8127613782822994E-2</v>
      </c>
      <c r="C4284" s="10">
        <f ca="1">NPV(B4284,Project_FCF!C18:J18)+Project_FCF!B18</f>
        <v>872.1017691514146</v>
      </c>
      <c r="D4284" s="4"/>
      <c r="E4284" s="4"/>
    </row>
    <row r="4285" spans="1:5" x14ac:dyDescent="0.3">
      <c r="A4285" s="9">
        <v>4277</v>
      </c>
      <c r="B4285" s="10">
        <f t="shared" ca="1" si="66"/>
        <v>9.1184180542882604E-2</v>
      </c>
      <c r="C4285" s="10">
        <f ca="1">NPV(B4285,Project_FCF!C18:J18)+Project_FCF!B18</f>
        <v>848.2676548303607</v>
      </c>
      <c r="D4285" s="4"/>
      <c r="E4285" s="4"/>
    </row>
    <row r="4286" spans="1:5" x14ac:dyDescent="0.3">
      <c r="A4286" s="9">
        <v>4278</v>
      </c>
      <c r="B4286" s="10">
        <f t="shared" ca="1" si="66"/>
        <v>8.7294687264989318E-2</v>
      </c>
      <c r="C4286" s="10">
        <f ca="1">NPV(B4286,Project_FCF!C18:J18)+Project_FCF!B18</f>
        <v>878.69663164052417</v>
      </c>
      <c r="D4286" s="4"/>
      <c r="E4286" s="4"/>
    </row>
    <row r="4287" spans="1:5" x14ac:dyDescent="0.3">
      <c r="A4287" s="9">
        <v>4279</v>
      </c>
      <c r="B4287" s="10">
        <f t="shared" ca="1" si="66"/>
        <v>8.6560676193857836E-2</v>
      </c>
      <c r="C4287" s="10">
        <f ca="1">NPV(B4287,Project_FCF!C18:J18)+Project_FCF!B18</f>
        <v>884.54429595393594</v>
      </c>
      <c r="D4287" s="4"/>
      <c r="E4287" s="4"/>
    </row>
    <row r="4288" spans="1:5" x14ac:dyDescent="0.3">
      <c r="A4288" s="9">
        <v>4280</v>
      </c>
      <c r="B4288" s="10">
        <f t="shared" ca="1" si="66"/>
        <v>9.0918205707529787E-2</v>
      </c>
      <c r="C4288" s="10">
        <f ca="1">NPV(B4288,Project_FCF!C18:J18)+Project_FCF!B18</f>
        <v>850.31898225953455</v>
      </c>
      <c r="D4288" s="4"/>
      <c r="E4288" s="4"/>
    </row>
    <row r="4289" spans="1:5" x14ac:dyDescent="0.3">
      <c r="A4289" s="9">
        <v>4281</v>
      </c>
      <c r="B4289" s="10">
        <f t="shared" ca="1" si="66"/>
        <v>8.5101861229685299E-2</v>
      </c>
      <c r="C4289" s="10">
        <f ca="1">NPV(B4289,Project_FCF!C18:J18)+Project_FCF!B18</f>
        <v>896.26726816793644</v>
      </c>
      <c r="D4289" s="4"/>
      <c r="E4289" s="4"/>
    </row>
    <row r="4290" spans="1:5" x14ac:dyDescent="0.3">
      <c r="A4290" s="9">
        <v>4282</v>
      </c>
      <c r="B4290" s="10">
        <f t="shared" ca="1" si="66"/>
        <v>6.5022645976865828E-2</v>
      </c>
      <c r="C4290" s="10">
        <f ca="1">NPV(B4290,Project_FCF!C18:J18)+Project_FCF!B18</f>
        <v>1072.2367380240155</v>
      </c>
      <c r="D4290" s="4"/>
      <c r="E4290" s="4"/>
    </row>
    <row r="4291" spans="1:5" x14ac:dyDescent="0.3">
      <c r="A4291" s="9">
        <v>4283</v>
      </c>
      <c r="B4291" s="10">
        <f t="shared" ca="1" si="66"/>
        <v>7.8985947091433251E-2</v>
      </c>
      <c r="C4291" s="10">
        <f ca="1">NPV(B4291,Project_FCF!C18:J18)+Project_FCF!B18</f>
        <v>946.914095793245</v>
      </c>
      <c r="D4291" s="4"/>
      <c r="E4291" s="4"/>
    </row>
    <row r="4292" spans="1:5" x14ac:dyDescent="0.3">
      <c r="A4292" s="9">
        <v>4284</v>
      </c>
      <c r="B4292" s="10">
        <f t="shared" ca="1" si="66"/>
        <v>8.6476751062074267E-2</v>
      </c>
      <c r="C4292" s="10">
        <f ca="1">NPV(B4292,Project_FCF!C18:J18)+Project_FCF!B18</f>
        <v>885.21506271808585</v>
      </c>
      <c r="D4292" s="4"/>
      <c r="E4292" s="4"/>
    </row>
    <row r="4293" spans="1:5" x14ac:dyDescent="0.3">
      <c r="A4293" s="9">
        <v>4285</v>
      </c>
      <c r="B4293" s="10">
        <f t="shared" ca="1" si="66"/>
        <v>8.933334012171823E-2</v>
      </c>
      <c r="C4293" s="10">
        <f ca="1">NPV(B4293,Project_FCF!C18:J18)+Project_FCF!B18</f>
        <v>862.63146057694462</v>
      </c>
      <c r="D4293" s="4"/>
      <c r="E4293" s="4"/>
    </row>
    <row r="4294" spans="1:5" x14ac:dyDescent="0.3">
      <c r="A4294" s="9">
        <v>4286</v>
      </c>
      <c r="B4294" s="10">
        <f t="shared" ca="1" si="66"/>
        <v>0.10389322342200158</v>
      </c>
      <c r="C4294" s="10">
        <f ca="1">NPV(B4294,Project_FCF!C18:J18)+Project_FCF!B18</f>
        <v>755.05460009752255</v>
      </c>
      <c r="D4294" s="4"/>
      <c r="E4294" s="4"/>
    </row>
    <row r="4295" spans="1:5" x14ac:dyDescent="0.3">
      <c r="A4295" s="9">
        <v>4287</v>
      </c>
      <c r="B4295" s="10">
        <f t="shared" ca="1" si="66"/>
        <v>9.574284678888674E-2</v>
      </c>
      <c r="C4295" s="10">
        <f ca="1">NPV(B4295,Project_FCF!C18:J18)+Project_FCF!B18</f>
        <v>813.76538351160684</v>
      </c>
      <c r="D4295" s="4"/>
      <c r="E4295" s="4"/>
    </row>
    <row r="4296" spans="1:5" x14ac:dyDescent="0.3">
      <c r="A4296" s="9">
        <v>4288</v>
      </c>
      <c r="B4296" s="10">
        <f t="shared" ca="1" si="66"/>
        <v>8.063391971472246E-2</v>
      </c>
      <c r="C4296" s="10">
        <f ca="1">NPV(B4296,Project_FCF!C18:J18)+Project_FCF!B18</f>
        <v>933.02436631968794</v>
      </c>
      <c r="D4296" s="4"/>
      <c r="E4296" s="4"/>
    </row>
    <row r="4297" spans="1:5" x14ac:dyDescent="0.3">
      <c r="A4297" s="9">
        <v>4289</v>
      </c>
      <c r="B4297" s="10">
        <f t="shared" ref="B4297:B4360" ca="1" si="67">$B$4+RAND()*($B$5-$B$4)</f>
        <v>6.8374585125049639E-2</v>
      </c>
      <c r="C4297" s="10">
        <f ca="1">NPV(B4297,Project_FCF!C18:J18)+Project_FCF!B18</f>
        <v>1040.8598739215224</v>
      </c>
      <c r="D4297" s="4"/>
      <c r="E4297" s="4"/>
    </row>
    <row r="4298" spans="1:5" x14ac:dyDescent="0.3">
      <c r="A4298" s="9">
        <v>4290</v>
      </c>
      <c r="B4298" s="10">
        <f t="shared" ca="1" si="67"/>
        <v>8.7015662178037675E-2</v>
      </c>
      <c r="C4298" s="10">
        <f ca="1">NPV(B4298,Project_FCF!C18:J18)+Project_FCF!B18</f>
        <v>880.91556259692902</v>
      </c>
      <c r="D4298" s="4"/>
      <c r="E4298" s="4"/>
    </row>
    <row r="4299" spans="1:5" x14ac:dyDescent="0.3">
      <c r="A4299" s="9">
        <v>4291</v>
      </c>
      <c r="B4299" s="10">
        <f t="shared" ca="1" si="67"/>
        <v>8.3386863875463041E-2</v>
      </c>
      <c r="C4299" s="10">
        <f ca="1">NPV(B4299,Project_FCF!C18:J18)+Project_FCF!B18</f>
        <v>910.22277980607032</v>
      </c>
      <c r="D4299" s="4"/>
      <c r="E4299" s="4"/>
    </row>
    <row r="4300" spans="1:5" x14ac:dyDescent="0.3">
      <c r="A4300" s="9">
        <v>4292</v>
      </c>
      <c r="B4300" s="10">
        <f t="shared" ca="1" si="67"/>
        <v>7.4582475593629002E-2</v>
      </c>
      <c r="C4300" s="10">
        <f ca="1">NPV(B4300,Project_FCF!C18:J18)+Project_FCF!B18</f>
        <v>984.93448861154184</v>
      </c>
      <c r="D4300" s="4"/>
      <c r="E4300" s="4"/>
    </row>
    <row r="4301" spans="1:5" x14ac:dyDescent="0.3">
      <c r="A4301" s="9">
        <v>4293</v>
      </c>
      <c r="B4301" s="10">
        <f t="shared" ca="1" si="67"/>
        <v>7.4605427595474533E-2</v>
      </c>
      <c r="C4301" s="10">
        <f ca="1">NPV(B4301,Project_FCF!C18:J18)+Project_FCF!B18</f>
        <v>984.73283457306297</v>
      </c>
      <c r="D4301" s="4"/>
      <c r="E4301" s="4"/>
    </row>
    <row r="4302" spans="1:5" x14ac:dyDescent="0.3">
      <c r="A4302" s="9">
        <v>4294</v>
      </c>
      <c r="B4302" s="10">
        <f t="shared" ca="1" si="67"/>
        <v>0.10176060295064752</v>
      </c>
      <c r="C4302" s="10">
        <f ca="1">NPV(B4302,Project_FCF!C18:J18)+Project_FCF!B18</f>
        <v>770.05958089162687</v>
      </c>
      <c r="D4302" s="4"/>
      <c r="E4302" s="4"/>
    </row>
    <row r="4303" spans="1:5" x14ac:dyDescent="0.3">
      <c r="A4303" s="9">
        <v>4295</v>
      </c>
      <c r="B4303" s="10">
        <f t="shared" ca="1" si="67"/>
        <v>6.9539348688011621E-2</v>
      </c>
      <c r="C4303" s="10">
        <f ca="1">NPV(B4303,Project_FCF!C18:J18)+Project_FCF!B18</f>
        <v>1030.153452971238</v>
      </c>
      <c r="D4303" s="4"/>
      <c r="E4303" s="4"/>
    </row>
    <row r="4304" spans="1:5" x14ac:dyDescent="0.3">
      <c r="A4304" s="9">
        <v>4296</v>
      </c>
      <c r="B4304" s="10">
        <f t="shared" ca="1" si="67"/>
        <v>7.9938337850341087E-2</v>
      </c>
      <c r="C4304" s="10">
        <f ca="1">NPV(B4304,Project_FCF!C18:J18)+Project_FCF!B18</f>
        <v>938.86482183169164</v>
      </c>
      <c r="D4304" s="4"/>
      <c r="E4304" s="4"/>
    </row>
    <row r="4305" spans="1:5" x14ac:dyDescent="0.3">
      <c r="A4305" s="9">
        <v>4297</v>
      </c>
      <c r="B4305" s="10">
        <f t="shared" ca="1" si="67"/>
        <v>7.3139769567013013E-2</v>
      </c>
      <c r="C4305" s="10">
        <f ca="1">NPV(B4305,Project_FCF!C18:J18)+Project_FCF!B18</f>
        <v>997.68450021587773</v>
      </c>
      <c r="D4305" s="4"/>
      <c r="E4305" s="4"/>
    </row>
    <row r="4306" spans="1:5" x14ac:dyDescent="0.3">
      <c r="A4306" s="9">
        <v>4298</v>
      </c>
      <c r="B4306" s="10">
        <f t="shared" ca="1" si="67"/>
        <v>6.7394316925590711E-2</v>
      </c>
      <c r="C4306" s="10">
        <f ca="1">NPV(B4306,Project_FCF!C18:J18)+Project_FCF!B18</f>
        <v>1049.9484803295416</v>
      </c>
      <c r="D4306" s="4"/>
      <c r="E4306" s="4"/>
    </row>
    <row r="4307" spans="1:5" x14ac:dyDescent="0.3">
      <c r="A4307" s="9">
        <v>4299</v>
      </c>
      <c r="B4307" s="10">
        <f t="shared" ca="1" si="67"/>
        <v>7.6732885475152834E-2</v>
      </c>
      <c r="C4307" s="10">
        <f ca="1">NPV(B4307,Project_FCF!C18:J18)+Project_FCF!B18</f>
        <v>966.20072337434863</v>
      </c>
      <c r="D4307" s="4"/>
      <c r="E4307" s="4"/>
    </row>
    <row r="4308" spans="1:5" x14ac:dyDescent="0.3">
      <c r="A4308" s="9">
        <v>4300</v>
      </c>
      <c r="B4308" s="10">
        <f t="shared" ca="1" si="67"/>
        <v>7.4010176175540454E-2</v>
      </c>
      <c r="C4308" s="10">
        <f ca="1">NPV(B4308,Project_FCF!C18:J18)+Project_FCF!B18</f>
        <v>989.97463208630143</v>
      </c>
      <c r="D4308" s="4"/>
      <c r="E4308" s="4"/>
    </row>
    <row r="4309" spans="1:5" x14ac:dyDescent="0.3">
      <c r="A4309" s="9">
        <v>4301</v>
      </c>
      <c r="B4309" s="10">
        <f t="shared" ca="1" si="67"/>
        <v>9.029433165169623E-2</v>
      </c>
      <c r="C4309" s="10">
        <f ca="1">NPV(B4309,Project_FCF!C18:J18)+Project_FCF!B18</f>
        <v>855.14744049522528</v>
      </c>
      <c r="D4309" s="4"/>
      <c r="E4309" s="4"/>
    </row>
    <row r="4310" spans="1:5" x14ac:dyDescent="0.3">
      <c r="A4310" s="9">
        <v>4302</v>
      </c>
      <c r="B4310" s="10">
        <f t="shared" ca="1" si="67"/>
        <v>9.3664223859968046E-2</v>
      </c>
      <c r="C4310" s="10">
        <f ca="1">NPV(B4310,Project_FCF!C18:J18)+Project_FCF!B18</f>
        <v>829.34484929260111</v>
      </c>
      <c r="D4310" s="4"/>
      <c r="E4310" s="4"/>
    </row>
    <row r="4311" spans="1:5" x14ac:dyDescent="0.3">
      <c r="A4311" s="9">
        <v>4303</v>
      </c>
      <c r="B4311" s="10">
        <f t="shared" ca="1" si="67"/>
        <v>9.9158283847613021E-2</v>
      </c>
      <c r="C4311" s="10">
        <f ca="1">NPV(B4311,Project_FCF!C18:J18)+Project_FCF!B18</f>
        <v>788.70885142702718</v>
      </c>
      <c r="D4311" s="4"/>
      <c r="E4311" s="4"/>
    </row>
    <row r="4312" spans="1:5" x14ac:dyDescent="0.3">
      <c r="A4312" s="9">
        <v>4304</v>
      </c>
      <c r="B4312" s="10">
        <f t="shared" ca="1" si="67"/>
        <v>0.10080206963050257</v>
      </c>
      <c r="C4312" s="10">
        <f ca="1">NPV(B4312,Project_FCF!C18:J18)+Project_FCF!B18</f>
        <v>776.88500660241539</v>
      </c>
      <c r="D4312" s="4"/>
      <c r="E4312" s="4"/>
    </row>
    <row r="4313" spans="1:5" x14ac:dyDescent="0.3">
      <c r="A4313" s="9">
        <v>4305</v>
      </c>
      <c r="B4313" s="10">
        <f t="shared" ca="1" si="67"/>
        <v>8.0692635407588378E-2</v>
      </c>
      <c r="C4313" s="10">
        <f ca="1">NPV(B4313,Project_FCF!C18:J18)+Project_FCF!B18</f>
        <v>932.53283427980045</v>
      </c>
      <c r="D4313" s="4"/>
      <c r="E4313" s="4"/>
    </row>
    <row r="4314" spans="1:5" x14ac:dyDescent="0.3">
      <c r="A4314" s="9">
        <v>4306</v>
      </c>
      <c r="B4314" s="10">
        <f t="shared" ca="1" si="67"/>
        <v>7.7342512557637508E-2</v>
      </c>
      <c r="C4314" s="10">
        <f ca="1">NPV(B4314,Project_FCF!C18:J18)+Project_FCF!B18</f>
        <v>960.94801212168841</v>
      </c>
      <c r="D4314" s="4"/>
      <c r="E4314" s="4"/>
    </row>
    <row r="4315" spans="1:5" x14ac:dyDescent="0.3">
      <c r="A4315" s="9">
        <v>4307</v>
      </c>
      <c r="B4315" s="10">
        <f t="shared" ca="1" si="67"/>
        <v>9.3796396179713831E-2</v>
      </c>
      <c r="C4315" s="10">
        <f ca="1">NPV(B4315,Project_FCF!C18:J18)+Project_FCF!B18</f>
        <v>828.3466495926541</v>
      </c>
      <c r="D4315" s="4"/>
      <c r="E4315" s="4"/>
    </row>
    <row r="4316" spans="1:5" x14ac:dyDescent="0.3">
      <c r="A4316" s="9">
        <v>4308</v>
      </c>
      <c r="B4316" s="10">
        <f t="shared" ca="1" si="67"/>
        <v>6.6098481660907718E-2</v>
      </c>
      <c r="C4316" s="10">
        <f ca="1">NPV(B4316,Project_FCF!C18:J18)+Project_FCF!B18</f>
        <v>1062.0735217483261</v>
      </c>
      <c r="D4316" s="4"/>
      <c r="E4316" s="4"/>
    </row>
    <row r="4317" spans="1:5" x14ac:dyDescent="0.3">
      <c r="A4317" s="9">
        <v>4309</v>
      </c>
      <c r="B4317" s="10">
        <f t="shared" ca="1" si="67"/>
        <v>8.5848915204339599E-2</v>
      </c>
      <c r="C4317" s="10">
        <f ca="1">NPV(B4317,Project_FCF!C18:J18)+Project_FCF!B18</f>
        <v>890.24711567848317</v>
      </c>
      <c r="D4317" s="4"/>
      <c r="E4317" s="4"/>
    </row>
    <row r="4318" spans="1:5" x14ac:dyDescent="0.3">
      <c r="A4318" s="9">
        <v>4310</v>
      </c>
      <c r="B4318" s="10">
        <f t="shared" ca="1" si="67"/>
        <v>9.9895134266184515E-2</v>
      </c>
      <c r="C4318" s="10">
        <f ca="1">NPV(B4318,Project_FCF!C18:J18)+Project_FCF!B18</f>
        <v>783.38996001906776</v>
      </c>
      <c r="D4318" s="4"/>
      <c r="E4318" s="4"/>
    </row>
    <row r="4319" spans="1:5" x14ac:dyDescent="0.3">
      <c r="A4319" s="9">
        <v>4311</v>
      </c>
      <c r="B4319" s="10">
        <f t="shared" ca="1" si="67"/>
        <v>8.1210007672649576E-2</v>
      </c>
      <c r="C4319" s="10">
        <f ca="1">NPV(B4319,Project_FCF!C18:J18)+Project_FCF!B18</f>
        <v>928.21159348622359</v>
      </c>
      <c r="D4319" s="4"/>
      <c r="E4319" s="4"/>
    </row>
    <row r="4320" spans="1:5" x14ac:dyDescent="0.3">
      <c r="A4320" s="9">
        <v>4312</v>
      </c>
      <c r="B4320" s="10">
        <f t="shared" ca="1" si="67"/>
        <v>7.3187355970547985E-2</v>
      </c>
      <c r="C4320" s="10">
        <f ca="1">NPV(B4320,Project_FCF!C18:J18)+Project_FCF!B18</f>
        <v>997.26160185809863</v>
      </c>
      <c r="D4320" s="4"/>
      <c r="E4320" s="4"/>
    </row>
    <row r="4321" spans="1:5" x14ac:dyDescent="0.3">
      <c r="A4321" s="9">
        <v>4313</v>
      </c>
      <c r="B4321" s="10">
        <f t="shared" ca="1" si="67"/>
        <v>7.3983616623908011E-2</v>
      </c>
      <c r="C4321" s="10">
        <f ca="1">NPV(B4321,Project_FCF!C18:J18)+Project_FCF!B18</f>
        <v>990.20909778403916</v>
      </c>
      <c r="D4321" s="4"/>
      <c r="E4321" s="4"/>
    </row>
    <row r="4322" spans="1:5" x14ac:dyDescent="0.3">
      <c r="A4322" s="9">
        <v>4314</v>
      </c>
      <c r="B4322" s="10">
        <f t="shared" ca="1" si="67"/>
        <v>8.8923986406664726E-2</v>
      </c>
      <c r="C4322" s="10">
        <f ca="1">NPV(B4322,Project_FCF!C18:J18)+Project_FCF!B18</f>
        <v>865.83663963519393</v>
      </c>
      <c r="D4322" s="4"/>
      <c r="E4322" s="4"/>
    </row>
    <row r="4323" spans="1:5" x14ac:dyDescent="0.3">
      <c r="A4323" s="9">
        <v>4315</v>
      </c>
      <c r="B4323" s="10">
        <f t="shared" ca="1" si="67"/>
        <v>8.8155689178565561E-2</v>
      </c>
      <c r="C4323" s="10">
        <f ca="1">NPV(B4323,Project_FCF!C18:J18)+Project_FCF!B18</f>
        <v>871.88022928536225</v>
      </c>
      <c r="D4323" s="4"/>
      <c r="E4323" s="4"/>
    </row>
    <row r="4324" spans="1:5" x14ac:dyDescent="0.3">
      <c r="A4324" s="9">
        <v>4316</v>
      </c>
      <c r="B4324" s="10">
        <f t="shared" ca="1" si="67"/>
        <v>8.5181323771945247E-2</v>
      </c>
      <c r="C4324" s="10">
        <f ca="1">NPV(B4324,Project_FCF!C18:J18)+Project_FCF!B18</f>
        <v>895.62522833083517</v>
      </c>
      <c r="D4324" s="4"/>
      <c r="E4324" s="4"/>
    </row>
    <row r="4325" spans="1:5" x14ac:dyDescent="0.3">
      <c r="A4325" s="9">
        <v>4317</v>
      </c>
      <c r="B4325" s="10">
        <f t="shared" ca="1" si="67"/>
        <v>7.8897583798286125E-2</v>
      </c>
      <c r="C4325" s="10">
        <f ca="1">NPV(B4325,Project_FCF!C18:J18)+Project_FCF!B18</f>
        <v>947.66400506865693</v>
      </c>
      <c r="D4325" s="4"/>
      <c r="E4325" s="4"/>
    </row>
    <row r="4326" spans="1:5" x14ac:dyDescent="0.3">
      <c r="A4326" s="9">
        <v>4318</v>
      </c>
      <c r="B4326" s="10">
        <f t="shared" ca="1" si="67"/>
        <v>7.6048277922989432E-2</v>
      </c>
      <c r="C4326" s="10">
        <f ca="1">NPV(B4326,Project_FCF!C18:J18)+Project_FCF!B18</f>
        <v>972.12999232490984</v>
      </c>
      <c r="D4326" s="4"/>
      <c r="E4326" s="4"/>
    </row>
    <row r="4327" spans="1:5" x14ac:dyDescent="0.3">
      <c r="A4327" s="9">
        <v>4319</v>
      </c>
      <c r="B4327" s="10">
        <f t="shared" ca="1" si="67"/>
        <v>9.7894555341928952E-2</v>
      </c>
      <c r="C4327" s="10">
        <f ca="1">NPV(B4327,Project_FCF!C18:J18)+Project_FCF!B18</f>
        <v>797.90226231273664</v>
      </c>
      <c r="D4327" s="4"/>
      <c r="E4327" s="4"/>
    </row>
    <row r="4328" spans="1:5" x14ac:dyDescent="0.3">
      <c r="A4328" s="9">
        <v>4320</v>
      </c>
      <c r="B4328" s="10">
        <f t="shared" ca="1" si="67"/>
        <v>7.350368114277335E-2</v>
      </c>
      <c r="C4328" s="10">
        <f ca="1">NPV(B4328,Project_FCF!C18:J18)+Project_FCF!B18</f>
        <v>994.45452205425659</v>
      </c>
      <c r="D4328" s="4"/>
      <c r="E4328" s="4"/>
    </row>
    <row r="4329" spans="1:5" x14ac:dyDescent="0.3">
      <c r="A4329" s="9">
        <v>4321</v>
      </c>
      <c r="B4329" s="10">
        <f t="shared" ca="1" si="67"/>
        <v>8.8192222616787011E-2</v>
      </c>
      <c r="C4329" s="10">
        <f ca="1">NPV(B4329,Project_FCF!C18:J18)+Project_FCF!B18</f>
        <v>871.59202123562409</v>
      </c>
      <c r="D4329" s="4"/>
      <c r="E4329" s="4"/>
    </row>
    <row r="4330" spans="1:5" x14ac:dyDescent="0.3">
      <c r="A4330" s="9">
        <v>4322</v>
      </c>
      <c r="B4330" s="10">
        <f t="shared" ca="1" si="67"/>
        <v>9.1434620477169298E-2</v>
      </c>
      <c r="C4330" s="10">
        <f ca="1">NPV(B4330,Project_FCF!C18:J18)+Project_FCF!B18</f>
        <v>846.34004941810304</v>
      </c>
      <c r="D4330" s="4"/>
      <c r="E4330" s="4"/>
    </row>
    <row r="4331" spans="1:5" x14ac:dyDescent="0.3">
      <c r="A4331" s="9">
        <v>4323</v>
      </c>
      <c r="B4331" s="10">
        <f t="shared" ca="1" si="67"/>
        <v>6.4813635989444077E-2</v>
      </c>
      <c r="C4331" s="10">
        <f ca="1">NPV(B4331,Project_FCF!C18:J18)+Project_FCF!B18</f>
        <v>1074.2214734207241</v>
      </c>
      <c r="D4331" s="4"/>
      <c r="E4331" s="4"/>
    </row>
    <row r="4332" spans="1:5" x14ac:dyDescent="0.3">
      <c r="A4332" s="9">
        <v>4324</v>
      </c>
      <c r="B4332" s="10">
        <f t="shared" ca="1" si="67"/>
        <v>9.0012908645803871E-2</v>
      </c>
      <c r="C4332" s="10">
        <f ca="1">NPV(B4332,Project_FCF!C18:J18)+Project_FCF!B18</f>
        <v>857.33326127359305</v>
      </c>
      <c r="D4332" s="4"/>
      <c r="E4332" s="4"/>
    </row>
    <row r="4333" spans="1:5" x14ac:dyDescent="0.3">
      <c r="A4333" s="9">
        <v>4325</v>
      </c>
      <c r="B4333" s="10">
        <f t="shared" ca="1" si="67"/>
        <v>7.1033861092949194E-2</v>
      </c>
      <c r="C4333" s="10">
        <f ca="1">NPV(B4333,Project_FCF!C18:J18)+Project_FCF!B18</f>
        <v>1016.5619088591918</v>
      </c>
      <c r="D4333" s="4"/>
      <c r="E4333" s="4"/>
    </row>
    <row r="4334" spans="1:5" x14ac:dyDescent="0.3">
      <c r="A4334" s="9">
        <v>4326</v>
      </c>
      <c r="B4334" s="10">
        <f t="shared" ca="1" si="67"/>
        <v>8.4099530375015608E-2</v>
      </c>
      <c r="C4334" s="10">
        <f ca="1">NPV(B4334,Project_FCF!C18:J18)+Project_FCF!B18</f>
        <v>904.40058578757817</v>
      </c>
      <c r="D4334" s="4"/>
      <c r="E4334" s="4"/>
    </row>
    <row r="4335" spans="1:5" x14ac:dyDescent="0.3">
      <c r="A4335" s="9">
        <v>4327</v>
      </c>
      <c r="B4335" s="10">
        <f t="shared" ca="1" si="67"/>
        <v>7.1118282131957491E-2</v>
      </c>
      <c r="C4335" s="10">
        <f ca="1">NPV(B4335,Project_FCF!C18:J18)+Project_FCF!B18</f>
        <v>1015.7990114110935</v>
      </c>
      <c r="D4335" s="4"/>
      <c r="E4335" s="4"/>
    </row>
    <row r="4336" spans="1:5" x14ac:dyDescent="0.3">
      <c r="A4336" s="9">
        <v>4328</v>
      </c>
      <c r="B4336" s="10">
        <f t="shared" ca="1" si="67"/>
        <v>7.5382065714818841E-2</v>
      </c>
      <c r="C4336" s="10">
        <f ca="1">NPV(B4336,Project_FCF!C18:J18)+Project_FCF!B18</f>
        <v>977.93111037936274</v>
      </c>
      <c r="D4336" s="4"/>
      <c r="E4336" s="4"/>
    </row>
    <row r="4337" spans="1:5" x14ac:dyDescent="0.3">
      <c r="A4337" s="9">
        <v>4329</v>
      </c>
      <c r="B4337" s="10">
        <f t="shared" ca="1" si="67"/>
        <v>6.7043391046241227E-2</v>
      </c>
      <c r="C4337" s="10">
        <f ca="1">NPV(B4337,Project_FCF!C18:J18)+Project_FCF!B18</f>
        <v>1053.2195805187152</v>
      </c>
      <c r="D4337" s="4"/>
      <c r="E4337" s="4"/>
    </row>
    <row r="4338" spans="1:5" x14ac:dyDescent="0.3">
      <c r="A4338" s="9">
        <v>4330</v>
      </c>
      <c r="B4338" s="10">
        <f t="shared" ca="1" si="67"/>
        <v>9.3169304142658657E-2</v>
      </c>
      <c r="C4338" s="10">
        <f ca="1">NPV(B4338,Project_FCF!C18:J18)+Project_FCF!B18</f>
        <v>833.09179711031197</v>
      </c>
      <c r="D4338" s="4"/>
      <c r="E4338" s="4"/>
    </row>
    <row r="4339" spans="1:5" x14ac:dyDescent="0.3">
      <c r="A4339" s="9">
        <v>4331</v>
      </c>
      <c r="B4339" s="10">
        <f t="shared" ca="1" si="67"/>
        <v>7.5923395565315216E-2</v>
      </c>
      <c r="C4339" s="10">
        <f ca="1">NPV(B4339,Project_FCF!C18:J18)+Project_FCF!B18</f>
        <v>973.21507250190461</v>
      </c>
      <c r="D4339" s="4"/>
      <c r="E4339" s="4"/>
    </row>
    <row r="4340" spans="1:5" x14ac:dyDescent="0.3">
      <c r="A4340" s="9">
        <v>4332</v>
      </c>
      <c r="B4340" s="10">
        <f t="shared" ca="1" si="67"/>
        <v>0.10358887873441178</v>
      </c>
      <c r="C4340" s="10">
        <f ca="1">NPV(B4340,Project_FCF!C18:J18)+Project_FCF!B18</f>
        <v>757.18081696825402</v>
      </c>
      <c r="D4340" s="4"/>
      <c r="E4340" s="4"/>
    </row>
    <row r="4341" spans="1:5" x14ac:dyDescent="0.3">
      <c r="A4341" s="9">
        <v>4333</v>
      </c>
      <c r="B4341" s="10">
        <f t="shared" ca="1" si="67"/>
        <v>9.6705697525338002E-2</v>
      </c>
      <c r="C4341" s="10">
        <f ca="1">NPV(B4341,Project_FCF!C18:J18)+Project_FCF!B18</f>
        <v>806.63400593734309</v>
      </c>
      <c r="D4341" s="4"/>
      <c r="E4341" s="4"/>
    </row>
    <row r="4342" spans="1:5" x14ac:dyDescent="0.3">
      <c r="A4342" s="9">
        <v>4334</v>
      </c>
      <c r="B4342" s="10">
        <f t="shared" ca="1" si="67"/>
        <v>7.9516142310864915E-2</v>
      </c>
      <c r="C4342" s="10">
        <f ca="1">NPV(B4342,Project_FCF!C18:J18)+Project_FCF!B18</f>
        <v>942.42555509353315</v>
      </c>
      <c r="D4342" s="4"/>
      <c r="E4342" s="4"/>
    </row>
    <row r="4343" spans="1:5" x14ac:dyDescent="0.3">
      <c r="A4343" s="9">
        <v>4335</v>
      </c>
      <c r="B4343" s="10">
        <f t="shared" ca="1" si="67"/>
        <v>7.9273639620474304E-2</v>
      </c>
      <c r="C4343" s="10">
        <f ca="1">NPV(B4343,Project_FCF!C18:J18)+Project_FCF!B18</f>
        <v>944.47619359070472</v>
      </c>
      <c r="D4343" s="4"/>
      <c r="E4343" s="4"/>
    </row>
    <row r="4344" spans="1:5" x14ac:dyDescent="0.3">
      <c r="A4344" s="9">
        <v>4336</v>
      </c>
      <c r="B4344" s="10">
        <f t="shared" ca="1" si="67"/>
        <v>8.9050106613945995E-2</v>
      </c>
      <c r="C4344" s="10">
        <f ca="1">NPV(B4344,Project_FCF!C18:J18)+Project_FCF!B18</f>
        <v>864.84803707521587</v>
      </c>
      <c r="D4344" s="4"/>
      <c r="E4344" s="4"/>
    </row>
    <row r="4345" spans="1:5" x14ac:dyDescent="0.3">
      <c r="A4345" s="9">
        <v>4337</v>
      </c>
      <c r="B4345" s="10">
        <f t="shared" ca="1" si="67"/>
        <v>7.6676776693430579E-2</v>
      </c>
      <c r="C4345" s="10">
        <f ca="1">NPV(B4345,Project_FCF!C18:J18)+Project_FCF!B18</f>
        <v>966.6854553754581</v>
      </c>
      <c r="D4345" s="4"/>
      <c r="E4345" s="4"/>
    </row>
    <row r="4346" spans="1:5" x14ac:dyDescent="0.3">
      <c r="A4346" s="9">
        <v>4338</v>
      </c>
      <c r="B4346" s="10">
        <f t="shared" ca="1" si="67"/>
        <v>8.2953380627866946E-2</v>
      </c>
      <c r="C4346" s="10">
        <f ca="1">NPV(B4346,Project_FCF!C18:J18)+Project_FCF!B18</f>
        <v>913.78025182831061</v>
      </c>
      <c r="D4346" s="4"/>
      <c r="E4346" s="4"/>
    </row>
    <row r="4347" spans="1:5" x14ac:dyDescent="0.3">
      <c r="A4347" s="9">
        <v>4339</v>
      </c>
      <c r="B4347" s="10">
        <f t="shared" ca="1" si="67"/>
        <v>6.6543764877687595E-2</v>
      </c>
      <c r="C4347" s="10">
        <f ca="1">NPV(B4347,Project_FCF!C18:J18)+Project_FCF!B18</f>
        <v>1057.8927508406816</v>
      </c>
      <c r="D4347" s="4"/>
      <c r="E4347" s="4"/>
    </row>
    <row r="4348" spans="1:5" x14ac:dyDescent="0.3">
      <c r="A4348" s="9">
        <v>4340</v>
      </c>
      <c r="B4348" s="10">
        <f t="shared" ca="1" si="67"/>
        <v>6.4691981611020966E-2</v>
      </c>
      <c r="C4348" s="10">
        <f ca="1">NPV(B4348,Project_FCF!C18:J18)+Project_FCF!B18</f>
        <v>1075.3782328967507</v>
      </c>
      <c r="D4348" s="4"/>
      <c r="E4348" s="4"/>
    </row>
    <row r="4349" spans="1:5" x14ac:dyDescent="0.3">
      <c r="A4349" s="9">
        <v>4341</v>
      </c>
      <c r="B4349" s="10">
        <f t="shared" ca="1" si="67"/>
        <v>0.10146065216526257</v>
      </c>
      <c r="C4349" s="10">
        <f ca="1">NPV(B4349,Project_FCF!C18:J18)+Project_FCF!B18</f>
        <v>772.18998405482102</v>
      </c>
      <c r="D4349" s="4"/>
      <c r="E4349" s="4"/>
    </row>
    <row r="4350" spans="1:5" x14ac:dyDescent="0.3">
      <c r="A4350" s="9">
        <v>4342</v>
      </c>
      <c r="B4350" s="10">
        <f t="shared" ca="1" si="67"/>
        <v>8.4585212316261787E-2</v>
      </c>
      <c r="C4350" s="10">
        <f ca="1">NPV(B4350,Project_FCF!C18:J18)+Project_FCF!B18</f>
        <v>900.45152059821476</v>
      </c>
      <c r="D4350" s="4"/>
      <c r="E4350" s="4"/>
    </row>
    <row r="4351" spans="1:5" x14ac:dyDescent="0.3">
      <c r="A4351" s="9">
        <v>4343</v>
      </c>
      <c r="B4351" s="10">
        <f t="shared" ca="1" si="67"/>
        <v>6.9923265736613394E-2</v>
      </c>
      <c r="C4351" s="10">
        <f ca="1">NPV(B4351,Project_FCF!C18:J18)+Project_FCF!B18</f>
        <v>1026.6464168590921</v>
      </c>
      <c r="D4351" s="4"/>
      <c r="E4351" s="4"/>
    </row>
    <row r="4352" spans="1:5" x14ac:dyDescent="0.3">
      <c r="A4352" s="9">
        <v>4344</v>
      </c>
      <c r="B4352" s="10">
        <f t="shared" ca="1" si="67"/>
        <v>8.2429538612268399E-2</v>
      </c>
      <c r="C4352" s="10">
        <f ca="1">NPV(B4352,Project_FCF!C18:J18)+Project_FCF!B18</f>
        <v>918.09559545808997</v>
      </c>
      <c r="D4352" s="4"/>
      <c r="E4352" s="4"/>
    </row>
    <row r="4353" spans="1:5" x14ac:dyDescent="0.3">
      <c r="A4353" s="9">
        <v>4345</v>
      </c>
      <c r="B4353" s="10">
        <f t="shared" ca="1" si="67"/>
        <v>8.0478097305470356E-2</v>
      </c>
      <c r="C4353" s="10">
        <f ca="1">NPV(B4353,Project_FCF!C18:J18)+Project_FCF!B18</f>
        <v>934.32992782157544</v>
      </c>
      <c r="D4353" s="4"/>
      <c r="E4353" s="4"/>
    </row>
    <row r="4354" spans="1:5" x14ac:dyDescent="0.3">
      <c r="A4354" s="9">
        <v>4346</v>
      </c>
      <c r="B4354" s="10">
        <f t="shared" ca="1" si="67"/>
        <v>6.7754668814231589E-2</v>
      </c>
      <c r="C4354" s="10">
        <f ca="1">NPV(B4354,Project_FCF!C18:J18)+Project_FCF!B18</f>
        <v>1046.5991220963401</v>
      </c>
      <c r="D4354" s="4"/>
      <c r="E4354" s="4"/>
    </row>
    <row r="4355" spans="1:5" x14ac:dyDescent="0.3">
      <c r="A4355" s="9">
        <v>4347</v>
      </c>
      <c r="B4355" s="10">
        <f t="shared" ca="1" si="67"/>
        <v>9.1081786944796336E-2</v>
      </c>
      <c r="C4355" s="10">
        <f ca="1">NPV(B4355,Project_FCF!C18:J18)+Project_FCF!B18</f>
        <v>849.05685728691583</v>
      </c>
      <c r="D4355" s="4"/>
      <c r="E4355" s="4"/>
    </row>
    <row r="4356" spans="1:5" x14ac:dyDescent="0.3">
      <c r="A4356" s="9">
        <v>4348</v>
      </c>
      <c r="B4356" s="10">
        <f t="shared" ca="1" si="67"/>
        <v>0.10387236611938185</v>
      </c>
      <c r="C4356" s="10">
        <f ca="1">NPV(B4356,Project_FCF!C18:J18)+Project_FCF!B18</f>
        <v>755.2001538504669</v>
      </c>
      <c r="D4356" s="4"/>
      <c r="E4356" s="4"/>
    </row>
    <row r="4357" spans="1:5" x14ac:dyDescent="0.3">
      <c r="A4357" s="9">
        <v>4349</v>
      </c>
      <c r="B4357" s="10">
        <f t="shared" ca="1" si="67"/>
        <v>8.4640988592555616E-2</v>
      </c>
      <c r="C4357" s="10">
        <f ca="1">NPV(B4357,Project_FCF!C18:J18)+Project_FCF!B18</f>
        <v>899.99897505768945</v>
      </c>
      <c r="D4357" s="4"/>
      <c r="E4357" s="4"/>
    </row>
    <row r="4358" spans="1:5" x14ac:dyDescent="0.3">
      <c r="A4358" s="9">
        <v>4350</v>
      </c>
      <c r="B4358" s="10">
        <f t="shared" ca="1" si="67"/>
        <v>7.1305480658177031E-2</v>
      </c>
      <c r="C4358" s="10">
        <f ca="1">NPV(B4358,Project_FCF!C18:J18)+Project_FCF!B18</f>
        <v>1014.1091738931473</v>
      </c>
      <c r="D4358" s="4"/>
      <c r="E4358" s="4"/>
    </row>
    <row r="4359" spans="1:5" x14ac:dyDescent="0.3">
      <c r="A4359" s="9">
        <v>4351</v>
      </c>
      <c r="B4359" s="10">
        <f t="shared" ca="1" si="67"/>
        <v>9.5612148810463746E-2</v>
      </c>
      <c r="C4359" s="10">
        <f ca="1">NPV(B4359,Project_FCF!C18:J18)+Project_FCF!B18</f>
        <v>814.73753913112091</v>
      </c>
      <c r="D4359" s="4"/>
      <c r="E4359" s="4"/>
    </row>
    <row r="4360" spans="1:5" x14ac:dyDescent="0.3">
      <c r="A4360" s="9">
        <v>4352</v>
      </c>
      <c r="B4360" s="10">
        <f t="shared" ca="1" si="67"/>
        <v>0.10143267746233878</v>
      </c>
      <c r="C4360" s="10">
        <f ca="1">NPV(B4360,Project_FCF!C18:J18)+Project_FCF!B18</f>
        <v>772.38892751610479</v>
      </c>
      <c r="D4360" s="4"/>
      <c r="E4360" s="4"/>
    </row>
    <row r="4361" spans="1:5" x14ac:dyDescent="0.3">
      <c r="A4361" s="9">
        <v>4353</v>
      </c>
      <c r="B4361" s="10">
        <f t="shared" ref="B4361:B4424" ca="1" si="68">$B$4+RAND()*($B$5-$B$4)</f>
        <v>8.8549221728997318E-2</v>
      </c>
      <c r="C4361" s="10">
        <f ca="1">NPV(B4361,Project_FCF!C18:J18)+Project_FCF!B18</f>
        <v>868.78005413435358</v>
      </c>
      <c r="D4361" s="4"/>
      <c r="E4361" s="4"/>
    </row>
    <row r="4362" spans="1:5" x14ac:dyDescent="0.3">
      <c r="A4362" s="9">
        <v>4354</v>
      </c>
      <c r="B4362" s="10">
        <f t="shared" ca="1" si="68"/>
        <v>0.10253542904900119</v>
      </c>
      <c r="C4362" s="10">
        <f ca="1">NPV(B4362,Project_FCF!C18:J18)+Project_FCF!B18</f>
        <v>764.57925322456344</v>
      </c>
      <c r="D4362" s="4"/>
      <c r="E4362" s="4"/>
    </row>
    <row r="4363" spans="1:5" x14ac:dyDescent="0.3">
      <c r="A4363" s="9">
        <v>4355</v>
      </c>
      <c r="B4363" s="10">
        <f t="shared" ca="1" si="68"/>
        <v>8.9872806670321881E-2</v>
      </c>
      <c r="C4363" s="10">
        <f ca="1">NPV(B4363,Project_FCF!C18:J18)+Project_FCF!B18</f>
        <v>858.4232404876991</v>
      </c>
      <c r="D4363" s="4"/>
      <c r="E4363" s="4"/>
    </row>
    <row r="4364" spans="1:5" x14ac:dyDescent="0.3">
      <c r="A4364" s="9">
        <v>4356</v>
      </c>
      <c r="B4364" s="10">
        <f t="shared" ca="1" si="68"/>
        <v>8.8537639081124858E-2</v>
      </c>
      <c r="C4364" s="10">
        <f ca="1">NPV(B4364,Project_FCF!C18:J18)+Project_FCF!B18</f>
        <v>868.87116297623356</v>
      </c>
      <c r="D4364" s="4"/>
      <c r="E4364" s="4"/>
    </row>
    <row r="4365" spans="1:5" x14ac:dyDescent="0.3">
      <c r="A4365" s="9">
        <v>4357</v>
      </c>
      <c r="B4365" s="10">
        <f t="shared" ca="1" si="68"/>
        <v>9.8093494141434284E-2</v>
      </c>
      <c r="C4365" s="10">
        <f ca="1">NPV(B4365,Project_FCF!C18:J18)+Project_FCF!B18</f>
        <v>796.44901079405986</v>
      </c>
      <c r="D4365" s="4"/>
      <c r="E4365" s="4"/>
    </row>
    <row r="4366" spans="1:5" x14ac:dyDescent="0.3">
      <c r="A4366" s="9">
        <v>4358</v>
      </c>
      <c r="B4366" s="10">
        <f t="shared" ca="1" si="68"/>
        <v>8.2873961754631131E-2</v>
      </c>
      <c r="C4366" s="10">
        <f ca="1">NPV(B4366,Project_FCF!C18:J18)+Project_FCF!B18</f>
        <v>914.43334373514722</v>
      </c>
      <c r="D4366" s="4"/>
      <c r="E4366" s="4"/>
    </row>
    <row r="4367" spans="1:5" x14ac:dyDescent="0.3">
      <c r="A4367" s="9">
        <v>4359</v>
      </c>
      <c r="B4367" s="10">
        <f t="shared" ca="1" si="68"/>
        <v>9.6004393570447016E-2</v>
      </c>
      <c r="C4367" s="10">
        <f ca="1">NPV(B4367,Project_FCF!C18:J18)+Project_FCF!B18</f>
        <v>811.8229266958092</v>
      </c>
      <c r="D4367" s="4"/>
      <c r="E4367" s="4"/>
    </row>
    <row r="4368" spans="1:5" x14ac:dyDescent="0.3">
      <c r="A4368" s="9">
        <v>4360</v>
      </c>
      <c r="B4368" s="10">
        <f t="shared" ca="1" si="68"/>
        <v>9.8172847504876495E-2</v>
      </c>
      <c r="C4368" s="10">
        <f ca="1">NPV(B4368,Project_FCF!C18:J18)+Project_FCF!B18</f>
        <v>795.86996094421511</v>
      </c>
      <c r="D4368" s="4"/>
      <c r="E4368" s="4"/>
    </row>
    <row r="4369" spans="1:5" x14ac:dyDescent="0.3">
      <c r="A4369" s="9">
        <v>4361</v>
      </c>
      <c r="B4369" s="10">
        <f t="shared" ca="1" si="68"/>
        <v>7.8595098982202682E-2</v>
      </c>
      <c r="C4369" s="10">
        <f ca="1">NPV(B4369,Project_FCF!C18:J18)+Project_FCF!B18</f>
        <v>950.2350841403088</v>
      </c>
      <c r="D4369" s="4"/>
      <c r="E4369" s="4"/>
    </row>
    <row r="4370" spans="1:5" x14ac:dyDescent="0.3">
      <c r="A4370" s="9">
        <v>4362</v>
      </c>
      <c r="B4370" s="10">
        <f t="shared" ca="1" si="68"/>
        <v>7.1231494283142599E-2</v>
      </c>
      <c r="C4370" s="10">
        <f ca="1">NPV(B4370,Project_FCF!C18:J18)+Project_FCF!B18</f>
        <v>1014.7767443558064</v>
      </c>
      <c r="D4370" s="4"/>
      <c r="E4370" s="4"/>
    </row>
    <row r="4371" spans="1:5" x14ac:dyDescent="0.3">
      <c r="A4371" s="9">
        <v>4363</v>
      </c>
      <c r="B4371" s="10">
        <f t="shared" ca="1" si="68"/>
        <v>6.7294230948589731E-2</v>
      </c>
      <c r="C4371" s="10">
        <f ca="1">NPV(B4371,Project_FCF!C18:J18)+Project_FCF!B18</f>
        <v>1050.8804738345327</v>
      </c>
      <c r="D4371" s="4"/>
      <c r="E4371" s="4"/>
    </row>
    <row r="4372" spans="1:5" x14ac:dyDescent="0.3">
      <c r="A4372" s="9">
        <v>4364</v>
      </c>
      <c r="B4372" s="10">
        <f t="shared" ca="1" si="68"/>
        <v>8.9836889204632606E-2</v>
      </c>
      <c r="C4372" s="10">
        <f ca="1">NPV(B4372,Project_FCF!C18:J18)+Project_FCF!B18</f>
        <v>858.70286802621035</v>
      </c>
      <c r="D4372" s="4"/>
      <c r="E4372" s="4"/>
    </row>
    <row r="4373" spans="1:5" x14ac:dyDescent="0.3">
      <c r="A4373" s="9">
        <v>4365</v>
      </c>
      <c r="B4373" s="10">
        <f t="shared" ca="1" si="68"/>
        <v>0.10186794852118654</v>
      </c>
      <c r="C4373" s="10">
        <f ca="1">NPV(B4373,Project_FCF!C18:J18)+Project_FCF!B18</f>
        <v>769.29836169343866</v>
      </c>
      <c r="D4373" s="4"/>
      <c r="E4373" s="4"/>
    </row>
    <row r="4374" spans="1:5" x14ac:dyDescent="0.3">
      <c r="A4374" s="9">
        <v>4366</v>
      </c>
      <c r="B4374" s="10">
        <f t="shared" ca="1" si="68"/>
        <v>9.1340263517972906E-2</v>
      </c>
      <c r="C4374" s="10">
        <f ca="1">NPV(B4374,Project_FCF!C18:J18)+Project_FCF!B18</f>
        <v>847.06585873215545</v>
      </c>
      <c r="D4374" s="4"/>
      <c r="E4374" s="4"/>
    </row>
    <row r="4375" spans="1:5" x14ac:dyDescent="0.3">
      <c r="A4375" s="9">
        <v>4367</v>
      </c>
      <c r="B4375" s="10">
        <f t="shared" ca="1" si="68"/>
        <v>8.1940560147428648E-2</v>
      </c>
      <c r="C4375" s="10">
        <f ca="1">NPV(B4375,Project_FCF!C18:J18)+Project_FCF!B18</f>
        <v>922.13992790395628</v>
      </c>
      <c r="D4375" s="4"/>
      <c r="E4375" s="4"/>
    </row>
    <row r="4376" spans="1:5" x14ac:dyDescent="0.3">
      <c r="A4376" s="9">
        <v>4368</v>
      </c>
      <c r="B4376" s="10">
        <f t="shared" ca="1" si="68"/>
        <v>8.3249753360164991E-2</v>
      </c>
      <c r="C4376" s="10">
        <f ca="1">NPV(B4376,Project_FCF!C18:J18)+Project_FCF!B18</f>
        <v>911.34668684070721</v>
      </c>
      <c r="D4376" s="4"/>
      <c r="E4376" s="4"/>
    </row>
    <row r="4377" spans="1:5" x14ac:dyDescent="0.3">
      <c r="A4377" s="9">
        <v>4369</v>
      </c>
      <c r="B4377" s="10">
        <f t="shared" ca="1" si="68"/>
        <v>6.5802031552532489E-2</v>
      </c>
      <c r="C4377" s="10">
        <f ca="1">NPV(B4377,Project_FCF!C18:J18)+Project_FCF!B18</f>
        <v>1064.8652311619278</v>
      </c>
      <c r="D4377" s="4"/>
      <c r="E4377" s="4"/>
    </row>
    <row r="4378" spans="1:5" x14ac:dyDescent="0.3">
      <c r="A4378" s="9">
        <v>4370</v>
      </c>
      <c r="B4378" s="10">
        <f t="shared" ca="1" si="68"/>
        <v>0.10031934137292634</v>
      </c>
      <c r="C4378" s="10">
        <f ca="1">NPV(B4378,Project_FCF!C18:J18)+Project_FCF!B18</f>
        <v>780.34164771783526</v>
      </c>
      <c r="D4378" s="4"/>
      <c r="E4378" s="4"/>
    </row>
    <row r="4379" spans="1:5" x14ac:dyDescent="0.3">
      <c r="A4379" s="9">
        <v>4371</v>
      </c>
      <c r="B4379" s="10">
        <f t="shared" ca="1" si="68"/>
        <v>6.868031306970189E-2</v>
      </c>
      <c r="C4379" s="10">
        <f ca="1">NPV(B4379,Project_FCF!C18:J18)+Project_FCF!B18</f>
        <v>1038.039934339248</v>
      </c>
      <c r="D4379" s="4"/>
      <c r="E4379" s="4"/>
    </row>
    <row r="4380" spans="1:5" x14ac:dyDescent="0.3">
      <c r="A4380" s="9">
        <v>4372</v>
      </c>
      <c r="B4380" s="10">
        <f t="shared" ca="1" si="68"/>
        <v>8.875556352055694E-2</v>
      </c>
      <c r="C4380" s="10">
        <f ca="1">NPV(B4380,Project_FCF!C18:J18)+Project_FCF!B18</f>
        <v>867.15836509634187</v>
      </c>
      <c r="D4380" s="4"/>
      <c r="E4380" s="4"/>
    </row>
    <row r="4381" spans="1:5" x14ac:dyDescent="0.3">
      <c r="A4381" s="9">
        <v>4373</v>
      </c>
      <c r="B4381" s="10">
        <f t="shared" ca="1" si="68"/>
        <v>7.8660369557729565E-2</v>
      </c>
      <c r="C4381" s="10">
        <f ca="1">NPV(B4381,Project_FCF!C18:J18)+Project_FCF!B18</f>
        <v>949.67976982131154</v>
      </c>
      <c r="D4381" s="4"/>
      <c r="E4381" s="4"/>
    </row>
    <row r="4382" spans="1:5" x14ac:dyDescent="0.3">
      <c r="A4382" s="9">
        <v>4374</v>
      </c>
      <c r="B4382" s="10">
        <f t="shared" ca="1" si="68"/>
        <v>0.10361363575258983</v>
      </c>
      <c r="C4382" s="10">
        <f ca="1">NPV(B4382,Project_FCF!C18:J18)+Project_FCF!B18</f>
        <v>757.00767193882507</v>
      </c>
      <c r="D4382" s="4"/>
      <c r="E4382" s="4"/>
    </row>
    <row r="4383" spans="1:5" x14ac:dyDescent="0.3">
      <c r="A4383" s="9">
        <v>4375</v>
      </c>
      <c r="B4383" s="10">
        <f t="shared" ca="1" si="68"/>
        <v>9.4162060049779256E-2</v>
      </c>
      <c r="C4383" s="10">
        <f ca="1">NPV(B4383,Project_FCF!C18:J18)+Project_FCF!B18</f>
        <v>825.5904329146631</v>
      </c>
      <c r="D4383" s="4"/>
      <c r="E4383" s="4"/>
    </row>
    <row r="4384" spans="1:5" x14ac:dyDescent="0.3">
      <c r="A4384" s="9">
        <v>4376</v>
      </c>
      <c r="B4384" s="10">
        <f t="shared" ca="1" si="68"/>
        <v>7.9316010381004623E-2</v>
      </c>
      <c r="C4384" s="10">
        <f ca="1">NPV(B4384,Project_FCF!C18:J18)+Project_FCF!B18</f>
        <v>944.11761518823437</v>
      </c>
      <c r="D4384" s="4"/>
      <c r="E4384" s="4"/>
    </row>
    <row r="4385" spans="1:5" x14ac:dyDescent="0.3">
      <c r="A4385" s="9">
        <v>4377</v>
      </c>
      <c r="B4385" s="10">
        <f t="shared" ca="1" si="68"/>
        <v>7.2337591322644015E-2</v>
      </c>
      <c r="C4385" s="10">
        <f ca="1">NPV(B4385,Project_FCF!C18:J18)+Project_FCF!B18</f>
        <v>1004.8377214664463</v>
      </c>
      <c r="D4385" s="4"/>
      <c r="E4385" s="4"/>
    </row>
    <row r="4386" spans="1:5" x14ac:dyDescent="0.3">
      <c r="A4386" s="9">
        <v>4378</v>
      </c>
      <c r="B4386" s="10">
        <f t="shared" ca="1" si="68"/>
        <v>9.9101376193512586E-2</v>
      </c>
      <c r="C4386" s="10">
        <f ca="1">NPV(B4386,Project_FCF!C18:J18)+Project_FCF!B18</f>
        <v>789.12090372342209</v>
      </c>
      <c r="D4386" s="4"/>
      <c r="E4386" s="4"/>
    </row>
    <row r="4387" spans="1:5" x14ac:dyDescent="0.3">
      <c r="A4387" s="9">
        <v>4379</v>
      </c>
      <c r="B4387" s="10">
        <f t="shared" ca="1" si="68"/>
        <v>7.698105290344702E-2</v>
      </c>
      <c r="C4387" s="10">
        <f ca="1">NPV(B4387,Project_FCF!C18:J18)+Project_FCF!B18</f>
        <v>964.05936623120192</v>
      </c>
      <c r="D4387" s="4"/>
      <c r="E4387" s="4"/>
    </row>
    <row r="4388" spans="1:5" x14ac:dyDescent="0.3">
      <c r="A4388" s="9">
        <v>4380</v>
      </c>
      <c r="B4388" s="10">
        <f t="shared" ca="1" si="68"/>
        <v>9.9662117387309596E-2</v>
      </c>
      <c r="C4388" s="10">
        <f ca="1">NPV(B4388,Project_FCF!C18:J18)+Project_FCF!B18</f>
        <v>785.06867883985046</v>
      </c>
      <c r="D4388" s="4"/>
      <c r="E4388" s="4"/>
    </row>
    <row r="4389" spans="1:5" x14ac:dyDescent="0.3">
      <c r="A4389" s="9">
        <v>4381</v>
      </c>
      <c r="B4389" s="10">
        <f t="shared" ca="1" si="68"/>
        <v>8.8926846627722864E-2</v>
      </c>
      <c r="C4389" s="10">
        <f ca="1">NPV(B4389,Project_FCF!C18:J18)+Project_FCF!B18</f>
        <v>865.81420871176033</v>
      </c>
      <c r="D4389" s="4"/>
      <c r="E4389" s="4"/>
    </row>
    <row r="4390" spans="1:5" x14ac:dyDescent="0.3">
      <c r="A4390" s="9">
        <v>4382</v>
      </c>
      <c r="B4390" s="10">
        <f t="shared" ca="1" si="68"/>
        <v>7.5407975729244611E-2</v>
      </c>
      <c r="C4390" s="10">
        <f ca="1">NPV(B4390,Project_FCF!C18:J18)+Project_FCF!B18</f>
        <v>977.70491911576801</v>
      </c>
      <c r="D4390" s="4"/>
      <c r="E4390" s="4"/>
    </row>
    <row r="4391" spans="1:5" x14ac:dyDescent="0.3">
      <c r="A4391" s="9">
        <v>4383</v>
      </c>
      <c r="B4391" s="10">
        <f t="shared" ca="1" si="68"/>
        <v>8.737150960339439E-2</v>
      </c>
      <c r="C4391" s="10">
        <f ca="1">NPV(B4391,Project_FCF!C18:J18)+Project_FCF!B18</f>
        <v>878.08656247145859</v>
      </c>
      <c r="D4391" s="4"/>
      <c r="E4391" s="4"/>
    </row>
    <row r="4392" spans="1:5" x14ac:dyDescent="0.3">
      <c r="A4392" s="9">
        <v>4384</v>
      </c>
      <c r="B4392" s="10">
        <f t="shared" ca="1" si="68"/>
        <v>8.8011371920552264E-2</v>
      </c>
      <c r="C4392" s="10">
        <f ca="1">NPV(B4392,Project_FCF!C18:J18)+Project_FCF!B18</f>
        <v>873.01954217388561</v>
      </c>
      <c r="D4392" s="4"/>
      <c r="E4392" s="4"/>
    </row>
    <row r="4393" spans="1:5" x14ac:dyDescent="0.3">
      <c r="A4393" s="9">
        <v>4385</v>
      </c>
      <c r="B4393" s="10">
        <f t="shared" ca="1" si="68"/>
        <v>8.9143862780331026E-2</v>
      </c>
      <c r="C4393" s="10">
        <f ca="1">NPV(B4393,Project_FCF!C18:J18)+Project_FCF!B18</f>
        <v>864.11375759809357</v>
      </c>
      <c r="D4393" s="4"/>
      <c r="E4393" s="4"/>
    </row>
    <row r="4394" spans="1:5" x14ac:dyDescent="0.3">
      <c r="A4394" s="9">
        <v>4386</v>
      </c>
      <c r="B4394" s="10">
        <f t="shared" ca="1" si="68"/>
        <v>6.9545530223255256E-2</v>
      </c>
      <c r="C4394" s="10">
        <f ca="1">NPV(B4394,Project_FCF!C18:J18)+Project_FCF!B18</f>
        <v>1030.0968996851655</v>
      </c>
      <c r="D4394" s="4"/>
      <c r="E4394" s="4"/>
    </row>
    <row r="4395" spans="1:5" x14ac:dyDescent="0.3">
      <c r="A4395" s="9">
        <v>4387</v>
      </c>
      <c r="B4395" s="10">
        <f t="shared" ca="1" si="68"/>
        <v>8.4089584867019396E-2</v>
      </c>
      <c r="C4395" s="10">
        <f ca="1">NPV(B4395,Project_FCF!C18:J18)+Project_FCF!B18</f>
        <v>904.48161094297166</v>
      </c>
      <c r="D4395" s="4"/>
      <c r="E4395" s="4"/>
    </row>
    <row r="4396" spans="1:5" x14ac:dyDescent="0.3">
      <c r="A4396" s="9">
        <v>4388</v>
      </c>
      <c r="B4396" s="10">
        <f t="shared" ca="1" si="68"/>
        <v>8.0354716019494454E-2</v>
      </c>
      <c r="C4396" s="10">
        <f ca="1">NPV(B4396,Project_FCF!C18:J18)+Project_FCF!B18</f>
        <v>935.36482681998382</v>
      </c>
      <c r="D4396" s="4"/>
      <c r="E4396" s="4"/>
    </row>
    <row r="4397" spans="1:5" x14ac:dyDescent="0.3">
      <c r="A4397" s="9">
        <v>4389</v>
      </c>
      <c r="B4397" s="10">
        <f t="shared" ca="1" si="68"/>
        <v>7.6375268461245358E-2</v>
      </c>
      <c r="C4397" s="10">
        <f ca="1">NPV(B4397,Project_FCF!C18:J18)+Project_FCF!B18</f>
        <v>969.29394535111987</v>
      </c>
      <c r="D4397" s="4"/>
      <c r="E4397" s="4"/>
    </row>
    <row r="4398" spans="1:5" x14ac:dyDescent="0.3">
      <c r="A4398" s="9">
        <v>4390</v>
      </c>
      <c r="B4398" s="10">
        <f t="shared" ca="1" si="68"/>
        <v>8.6276488065645918E-2</v>
      </c>
      <c r="C4398" s="10">
        <f ca="1">NPV(B4398,Project_FCF!C18:J18)+Project_FCF!B18</f>
        <v>886.81744801127616</v>
      </c>
      <c r="D4398" s="4"/>
      <c r="E4398" s="4"/>
    </row>
    <row r="4399" spans="1:5" x14ac:dyDescent="0.3">
      <c r="A4399" s="9">
        <v>4391</v>
      </c>
      <c r="B4399" s="10">
        <f t="shared" ca="1" si="68"/>
        <v>9.5293084243684323E-2</v>
      </c>
      <c r="C4399" s="10">
        <f ca="1">NPV(B4399,Project_FCF!C18:J18)+Project_FCF!B18</f>
        <v>817.11497211566916</v>
      </c>
      <c r="D4399" s="4"/>
      <c r="E4399" s="4"/>
    </row>
    <row r="4400" spans="1:5" x14ac:dyDescent="0.3">
      <c r="A4400" s="9">
        <v>4392</v>
      </c>
      <c r="B4400" s="10">
        <f t="shared" ca="1" si="68"/>
        <v>9.790486575225496E-2</v>
      </c>
      <c r="C4400" s="10">
        <f ca="1">NPV(B4400,Project_FCF!C18:J18)+Project_FCF!B18</f>
        <v>797.82688923766932</v>
      </c>
      <c r="D4400" s="4"/>
      <c r="E4400" s="4"/>
    </row>
    <row r="4401" spans="1:5" x14ac:dyDescent="0.3">
      <c r="A4401" s="9">
        <v>4393</v>
      </c>
      <c r="B4401" s="10">
        <f t="shared" ca="1" si="68"/>
        <v>9.678755988985735E-2</v>
      </c>
      <c r="C4401" s="10">
        <f ca="1">NPV(B4401,Project_FCF!C18:J18)+Project_FCF!B18</f>
        <v>806.03015770800266</v>
      </c>
      <c r="D4401" s="4"/>
      <c r="E4401" s="4"/>
    </row>
    <row r="4402" spans="1:5" x14ac:dyDescent="0.3">
      <c r="A4402" s="9">
        <v>4394</v>
      </c>
      <c r="B4402" s="10">
        <f t="shared" ca="1" si="68"/>
        <v>9.8866149725366226E-2</v>
      </c>
      <c r="C4402" s="10">
        <f ca="1">NPV(B4402,Project_FCF!C18:J18)+Project_FCF!B18</f>
        <v>790.82604914929448</v>
      </c>
      <c r="D4402" s="4"/>
      <c r="E4402" s="4"/>
    </row>
    <row r="4403" spans="1:5" x14ac:dyDescent="0.3">
      <c r="A4403" s="9">
        <v>4395</v>
      </c>
      <c r="B4403" s="10">
        <f t="shared" ca="1" si="68"/>
        <v>0.10161936675904334</v>
      </c>
      <c r="C4403" s="10">
        <f ca="1">NPV(B4403,Project_FCF!C18:J18)+Project_FCF!B18</f>
        <v>771.0620946295594</v>
      </c>
      <c r="D4403" s="4"/>
      <c r="E4403" s="4"/>
    </row>
    <row r="4404" spans="1:5" x14ac:dyDescent="0.3">
      <c r="A4404" s="9">
        <v>4396</v>
      </c>
      <c r="B4404" s="10">
        <f t="shared" ca="1" si="68"/>
        <v>0.10060350032036183</v>
      </c>
      <c r="C4404" s="10">
        <f ca="1">NPV(B4404,Project_FCF!C18:J18)+Project_FCF!B18</f>
        <v>778.30532014830669</v>
      </c>
      <c r="D4404" s="4"/>
      <c r="E4404" s="4"/>
    </row>
    <row r="4405" spans="1:5" x14ac:dyDescent="0.3">
      <c r="A4405" s="9">
        <v>4397</v>
      </c>
      <c r="B4405" s="10">
        <f t="shared" ca="1" si="68"/>
        <v>0.10396819069495633</v>
      </c>
      <c r="C4405" s="10">
        <f ca="1">NPV(B4405,Project_FCF!C18:J18)+Project_FCF!B18</f>
        <v>754.53163109315506</v>
      </c>
      <c r="D4405" s="4"/>
      <c r="E4405" s="4"/>
    </row>
    <row r="4406" spans="1:5" x14ac:dyDescent="0.3">
      <c r="A4406" s="9">
        <v>4398</v>
      </c>
      <c r="B4406" s="10">
        <f t="shared" ca="1" si="68"/>
        <v>6.5383274435712638E-2</v>
      </c>
      <c r="C4406" s="10">
        <f ca="1">NPV(B4406,Project_FCF!C18:J18)+Project_FCF!B18</f>
        <v>1068.8201144448681</v>
      </c>
      <c r="D4406" s="4"/>
      <c r="E4406" s="4"/>
    </row>
    <row r="4407" spans="1:5" x14ac:dyDescent="0.3">
      <c r="A4407" s="9">
        <v>4399</v>
      </c>
      <c r="B4407" s="10">
        <f t="shared" ca="1" si="68"/>
        <v>7.4991241788107565E-2</v>
      </c>
      <c r="C4407" s="10">
        <f ca="1">NPV(B4407,Project_FCF!C18:J18)+Project_FCF!B18</f>
        <v>981.34863709129831</v>
      </c>
      <c r="D4407" s="4"/>
      <c r="E4407" s="4"/>
    </row>
    <row r="4408" spans="1:5" x14ac:dyDescent="0.3">
      <c r="A4408" s="9">
        <v>4400</v>
      </c>
      <c r="B4408" s="10">
        <f t="shared" ca="1" si="68"/>
        <v>6.6040566393090264E-2</v>
      </c>
      <c r="C4408" s="10">
        <f ca="1">NPV(B4408,Project_FCF!C18:J18)+Project_FCF!B18</f>
        <v>1062.6183929385368</v>
      </c>
      <c r="D4408" s="4"/>
      <c r="E4408" s="4"/>
    </row>
    <row r="4409" spans="1:5" x14ac:dyDescent="0.3">
      <c r="A4409" s="9">
        <v>4401</v>
      </c>
      <c r="B4409" s="10">
        <f t="shared" ca="1" si="68"/>
        <v>6.8373138499759969E-2</v>
      </c>
      <c r="C4409" s="10">
        <f ca="1">NPV(B4409,Project_FCF!C18:J18)+Project_FCF!B18</f>
        <v>1040.8732336326725</v>
      </c>
      <c r="D4409" s="4"/>
      <c r="E4409" s="4"/>
    </row>
    <row r="4410" spans="1:5" x14ac:dyDescent="0.3">
      <c r="A4410" s="9">
        <v>4402</v>
      </c>
      <c r="B4410" s="10">
        <f t="shared" ca="1" si="68"/>
        <v>8.9960879167195029E-2</v>
      </c>
      <c r="C4410" s="10">
        <f ca="1">NPV(B4410,Project_FCF!C18:J18)+Project_FCF!B18</f>
        <v>857.73790531795544</v>
      </c>
      <c r="D4410" s="4"/>
      <c r="E4410" s="4"/>
    </row>
    <row r="4411" spans="1:5" x14ac:dyDescent="0.3">
      <c r="A4411" s="9">
        <v>4403</v>
      </c>
      <c r="B4411" s="10">
        <f t="shared" ca="1" si="68"/>
        <v>7.8968449822779591E-2</v>
      </c>
      <c r="C4411" s="10">
        <f ca="1">NPV(B4411,Project_FCF!C18:J18)+Project_FCF!B18</f>
        <v>947.06254734009758</v>
      </c>
      <c r="D4411" s="4"/>
      <c r="E4411" s="4"/>
    </row>
    <row r="4412" spans="1:5" x14ac:dyDescent="0.3">
      <c r="A4412" s="9">
        <v>4404</v>
      </c>
      <c r="B4412" s="10">
        <f t="shared" ca="1" si="68"/>
        <v>9.7293334705843906E-2</v>
      </c>
      <c r="C4412" s="10">
        <f ca="1">NPV(B4412,Project_FCF!C18:J18)+Project_FCF!B18</f>
        <v>802.30790394577184</v>
      </c>
      <c r="D4412" s="4"/>
      <c r="E4412" s="4"/>
    </row>
    <row r="4413" spans="1:5" x14ac:dyDescent="0.3">
      <c r="A4413" s="9">
        <v>4405</v>
      </c>
      <c r="B4413" s="10">
        <f t="shared" ca="1" si="68"/>
        <v>8.3910161151387511E-2</v>
      </c>
      <c r="C4413" s="10">
        <f ca="1">NPV(B4413,Project_FCF!C18:J18)+Project_FCF!B18</f>
        <v>905.94445470853543</v>
      </c>
      <c r="D4413" s="4"/>
      <c r="E4413" s="4"/>
    </row>
    <row r="4414" spans="1:5" x14ac:dyDescent="0.3">
      <c r="A4414" s="9">
        <v>4406</v>
      </c>
      <c r="B4414" s="10">
        <f t="shared" ca="1" si="68"/>
        <v>7.2809515183508811E-2</v>
      </c>
      <c r="C4414" s="10">
        <f ca="1">NPV(B4414,Project_FCF!C18:J18)+Project_FCF!B18</f>
        <v>1000.6238983718833</v>
      </c>
      <c r="D4414" s="4"/>
      <c r="E4414" s="4"/>
    </row>
    <row r="4415" spans="1:5" x14ac:dyDescent="0.3">
      <c r="A4415" s="9">
        <v>4407</v>
      </c>
      <c r="B4415" s="10">
        <f t="shared" ca="1" si="68"/>
        <v>8.5361091165604586E-2</v>
      </c>
      <c r="C4415" s="10">
        <f ca="1">NPV(B4415,Project_FCF!C18:J18)+Project_FCF!B18</f>
        <v>894.17423329836652</v>
      </c>
      <c r="D4415" s="4"/>
      <c r="E4415" s="4"/>
    </row>
    <row r="4416" spans="1:5" x14ac:dyDescent="0.3">
      <c r="A4416" s="9">
        <v>4408</v>
      </c>
      <c r="B4416" s="10">
        <f t="shared" ca="1" si="68"/>
        <v>8.1726762215619114E-2</v>
      </c>
      <c r="C4416" s="10">
        <f ca="1">NPV(B4416,Project_FCF!C18:J18)+Project_FCF!B18</f>
        <v>923.91317697500926</v>
      </c>
      <c r="D4416" s="4"/>
      <c r="E4416" s="4"/>
    </row>
    <row r="4417" spans="1:5" x14ac:dyDescent="0.3">
      <c r="A4417" s="9">
        <v>4409</v>
      </c>
      <c r="B4417" s="10">
        <f t="shared" ca="1" si="68"/>
        <v>9.0164159469377309E-2</v>
      </c>
      <c r="C4417" s="10">
        <f ca="1">NPV(B4417,Project_FCF!C18:J18)+Project_FCF!B18</f>
        <v>856.15789108177</v>
      </c>
      <c r="D4417" s="4"/>
      <c r="E4417" s="4"/>
    </row>
    <row r="4418" spans="1:5" x14ac:dyDescent="0.3">
      <c r="A4418" s="9">
        <v>4410</v>
      </c>
      <c r="B4418" s="10">
        <f t="shared" ca="1" si="68"/>
        <v>8.6918303909360048E-2</v>
      </c>
      <c r="C4418" s="10">
        <f ca="1">NPV(B4418,Project_FCF!C18:J18)+Project_FCF!B18</f>
        <v>881.69094769198909</v>
      </c>
      <c r="D4418" s="4"/>
      <c r="E4418" s="4"/>
    </row>
    <row r="4419" spans="1:5" x14ac:dyDescent="0.3">
      <c r="A4419" s="9">
        <v>4411</v>
      </c>
      <c r="B4419" s="10">
        <f t="shared" ca="1" si="68"/>
        <v>6.828534359799876E-2</v>
      </c>
      <c r="C4419" s="10">
        <f ca="1">NPV(B4419,Project_FCF!C18:J18)+Project_FCF!B18</f>
        <v>1041.6843183113062</v>
      </c>
      <c r="D4419" s="4"/>
      <c r="E4419" s="4"/>
    </row>
    <row r="4420" spans="1:5" x14ac:dyDescent="0.3">
      <c r="A4420" s="9">
        <v>4412</v>
      </c>
      <c r="B4420" s="10">
        <f t="shared" ca="1" si="68"/>
        <v>6.5131625955375097E-2</v>
      </c>
      <c r="C4420" s="10">
        <f ca="1">NPV(B4420,Project_FCF!C18:J18)+Project_FCF!B18</f>
        <v>1071.2032039740852</v>
      </c>
      <c r="D4420" s="4"/>
      <c r="E4420" s="4"/>
    </row>
    <row r="4421" spans="1:5" x14ac:dyDescent="0.3">
      <c r="A4421" s="9">
        <v>4413</v>
      </c>
      <c r="B4421" s="10">
        <f t="shared" ca="1" si="68"/>
        <v>8.7956649163342254E-2</v>
      </c>
      <c r="C4421" s="10">
        <f ca="1">NPV(B4421,Project_FCF!C18:J18)+Project_FCF!B18</f>
        <v>873.45188969704236</v>
      </c>
      <c r="D4421" s="4"/>
      <c r="E4421" s="4"/>
    </row>
    <row r="4422" spans="1:5" x14ac:dyDescent="0.3">
      <c r="A4422" s="9">
        <v>4414</v>
      </c>
      <c r="B4422" s="10">
        <f t="shared" ca="1" si="68"/>
        <v>8.7708042864911795E-2</v>
      </c>
      <c r="C4422" s="10">
        <f ca="1">NPV(B4422,Project_FCF!C18:J18)+Project_FCF!B18</f>
        <v>875.41839833475956</v>
      </c>
      <c r="D4422" s="4"/>
      <c r="E4422" s="4"/>
    </row>
    <row r="4423" spans="1:5" x14ac:dyDescent="0.3">
      <c r="A4423" s="9">
        <v>4415</v>
      </c>
      <c r="B4423" s="10">
        <f t="shared" ca="1" si="68"/>
        <v>8.2907476464206972E-2</v>
      </c>
      <c r="C4423" s="10">
        <f ca="1">NPV(B4423,Project_FCF!C18:J18)+Project_FCF!B18</f>
        <v>914.15768932045103</v>
      </c>
      <c r="D4423" s="4"/>
      <c r="E4423" s="4"/>
    </row>
    <row r="4424" spans="1:5" x14ac:dyDescent="0.3">
      <c r="A4424" s="9">
        <v>4416</v>
      </c>
      <c r="B4424" s="10">
        <f t="shared" ca="1" si="68"/>
        <v>8.8151858070025263E-2</v>
      </c>
      <c r="C4424" s="10">
        <f ca="1">NPV(B4424,Project_FCF!C18:J18)+Project_FCF!B18</f>
        <v>871.91045725753315</v>
      </c>
      <c r="D4424" s="4"/>
      <c r="E4424" s="4"/>
    </row>
    <row r="4425" spans="1:5" x14ac:dyDescent="0.3">
      <c r="A4425" s="9">
        <v>4417</v>
      </c>
      <c r="B4425" s="10">
        <f t="shared" ref="B4425:B4488" ca="1" si="69">$B$4+RAND()*($B$5-$B$4)</f>
        <v>9.1762307467982723E-2</v>
      </c>
      <c r="C4425" s="10">
        <f ca="1">NPV(B4425,Project_FCF!C18:J18)+Project_FCF!B18</f>
        <v>843.82359489389864</v>
      </c>
      <c r="D4425" s="4"/>
      <c r="E4425" s="4"/>
    </row>
    <row r="4426" spans="1:5" x14ac:dyDescent="0.3">
      <c r="A4426" s="9">
        <v>4418</v>
      </c>
      <c r="B4426" s="10">
        <f t="shared" ca="1" si="69"/>
        <v>9.283597857065938E-2</v>
      </c>
      <c r="C4426" s="10">
        <f ca="1">NPV(B4426,Project_FCF!C18:J18)+Project_FCF!B18</f>
        <v>835.62353899179993</v>
      </c>
      <c r="D4426" s="4"/>
      <c r="E4426" s="4"/>
    </row>
    <row r="4427" spans="1:5" x14ac:dyDescent="0.3">
      <c r="A4427" s="9">
        <v>4419</v>
      </c>
      <c r="B4427" s="10">
        <f t="shared" ca="1" si="69"/>
        <v>7.8813414894902012E-2</v>
      </c>
      <c r="C4427" s="10">
        <f ca="1">NPV(B4427,Project_FCF!C18:J18)+Project_FCF!B18</f>
        <v>948.37880813954212</v>
      </c>
      <c r="D4427" s="4"/>
      <c r="E4427" s="4"/>
    </row>
    <row r="4428" spans="1:5" x14ac:dyDescent="0.3">
      <c r="A4428" s="9">
        <v>4420</v>
      </c>
      <c r="B4428" s="10">
        <f t="shared" ca="1" si="69"/>
        <v>8.6192039218430619E-2</v>
      </c>
      <c r="C4428" s="10">
        <f ca="1">NPV(B4428,Project_FCF!C18:J18)+Project_FCF!B18</f>
        <v>887.4939165295757</v>
      </c>
      <c r="D4428" s="4"/>
      <c r="E4428" s="4"/>
    </row>
    <row r="4429" spans="1:5" x14ac:dyDescent="0.3">
      <c r="A4429" s="9">
        <v>4421</v>
      </c>
      <c r="B4429" s="10">
        <f t="shared" ca="1" si="69"/>
        <v>9.5534908985458786E-2</v>
      </c>
      <c r="C4429" s="10">
        <f ca="1">NPV(B4429,Project_FCF!C18:J18)+Project_FCF!B18</f>
        <v>815.31252976840551</v>
      </c>
      <c r="D4429" s="4"/>
      <c r="E4429" s="4"/>
    </row>
    <row r="4430" spans="1:5" x14ac:dyDescent="0.3">
      <c r="A4430" s="9">
        <v>4422</v>
      </c>
      <c r="B4430" s="10">
        <f t="shared" ca="1" si="69"/>
        <v>8.014151982797374E-2</v>
      </c>
      <c r="C4430" s="10">
        <f ca="1">NPV(B4430,Project_FCF!C18:J18)+Project_FCF!B18</f>
        <v>937.15546736565375</v>
      </c>
      <c r="D4430" s="4"/>
      <c r="E4430" s="4"/>
    </row>
    <row r="4431" spans="1:5" x14ac:dyDescent="0.3">
      <c r="A4431" s="9">
        <v>4423</v>
      </c>
      <c r="B4431" s="10">
        <f t="shared" ca="1" si="69"/>
        <v>7.5754592556938644E-2</v>
      </c>
      <c r="C4431" s="10">
        <f ca="1">NPV(B4431,Project_FCF!C18:J18)+Project_FCF!B18</f>
        <v>974.68349048436858</v>
      </c>
      <c r="D4431" s="4"/>
      <c r="E4431" s="4"/>
    </row>
    <row r="4432" spans="1:5" x14ac:dyDescent="0.3">
      <c r="A4432" s="9">
        <v>4424</v>
      </c>
      <c r="B4432" s="10">
        <f t="shared" ca="1" si="69"/>
        <v>7.1228120736987394E-2</v>
      </c>
      <c r="C4432" s="10">
        <f ca="1">NPV(B4432,Project_FCF!C18:J18)+Project_FCF!B18</f>
        <v>1014.8071929122029</v>
      </c>
      <c r="D4432" s="4"/>
      <c r="E4432" s="4"/>
    </row>
    <row r="4433" spans="1:5" x14ac:dyDescent="0.3">
      <c r="A4433" s="9">
        <v>4425</v>
      </c>
      <c r="B4433" s="10">
        <f t="shared" ca="1" si="69"/>
        <v>9.3918021496693982E-2</v>
      </c>
      <c r="C4433" s="10">
        <f ca="1">NPV(B4433,Project_FCF!C18:J18)+Project_FCF!B18</f>
        <v>827.42901515429298</v>
      </c>
      <c r="D4433" s="4"/>
      <c r="E4433" s="4"/>
    </row>
    <row r="4434" spans="1:5" x14ac:dyDescent="0.3">
      <c r="A4434" s="9">
        <v>4426</v>
      </c>
      <c r="B4434" s="10">
        <f t="shared" ca="1" si="69"/>
        <v>8.1547219459180101E-2</v>
      </c>
      <c r="C4434" s="10">
        <f ca="1">NPV(B4434,Project_FCF!C18:J18)+Project_FCF!B18</f>
        <v>925.40463555300948</v>
      </c>
      <c r="D4434" s="4"/>
      <c r="E4434" s="4"/>
    </row>
    <row r="4435" spans="1:5" x14ac:dyDescent="0.3">
      <c r="A4435" s="9">
        <v>4427</v>
      </c>
      <c r="B4435" s="10">
        <f t="shared" ca="1" si="69"/>
        <v>8.7800850820423548E-2</v>
      </c>
      <c r="C4435" s="10">
        <f ca="1">NPV(B4435,Project_FCF!C18:J18)+Project_FCF!B18</f>
        <v>874.68382476848433</v>
      </c>
      <c r="D4435" s="4"/>
      <c r="E4435" s="4"/>
    </row>
    <row r="4436" spans="1:5" x14ac:dyDescent="0.3">
      <c r="A4436" s="9">
        <v>4428</v>
      </c>
      <c r="B4436" s="10">
        <f t="shared" ca="1" si="69"/>
        <v>7.3438975254573352E-2</v>
      </c>
      <c r="C4436" s="10">
        <f ca="1">NPV(B4436,Project_FCF!C18:J18)+Project_FCF!B18</f>
        <v>995.0281464438799</v>
      </c>
      <c r="D4436" s="4"/>
      <c r="E4436" s="4"/>
    </row>
    <row r="4437" spans="1:5" x14ac:dyDescent="0.3">
      <c r="A4437" s="9">
        <v>4429</v>
      </c>
      <c r="B4437" s="10">
        <f t="shared" ca="1" si="69"/>
        <v>9.1855710238503141E-2</v>
      </c>
      <c r="C4437" s="10">
        <f ca="1">NPV(B4437,Project_FCF!C18:J18)+Project_FCF!B18</f>
        <v>843.10749687885755</v>
      </c>
      <c r="D4437" s="4"/>
      <c r="E4437" s="4"/>
    </row>
    <row r="4438" spans="1:5" x14ac:dyDescent="0.3">
      <c r="A4438" s="9">
        <v>4430</v>
      </c>
      <c r="B4438" s="10">
        <f t="shared" ca="1" si="69"/>
        <v>9.0825917152800542E-2</v>
      </c>
      <c r="C4438" s="10">
        <f ca="1">NPV(B4438,Project_FCF!C18:J18)+Project_FCF!B18</f>
        <v>851.03175775662771</v>
      </c>
      <c r="D4438" s="4"/>
      <c r="E4438" s="4"/>
    </row>
    <row r="4439" spans="1:5" x14ac:dyDescent="0.3">
      <c r="A4439" s="9">
        <v>4431</v>
      </c>
      <c r="B4439" s="10">
        <f t="shared" ca="1" si="69"/>
        <v>7.1485865263580375E-2</v>
      </c>
      <c r="C4439" s="10">
        <f ca="1">NPV(B4439,Project_FCF!C18:J18)+Project_FCF!B18</f>
        <v>1012.4832432619623</v>
      </c>
      <c r="D4439" s="4"/>
      <c r="E4439" s="4"/>
    </row>
    <row r="4440" spans="1:5" x14ac:dyDescent="0.3">
      <c r="A4440" s="9">
        <v>4432</v>
      </c>
      <c r="B4440" s="10">
        <f t="shared" ca="1" si="69"/>
        <v>6.4860461193565838E-2</v>
      </c>
      <c r="C4440" s="10">
        <f ca="1">NPV(B4440,Project_FCF!C18:J18)+Project_FCF!B18</f>
        <v>1073.7765353573427</v>
      </c>
      <c r="D4440" s="4"/>
      <c r="E4440" s="4"/>
    </row>
    <row r="4441" spans="1:5" x14ac:dyDescent="0.3">
      <c r="A4441" s="9">
        <v>4433</v>
      </c>
      <c r="B4441" s="10">
        <f t="shared" ca="1" si="69"/>
        <v>8.223455411567801E-2</v>
      </c>
      <c r="C4441" s="10">
        <f ca="1">NPV(B4441,Project_FCF!C18:J18)+Project_FCF!B18</f>
        <v>919.70643081176672</v>
      </c>
      <c r="D4441" s="4"/>
      <c r="E4441" s="4"/>
    </row>
    <row r="4442" spans="1:5" x14ac:dyDescent="0.3">
      <c r="A4442" s="9">
        <v>4434</v>
      </c>
      <c r="B4442" s="10">
        <f t="shared" ca="1" si="69"/>
        <v>0.10280622007978904</v>
      </c>
      <c r="C4442" s="10">
        <f ca="1">NPV(B4442,Project_FCF!C18:J18)+Project_FCF!B18</f>
        <v>762.6717034300857</v>
      </c>
      <c r="D4442" s="4"/>
      <c r="E4442" s="4"/>
    </row>
    <row r="4443" spans="1:5" x14ac:dyDescent="0.3">
      <c r="A4443" s="9">
        <v>4435</v>
      </c>
      <c r="B4443" s="10">
        <f t="shared" ca="1" si="69"/>
        <v>7.8093788239207373E-2</v>
      </c>
      <c r="C4443" s="10">
        <f ca="1">NPV(B4443,Project_FCF!C18:J18)+Project_FCF!B18</f>
        <v>954.50980255276636</v>
      </c>
      <c r="D4443" s="4"/>
      <c r="E4443" s="4"/>
    </row>
    <row r="4444" spans="1:5" x14ac:dyDescent="0.3">
      <c r="A4444" s="9">
        <v>4436</v>
      </c>
      <c r="B4444" s="10">
        <f t="shared" ca="1" si="69"/>
        <v>7.0168314589365288E-2</v>
      </c>
      <c r="C4444" s="10">
        <f ca="1">NPV(B4444,Project_FCF!C18:J18)+Project_FCF!B18</f>
        <v>1024.4135714874344</v>
      </c>
      <c r="D4444" s="4"/>
      <c r="E4444" s="4"/>
    </row>
    <row r="4445" spans="1:5" x14ac:dyDescent="0.3">
      <c r="A4445" s="9">
        <v>4437</v>
      </c>
      <c r="B4445" s="10">
        <f t="shared" ca="1" si="69"/>
        <v>9.0187259559508487E-2</v>
      </c>
      <c r="C4445" s="10">
        <f ca="1">NPV(B4445,Project_FCF!C18:J18)+Project_FCF!B18</f>
        <v>855.97850317096572</v>
      </c>
      <c r="D4445" s="4"/>
      <c r="E4445" s="4"/>
    </row>
    <row r="4446" spans="1:5" x14ac:dyDescent="0.3">
      <c r="A4446" s="9">
        <v>4438</v>
      </c>
      <c r="B4446" s="10">
        <f t="shared" ca="1" si="69"/>
        <v>9.2445872577685578E-2</v>
      </c>
      <c r="C4446" s="10">
        <f ca="1">NPV(B4446,Project_FCF!C18:J18)+Project_FCF!B18</f>
        <v>838.59495779068266</v>
      </c>
      <c r="D4446" s="4"/>
      <c r="E4446" s="4"/>
    </row>
    <row r="4447" spans="1:5" x14ac:dyDescent="0.3">
      <c r="A4447" s="9">
        <v>4439</v>
      </c>
      <c r="B4447" s="10">
        <f t="shared" ca="1" si="69"/>
        <v>7.8926182304738579E-2</v>
      </c>
      <c r="C4447" s="10">
        <f ca="1">NPV(B4447,Project_FCF!C18:J18)+Project_FCF!B18</f>
        <v>947.42124158102229</v>
      </c>
      <c r="D4447" s="4"/>
      <c r="E4447" s="4"/>
    </row>
    <row r="4448" spans="1:5" x14ac:dyDescent="0.3">
      <c r="A4448" s="9">
        <v>4440</v>
      </c>
      <c r="B4448" s="10">
        <f t="shared" ca="1" si="69"/>
        <v>8.5785483741745855E-2</v>
      </c>
      <c r="C4448" s="10">
        <f ca="1">NPV(B4448,Project_FCF!C18:J18)+Project_FCF!B18</f>
        <v>890.75690149723732</v>
      </c>
      <c r="D4448" s="4"/>
      <c r="E4448" s="4"/>
    </row>
    <row r="4449" spans="1:5" x14ac:dyDescent="0.3">
      <c r="A4449" s="9">
        <v>4441</v>
      </c>
      <c r="B4449" s="10">
        <f t="shared" ca="1" si="69"/>
        <v>7.2635462247708588E-2</v>
      </c>
      <c r="C4449" s="10">
        <f ca="1">NPV(B4449,Project_FCF!C18:J18)+Project_FCF!B18</f>
        <v>1002.176169632696</v>
      </c>
      <c r="D4449" s="4"/>
      <c r="E4449" s="4"/>
    </row>
    <row r="4450" spans="1:5" x14ac:dyDescent="0.3">
      <c r="A4450" s="9">
        <v>4442</v>
      </c>
      <c r="B4450" s="10">
        <f t="shared" ca="1" si="69"/>
        <v>8.3473603232818105E-2</v>
      </c>
      <c r="C4450" s="10">
        <f ca="1">NPV(B4450,Project_FCF!C18:J18)+Project_FCF!B18</f>
        <v>909.51239907951344</v>
      </c>
      <c r="D4450" s="4"/>
      <c r="E4450" s="4"/>
    </row>
    <row r="4451" spans="1:5" x14ac:dyDescent="0.3">
      <c r="A4451" s="9">
        <v>4443</v>
      </c>
      <c r="B4451" s="10">
        <f t="shared" ca="1" si="69"/>
        <v>7.4086411870071839E-2</v>
      </c>
      <c r="C4451" s="10">
        <f ca="1">NPV(B4451,Project_FCF!C18:J18)+Project_FCF!B18</f>
        <v>989.30190563759447</v>
      </c>
      <c r="D4451" s="4"/>
      <c r="E4451" s="4"/>
    </row>
    <row r="4452" spans="1:5" x14ac:dyDescent="0.3">
      <c r="A4452" s="9">
        <v>4444</v>
      </c>
      <c r="B4452" s="10">
        <f t="shared" ca="1" si="69"/>
        <v>8.0423585030380842E-2</v>
      </c>
      <c r="C4452" s="10">
        <f ca="1">NPV(B4452,Project_FCF!C18:J18)+Project_FCF!B18</f>
        <v>934.78704153387048</v>
      </c>
      <c r="D4452" s="4"/>
      <c r="E4452" s="4"/>
    </row>
    <row r="4453" spans="1:5" x14ac:dyDescent="0.3">
      <c r="A4453" s="9">
        <v>4445</v>
      </c>
      <c r="B4453" s="10">
        <f t="shared" ca="1" si="69"/>
        <v>9.716869733656841E-2</v>
      </c>
      <c r="C4453" s="10">
        <f ca="1">NPV(B4453,Project_FCF!C18:J18)+Project_FCF!B18</f>
        <v>803.22381128172401</v>
      </c>
      <c r="D4453" s="4"/>
      <c r="E4453" s="4"/>
    </row>
    <row r="4454" spans="1:5" x14ac:dyDescent="0.3">
      <c r="A4454" s="9">
        <v>4446</v>
      </c>
      <c r="B4454" s="10">
        <f t="shared" ca="1" si="69"/>
        <v>9.3309874948791227E-2</v>
      </c>
      <c r="C4454" s="10">
        <f ca="1">NPV(B4454,Project_FCF!C18:J18)+Project_FCF!B18</f>
        <v>832.02608456126222</v>
      </c>
      <c r="D4454" s="4"/>
      <c r="E4454" s="4"/>
    </row>
    <row r="4455" spans="1:5" x14ac:dyDescent="0.3">
      <c r="A4455" s="9">
        <v>4447</v>
      </c>
      <c r="B4455" s="10">
        <f t="shared" ca="1" si="69"/>
        <v>7.0212495803780542E-2</v>
      </c>
      <c r="C4455" s="10">
        <f ca="1">NPV(B4455,Project_FCF!C18:J18)+Project_FCF!B18</f>
        <v>1024.0114666170757</v>
      </c>
      <c r="D4455" s="4"/>
      <c r="E4455" s="4"/>
    </row>
    <row r="4456" spans="1:5" x14ac:dyDescent="0.3">
      <c r="A4456" s="9">
        <v>4448</v>
      </c>
      <c r="B4456" s="10">
        <f t="shared" ca="1" si="69"/>
        <v>6.5459227363763264E-2</v>
      </c>
      <c r="C4456" s="10">
        <f ca="1">NPV(B4456,Project_FCF!C18:J18)+Project_FCF!B18</f>
        <v>1068.101797034233</v>
      </c>
      <c r="D4456" s="4"/>
      <c r="E4456" s="4"/>
    </row>
    <row r="4457" spans="1:5" x14ac:dyDescent="0.3">
      <c r="A4457" s="9">
        <v>4449</v>
      </c>
      <c r="B4457" s="10">
        <f t="shared" ca="1" si="69"/>
        <v>0.10214414953232549</v>
      </c>
      <c r="C4457" s="10">
        <f ca="1">NPV(B4457,Project_FCF!C18:J18)+Project_FCF!B18</f>
        <v>767.34264924599324</v>
      </c>
      <c r="D4457" s="4"/>
      <c r="E4457" s="4"/>
    </row>
    <row r="4458" spans="1:5" x14ac:dyDescent="0.3">
      <c r="A4458" s="9">
        <v>4450</v>
      </c>
      <c r="B4458" s="10">
        <f t="shared" ca="1" si="69"/>
        <v>7.1497937564778971E-2</v>
      </c>
      <c r="C4458" s="10">
        <f ca="1">NPV(B4458,Project_FCF!C18:J18)+Project_FCF!B18</f>
        <v>1012.37451122163</v>
      </c>
      <c r="D4458" s="4"/>
      <c r="E4458" s="4"/>
    </row>
    <row r="4459" spans="1:5" x14ac:dyDescent="0.3">
      <c r="A4459" s="9">
        <v>4451</v>
      </c>
      <c r="B4459" s="10">
        <f t="shared" ca="1" si="69"/>
        <v>8.2174759120193411E-2</v>
      </c>
      <c r="C4459" s="10">
        <f ca="1">NPV(B4459,Project_FCF!C18:J18)+Project_FCF!B18</f>
        <v>920.20091701548972</v>
      </c>
      <c r="D4459" s="4"/>
      <c r="E4459" s="4"/>
    </row>
    <row r="4460" spans="1:5" x14ac:dyDescent="0.3">
      <c r="A4460" s="9">
        <v>4452</v>
      </c>
      <c r="B4460" s="10">
        <f t="shared" ca="1" si="69"/>
        <v>7.4159036753891017E-2</v>
      </c>
      <c r="C4460" s="10">
        <f ca="1">NPV(B4460,Project_FCF!C18:J18)+Project_FCF!B18</f>
        <v>988.66142323150916</v>
      </c>
      <c r="D4460" s="4"/>
      <c r="E4460" s="4"/>
    </row>
    <row r="4461" spans="1:5" x14ac:dyDescent="0.3">
      <c r="A4461" s="9">
        <v>4453</v>
      </c>
      <c r="B4461" s="10">
        <f t="shared" ca="1" si="69"/>
        <v>0.10278587055239562</v>
      </c>
      <c r="C4461" s="10">
        <f ca="1">NPV(B4461,Project_FCF!C18:J18)+Project_FCF!B18</f>
        <v>762.81491379118825</v>
      </c>
      <c r="D4461" s="4"/>
      <c r="E4461" s="4"/>
    </row>
    <row r="4462" spans="1:5" x14ac:dyDescent="0.3">
      <c r="A4462" s="9">
        <v>4454</v>
      </c>
      <c r="B4462" s="10">
        <f t="shared" ca="1" si="69"/>
        <v>8.2514938231778245E-2</v>
      </c>
      <c r="C4462" s="10">
        <f ca="1">NPV(B4462,Project_FCF!C18:J18)+Project_FCF!B18</f>
        <v>917.39086235354989</v>
      </c>
      <c r="D4462" s="4"/>
      <c r="E4462" s="4"/>
    </row>
    <row r="4463" spans="1:5" x14ac:dyDescent="0.3">
      <c r="A4463" s="9">
        <v>4455</v>
      </c>
      <c r="B4463" s="10">
        <f t="shared" ca="1" si="69"/>
        <v>9.9055215508072836E-2</v>
      </c>
      <c r="C4463" s="10">
        <f ca="1">NPV(B4463,Project_FCF!C18:J18)+Project_FCF!B18</f>
        <v>789.45527426810668</v>
      </c>
      <c r="D4463" s="4"/>
      <c r="E4463" s="4"/>
    </row>
    <row r="4464" spans="1:5" x14ac:dyDescent="0.3">
      <c r="A4464" s="9">
        <v>4456</v>
      </c>
      <c r="B4464" s="10">
        <f t="shared" ca="1" si="69"/>
        <v>9.9548623565270306E-2</v>
      </c>
      <c r="C4464" s="10">
        <f ca="1">NPV(B4464,Project_FCF!C18:J18)+Project_FCF!B18</f>
        <v>785.88742207314431</v>
      </c>
      <c r="D4464" s="4"/>
      <c r="E4464" s="4"/>
    </row>
    <row r="4465" spans="1:5" x14ac:dyDescent="0.3">
      <c r="A4465" s="9">
        <v>4457</v>
      </c>
      <c r="B4465" s="10">
        <f t="shared" ca="1" si="69"/>
        <v>8.8099480974664773E-2</v>
      </c>
      <c r="C4465" s="10">
        <f ca="1">NPV(B4465,Project_FCF!C18:J18)+Project_FCF!B18</f>
        <v>872.32381117284967</v>
      </c>
      <c r="D4465" s="4"/>
      <c r="E4465" s="4"/>
    </row>
    <row r="4466" spans="1:5" x14ac:dyDescent="0.3">
      <c r="A4466" s="9">
        <v>4458</v>
      </c>
      <c r="B4466" s="10">
        <f t="shared" ca="1" si="69"/>
        <v>9.4049346119899568E-2</v>
      </c>
      <c r="C4466" s="10">
        <f ca="1">NPV(B4466,Project_FCF!C18:J18)+Project_FCF!B18</f>
        <v>826.43918157174994</v>
      </c>
      <c r="D4466" s="4"/>
      <c r="E4466" s="4"/>
    </row>
    <row r="4467" spans="1:5" x14ac:dyDescent="0.3">
      <c r="A4467" s="9">
        <v>4459</v>
      </c>
      <c r="B4467" s="10">
        <f t="shared" ca="1" si="69"/>
        <v>8.6643192445930828E-2</v>
      </c>
      <c r="C4467" s="10">
        <f ca="1">NPV(B4467,Project_FCF!C18:J18)+Project_FCF!B18</f>
        <v>883.88522224381336</v>
      </c>
      <c r="D4467" s="4"/>
      <c r="E4467" s="4"/>
    </row>
    <row r="4468" spans="1:5" x14ac:dyDescent="0.3">
      <c r="A4468" s="9">
        <v>4460</v>
      </c>
      <c r="B4468" s="10">
        <f t="shared" ca="1" si="69"/>
        <v>6.9777496382033039E-2</v>
      </c>
      <c r="C4468" s="10">
        <f ca="1">NPV(B4468,Project_FCF!C18:J18)+Project_FCF!B18</f>
        <v>1027.9767291169057</v>
      </c>
      <c r="D4468" s="4"/>
      <c r="E4468" s="4"/>
    </row>
    <row r="4469" spans="1:5" x14ac:dyDescent="0.3">
      <c r="A4469" s="9">
        <v>4461</v>
      </c>
      <c r="B4469" s="10">
        <f t="shared" ca="1" si="69"/>
        <v>6.8798803944024031E-2</v>
      </c>
      <c r="C4469" s="10">
        <f ca="1">NPV(B4469,Project_FCF!C18:J18)+Project_FCF!B18</f>
        <v>1036.9488741084156</v>
      </c>
      <c r="D4469" s="4"/>
      <c r="E4469" s="4"/>
    </row>
    <row r="4470" spans="1:5" x14ac:dyDescent="0.3">
      <c r="A4470" s="9">
        <v>4462</v>
      </c>
      <c r="B4470" s="10">
        <f t="shared" ca="1" si="69"/>
        <v>9.2133548515195951E-2</v>
      </c>
      <c r="C4470" s="10">
        <f ca="1">NPV(B4470,Project_FCF!C18:J18)+Project_FCF!B18</f>
        <v>840.98047065178775</v>
      </c>
      <c r="D4470" s="4"/>
      <c r="E4470" s="4"/>
    </row>
    <row r="4471" spans="1:5" x14ac:dyDescent="0.3">
      <c r="A4471" s="9">
        <v>4463</v>
      </c>
      <c r="B4471" s="10">
        <f t="shared" ca="1" si="69"/>
        <v>6.9737486430246368E-2</v>
      </c>
      <c r="C4471" s="10">
        <f ca="1">NPV(B4471,Project_FCF!C18:J18)+Project_FCF!B18</f>
        <v>1028.3421382041076</v>
      </c>
      <c r="D4471" s="4"/>
      <c r="E4471" s="4"/>
    </row>
    <row r="4472" spans="1:5" x14ac:dyDescent="0.3">
      <c r="A4472" s="9">
        <v>4464</v>
      </c>
      <c r="B4472" s="10">
        <f t="shared" ca="1" si="69"/>
        <v>7.8625301316935695E-2</v>
      </c>
      <c r="C4472" s="10">
        <f ca="1">NPV(B4472,Project_FCF!C18:J18)+Project_FCF!B18</f>
        <v>949.97809041935488</v>
      </c>
      <c r="D4472" s="4"/>
      <c r="E4472" s="4"/>
    </row>
    <row r="4473" spans="1:5" x14ac:dyDescent="0.3">
      <c r="A4473" s="9">
        <v>4465</v>
      </c>
      <c r="B4473" s="10">
        <f t="shared" ca="1" si="69"/>
        <v>8.7683846813631033E-2</v>
      </c>
      <c r="C4473" s="10">
        <f ca="1">NPV(B4473,Project_FCF!C18:J18)+Project_FCF!B18</f>
        <v>875.60999796975807</v>
      </c>
      <c r="D4473" s="4"/>
      <c r="E4473" s="4"/>
    </row>
    <row r="4474" spans="1:5" x14ac:dyDescent="0.3">
      <c r="A4474" s="9">
        <v>4466</v>
      </c>
      <c r="B4474" s="10">
        <f t="shared" ca="1" si="69"/>
        <v>9.8290077196836315E-2</v>
      </c>
      <c r="C4474" s="10">
        <f ca="1">NPV(B4474,Project_FCF!C18:J18)+Project_FCF!B18</f>
        <v>795.0151780233416</v>
      </c>
      <c r="D4474" s="4"/>
      <c r="E4474" s="4"/>
    </row>
    <row r="4475" spans="1:5" x14ac:dyDescent="0.3">
      <c r="A4475" s="9">
        <v>4467</v>
      </c>
      <c r="B4475" s="10">
        <f t="shared" ca="1" si="69"/>
        <v>9.6454605236680729E-2</v>
      </c>
      <c r="C4475" s="10">
        <f ca="1">NPV(B4475,Project_FCF!C18:J18)+Project_FCF!B18</f>
        <v>808.48856595136226</v>
      </c>
      <c r="D4475" s="4"/>
      <c r="E4475" s="4"/>
    </row>
    <row r="4476" spans="1:5" x14ac:dyDescent="0.3">
      <c r="A4476" s="9">
        <v>4468</v>
      </c>
      <c r="B4476" s="10">
        <f t="shared" ca="1" si="69"/>
        <v>8.8532263389039953E-2</v>
      </c>
      <c r="C4476" s="10">
        <f ca="1">NPV(B4476,Project_FCF!C18:J18)+Project_FCF!B18</f>
        <v>868.91345086797583</v>
      </c>
      <c r="D4476" s="4"/>
      <c r="E4476" s="4"/>
    </row>
    <row r="4477" spans="1:5" x14ac:dyDescent="0.3">
      <c r="A4477" s="9">
        <v>4469</v>
      </c>
      <c r="B4477" s="10">
        <f t="shared" ca="1" si="69"/>
        <v>8.1584677176911008E-2</v>
      </c>
      <c r="C4477" s="10">
        <f ca="1">NPV(B4477,Project_FCF!C18:J18)+Project_FCF!B18</f>
        <v>925.09329965663551</v>
      </c>
      <c r="D4477" s="4"/>
      <c r="E4477" s="4"/>
    </row>
    <row r="4478" spans="1:5" x14ac:dyDescent="0.3">
      <c r="A4478" s="9">
        <v>4470</v>
      </c>
      <c r="B4478" s="10">
        <f t="shared" ca="1" si="69"/>
        <v>8.8241357541079174E-2</v>
      </c>
      <c r="C4478" s="10">
        <f ca="1">NPV(B4478,Project_FCF!C18:J18)+Project_FCF!B18</f>
        <v>871.20453220094009</v>
      </c>
      <c r="D4478" s="4"/>
      <c r="E4478" s="4"/>
    </row>
    <row r="4479" spans="1:5" x14ac:dyDescent="0.3">
      <c r="A4479" s="9">
        <v>4471</v>
      </c>
      <c r="B4479" s="10">
        <f t="shared" ca="1" si="69"/>
        <v>8.2910751238683827E-2</v>
      </c>
      <c r="C4479" s="10">
        <f ca="1">NPV(B4479,Project_FCF!C18:J18)+Project_FCF!B18</f>
        <v>914.13075862062283</v>
      </c>
      <c r="D4479" s="4"/>
      <c r="E4479" s="4"/>
    </row>
    <row r="4480" spans="1:5" x14ac:dyDescent="0.3">
      <c r="A4480" s="9">
        <v>4472</v>
      </c>
      <c r="B4480" s="10">
        <f t="shared" ca="1" si="69"/>
        <v>6.8766382056328526E-2</v>
      </c>
      <c r="C4480" s="10">
        <f ca="1">NPV(B4480,Project_FCF!C18:J18)+Project_FCF!B18</f>
        <v>1037.2473105379524</v>
      </c>
      <c r="D4480" s="4"/>
      <c r="E4480" s="4"/>
    </row>
    <row r="4481" spans="1:5" x14ac:dyDescent="0.3">
      <c r="A4481" s="9">
        <v>4473</v>
      </c>
      <c r="B4481" s="10">
        <f t="shared" ca="1" si="69"/>
        <v>7.1821170621290467E-2</v>
      </c>
      <c r="C4481" s="10">
        <f ca="1">NPV(B4481,Project_FCF!C18:J18)+Project_FCF!B18</f>
        <v>1009.4671447699648</v>
      </c>
      <c r="D4481" s="4"/>
      <c r="E4481" s="4"/>
    </row>
    <row r="4482" spans="1:5" x14ac:dyDescent="0.3">
      <c r="A4482" s="9">
        <v>4474</v>
      </c>
      <c r="B4482" s="10">
        <f t="shared" ca="1" si="69"/>
        <v>8.6738749560451855E-2</v>
      </c>
      <c r="C4482" s="10">
        <f ca="1">NPV(B4482,Project_FCF!C18:J18)+Project_FCF!B18</f>
        <v>883.12252421157928</v>
      </c>
      <c r="D4482" s="4"/>
      <c r="E4482" s="4"/>
    </row>
    <row r="4483" spans="1:5" x14ac:dyDescent="0.3">
      <c r="A4483" s="9">
        <v>4475</v>
      </c>
      <c r="B4483" s="10">
        <f t="shared" ca="1" si="69"/>
        <v>7.1335389356581749E-2</v>
      </c>
      <c r="C4483" s="10">
        <f ca="1">NPV(B4483,Project_FCF!C18:J18)+Project_FCF!B18</f>
        <v>1013.8394235641865</v>
      </c>
      <c r="D4483" s="4"/>
      <c r="E4483" s="4"/>
    </row>
    <row r="4484" spans="1:5" x14ac:dyDescent="0.3">
      <c r="A4484" s="9">
        <v>4476</v>
      </c>
      <c r="B4484" s="10">
        <f t="shared" ca="1" si="69"/>
        <v>7.3705084856310318E-2</v>
      </c>
      <c r="C4484" s="10">
        <f ca="1">NPV(B4484,Project_FCF!C18:J18)+Project_FCF!B18</f>
        <v>992.67095620744476</v>
      </c>
      <c r="D4484" s="4"/>
      <c r="E4484" s="4"/>
    </row>
    <row r="4485" spans="1:5" x14ac:dyDescent="0.3">
      <c r="A4485" s="9">
        <v>4477</v>
      </c>
      <c r="B4485" s="10">
        <f t="shared" ca="1" si="69"/>
        <v>9.1275237640009749E-2</v>
      </c>
      <c r="C4485" s="10">
        <f ca="1">NPV(B4485,Project_FCF!C18:J18)+Project_FCF!B18</f>
        <v>847.56636132067661</v>
      </c>
      <c r="D4485" s="4"/>
      <c r="E4485" s="4"/>
    </row>
    <row r="4486" spans="1:5" x14ac:dyDescent="0.3">
      <c r="A4486" s="9">
        <v>4478</v>
      </c>
      <c r="B4486" s="10">
        <f t="shared" ca="1" si="69"/>
        <v>9.7387721272092831E-2</v>
      </c>
      <c r="C4486" s="10">
        <f ca="1">NPV(B4486,Project_FCF!C18:J18)+Project_FCF!B18</f>
        <v>801.61488880059596</v>
      </c>
      <c r="D4486" s="4"/>
      <c r="E4486" s="4"/>
    </row>
    <row r="4487" spans="1:5" x14ac:dyDescent="0.3">
      <c r="A4487" s="9">
        <v>4479</v>
      </c>
      <c r="B4487" s="10">
        <f t="shared" ca="1" si="69"/>
        <v>0.103465639365381</v>
      </c>
      <c r="C4487" s="10">
        <f ca="1">NPV(B4487,Project_FCF!C18:J18)+Project_FCF!B18</f>
        <v>758.0432194150676</v>
      </c>
      <c r="D4487" s="4"/>
      <c r="E4487" s="4"/>
    </row>
    <row r="4488" spans="1:5" x14ac:dyDescent="0.3">
      <c r="A4488" s="9">
        <v>4480</v>
      </c>
      <c r="B4488" s="10">
        <f t="shared" ca="1" si="69"/>
        <v>0.10176097978648171</v>
      </c>
      <c r="C4488" s="10">
        <f ca="1">NPV(B4488,Project_FCF!C18:J18)+Project_FCF!B18</f>
        <v>770.05690752846658</v>
      </c>
      <c r="D4488" s="4"/>
      <c r="E4488" s="4"/>
    </row>
    <row r="4489" spans="1:5" x14ac:dyDescent="0.3">
      <c r="A4489" s="9">
        <v>4481</v>
      </c>
      <c r="B4489" s="10">
        <f t="shared" ref="B4489:B4552" ca="1" si="70">$B$4+RAND()*($B$5-$B$4)</f>
        <v>8.1403224951770839E-2</v>
      </c>
      <c r="C4489" s="10">
        <f ca="1">NPV(B4489,Project_FCF!C18:J18)+Project_FCF!B18</f>
        <v>926.6023306029615</v>
      </c>
      <c r="D4489" s="4"/>
      <c r="E4489" s="4"/>
    </row>
    <row r="4490" spans="1:5" x14ac:dyDescent="0.3">
      <c r="A4490" s="9">
        <v>4482</v>
      </c>
      <c r="B4490" s="10">
        <f t="shared" ca="1" si="70"/>
        <v>6.9054668731841767E-2</v>
      </c>
      <c r="C4490" s="10">
        <f ca="1">NPV(B4490,Project_FCF!C18:J18)+Project_FCF!B18</f>
        <v>1034.5964215000215</v>
      </c>
      <c r="D4490" s="4"/>
      <c r="E4490" s="4"/>
    </row>
    <row r="4491" spans="1:5" x14ac:dyDescent="0.3">
      <c r="A4491" s="9">
        <v>4483</v>
      </c>
      <c r="B4491" s="10">
        <f t="shared" ca="1" si="70"/>
        <v>6.8285003391504409E-2</v>
      </c>
      <c r="C4491" s="10">
        <f ca="1">NPV(B4491,Project_FCF!C18:J18)+Project_FCF!B18</f>
        <v>1041.6874623902356</v>
      </c>
      <c r="D4491" s="4"/>
      <c r="E4491" s="4"/>
    </row>
    <row r="4492" spans="1:5" x14ac:dyDescent="0.3">
      <c r="A4492" s="9">
        <v>4484</v>
      </c>
      <c r="B4492" s="10">
        <f t="shared" ca="1" si="70"/>
        <v>8.8534431109601769E-2</v>
      </c>
      <c r="C4492" s="10">
        <f ca="1">NPV(B4492,Project_FCF!C18:J18)+Project_FCF!B18</f>
        <v>868.8963982749342</v>
      </c>
      <c r="D4492" s="4"/>
      <c r="E4492" s="4"/>
    </row>
    <row r="4493" spans="1:5" x14ac:dyDescent="0.3">
      <c r="A4493" s="9">
        <v>4485</v>
      </c>
      <c r="B4493" s="10">
        <f t="shared" ca="1" si="70"/>
        <v>7.9408955238836565E-2</v>
      </c>
      <c r="C4493" s="10">
        <f ca="1">NPV(B4493,Project_FCF!C18:J18)+Project_FCF!B18</f>
        <v>943.33145742671331</v>
      </c>
      <c r="D4493" s="4"/>
      <c r="E4493" s="4"/>
    </row>
    <row r="4494" spans="1:5" x14ac:dyDescent="0.3">
      <c r="A4494" s="9">
        <v>4486</v>
      </c>
      <c r="B4494" s="10">
        <f t="shared" ca="1" si="70"/>
        <v>9.6114706963986954E-2</v>
      </c>
      <c r="C4494" s="10">
        <f ca="1">NPV(B4494,Project_FCF!C18:J18)+Project_FCF!B18</f>
        <v>811.00483899622782</v>
      </c>
      <c r="D4494" s="4"/>
      <c r="E4494" s="4"/>
    </row>
    <row r="4495" spans="1:5" x14ac:dyDescent="0.3">
      <c r="A4495" s="9">
        <v>4487</v>
      </c>
      <c r="B4495" s="10">
        <f t="shared" ca="1" si="70"/>
        <v>8.1110948685935769E-2</v>
      </c>
      <c r="C4495" s="10">
        <f ca="1">NPV(B4495,Project_FCF!C18:J18)+Project_FCF!B18</f>
        <v>929.037590101462</v>
      </c>
      <c r="D4495" s="4"/>
      <c r="E4495" s="4"/>
    </row>
    <row r="4496" spans="1:5" x14ac:dyDescent="0.3">
      <c r="A4496" s="9">
        <v>4488</v>
      </c>
      <c r="B4496" s="10">
        <f t="shared" ca="1" si="70"/>
        <v>9.8553207918169045E-2</v>
      </c>
      <c r="C4496" s="10">
        <f ca="1">NPV(B4496,Project_FCF!C18:J18)+Project_FCF!B18</f>
        <v>793.09939301766826</v>
      </c>
      <c r="D4496" s="4"/>
      <c r="E4496" s="4"/>
    </row>
    <row r="4497" spans="1:5" x14ac:dyDescent="0.3">
      <c r="A4497" s="9">
        <v>4489</v>
      </c>
      <c r="B4497" s="10">
        <f t="shared" ca="1" si="70"/>
        <v>8.2243645981771279E-2</v>
      </c>
      <c r="C4497" s="10">
        <f ca="1">NPV(B4497,Project_FCF!C18:J18)+Project_FCF!B18</f>
        <v>919.63126439440498</v>
      </c>
      <c r="D4497" s="4"/>
      <c r="E4497" s="4"/>
    </row>
    <row r="4498" spans="1:5" x14ac:dyDescent="0.3">
      <c r="A4498" s="9">
        <v>4490</v>
      </c>
      <c r="B4498" s="10">
        <f t="shared" ca="1" si="70"/>
        <v>7.2284338808951715E-2</v>
      </c>
      <c r="C4498" s="10">
        <f ca="1">NPV(B4498,Project_FCF!C18:J18)+Project_FCF!B18</f>
        <v>1005.3142154310085</v>
      </c>
      <c r="D4498" s="4"/>
      <c r="E4498" s="4"/>
    </row>
    <row r="4499" spans="1:5" x14ac:dyDescent="0.3">
      <c r="A4499" s="9">
        <v>4491</v>
      </c>
      <c r="B4499" s="10">
        <f t="shared" ca="1" si="70"/>
        <v>9.0920606628361239E-2</v>
      </c>
      <c r="C4499" s="10">
        <f ca="1">NPV(B4499,Project_FCF!C18:J18)+Project_FCF!B18</f>
        <v>850.30044603151555</v>
      </c>
      <c r="D4499" s="4"/>
      <c r="E4499" s="4"/>
    </row>
    <row r="4500" spans="1:5" x14ac:dyDescent="0.3">
      <c r="A4500" s="9">
        <v>4492</v>
      </c>
      <c r="B4500" s="10">
        <f t="shared" ca="1" si="70"/>
        <v>9.6178111058124682E-2</v>
      </c>
      <c r="C4500" s="10">
        <f ca="1">NPV(B4500,Project_FCF!C18:J18)+Project_FCF!B18</f>
        <v>810.53495083641587</v>
      </c>
      <c r="D4500" s="4"/>
      <c r="E4500" s="4"/>
    </row>
    <row r="4501" spans="1:5" x14ac:dyDescent="0.3">
      <c r="A4501" s="9">
        <v>4493</v>
      </c>
      <c r="B4501" s="10">
        <f t="shared" ca="1" si="70"/>
        <v>9.7805247754742641E-2</v>
      </c>
      <c r="C4501" s="10">
        <f ca="1">NPV(B4501,Project_FCF!C18:J18)+Project_FCF!B18</f>
        <v>798.55538858713567</v>
      </c>
      <c r="D4501" s="4"/>
      <c r="E4501" s="4"/>
    </row>
    <row r="4502" spans="1:5" x14ac:dyDescent="0.3">
      <c r="A4502" s="9">
        <v>4494</v>
      </c>
      <c r="B4502" s="10">
        <f t="shared" ca="1" si="70"/>
        <v>9.614254086714677E-2</v>
      </c>
      <c r="C4502" s="10">
        <f ca="1">NPV(B4502,Project_FCF!C18:J18)+Project_FCF!B18</f>
        <v>810.7985331248608</v>
      </c>
      <c r="D4502" s="4"/>
      <c r="E4502" s="4"/>
    </row>
    <row r="4503" spans="1:5" x14ac:dyDescent="0.3">
      <c r="A4503" s="9">
        <v>4495</v>
      </c>
      <c r="B4503" s="10">
        <f t="shared" ca="1" si="70"/>
        <v>7.7858914636288606E-2</v>
      </c>
      <c r="C4503" s="10">
        <f ca="1">NPV(B4503,Project_FCF!C18:J18)+Project_FCF!B18</f>
        <v>956.51846350615074</v>
      </c>
      <c r="D4503" s="4"/>
      <c r="E4503" s="4"/>
    </row>
    <row r="4504" spans="1:5" x14ac:dyDescent="0.3">
      <c r="A4504" s="9">
        <v>4496</v>
      </c>
      <c r="B4504" s="10">
        <f t="shared" ca="1" si="70"/>
        <v>8.6191015198665816E-2</v>
      </c>
      <c r="C4504" s="10">
        <f ca="1">NPV(B4504,Project_FCF!C18:J18)+Project_FCF!B18</f>
        <v>887.50212209685606</v>
      </c>
      <c r="D4504" s="4"/>
      <c r="E4504" s="4"/>
    </row>
    <row r="4505" spans="1:5" x14ac:dyDescent="0.3">
      <c r="A4505" s="9">
        <v>4497</v>
      </c>
      <c r="B4505" s="10">
        <f t="shared" ca="1" si="70"/>
        <v>7.7805396381523964E-2</v>
      </c>
      <c r="C4505" s="10">
        <f ca="1">NPV(B4505,Project_FCF!C18:J18)+Project_FCF!B18</f>
        <v>956.97668220107857</v>
      </c>
      <c r="D4505" s="4"/>
      <c r="E4505" s="4"/>
    </row>
    <row r="4506" spans="1:5" x14ac:dyDescent="0.3">
      <c r="A4506" s="9">
        <v>4498</v>
      </c>
      <c r="B4506" s="10">
        <f t="shared" ca="1" si="70"/>
        <v>6.468293893028644E-2</v>
      </c>
      <c r="C4506" s="10">
        <f ca="1">NPV(B4506,Project_FCF!C18:J18)+Project_FCF!B18</f>
        <v>1075.4642612662756</v>
      </c>
      <c r="D4506" s="4"/>
      <c r="E4506" s="4"/>
    </row>
    <row r="4507" spans="1:5" x14ac:dyDescent="0.3">
      <c r="A4507" s="9">
        <v>4499</v>
      </c>
      <c r="B4507" s="10">
        <f t="shared" ca="1" si="70"/>
        <v>9.4423071387302882E-2</v>
      </c>
      <c r="C4507" s="10">
        <f ca="1">NPV(B4507,Project_FCF!C18:J18)+Project_FCF!B18</f>
        <v>823.62785787078656</v>
      </c>
      <c r="D4507" s="4"/>
      <c r="E4507" s="4"/>
    </row>
    <row r="4508" spans="1:5" x14ac:dyDescent="0.3">
      <c r="A4508" s="9">
        <v>4500</v>
      </c>
      <c r="B4508" s="10">
        <f t="shared" ca="1" si="70"/>
        <v>7.6662424553732025E-2</v>
      </c>
      <c r="C4508" s="10">
        <f ca="1">NPV(B4508,Project_FCF!C18:J18)+Project_FCF!B18</f>
        <v>966.80948043934336</v>
      </c>
      <c r="D4508" s="4"/>
      <c r="E4508" s="4"/>
    </row>
    <row r="4509" spans="1:5" x14ac:dyDescent="0.3">
      <c r="A4509" s="9">
        <v>4501</v>
      </c>
      <c r="B4509" s="10">
        <f t="shared" ca="1" si="70"/>
        <v>7.008759709315765E-2</v>
      </c>
      <c r="C4509" s="10">
        <f ca="1">NPV(B4509,Project_FCF!C18:J18)+Project_FCF!B18</f>
        <v>1025.1485710792156</v>
      </c>
      <c r="D4509" s="4"/>
      <c r="E4509" s="4"/>
    </row>
    <row r="4510" spans="1:5" x14ac:dyDescent="0.3">
      <c r="A4510" s="9">
        <v>4502</v>
      </c>
      <c r="B4510" s="10">
        <f t="shared" ca="1" si="70"/>
        <v>0.10263296087527433</v>
      </c>
      <c r="C4510" s="10">
        <f ca="1">NPV(B4510,Project_FCF!C18:J18)+Project_FCF!B18</f>
        <v>763.89174253745341</v>
      </c>
      <c r="D4510" s="4"/>
      <c r="E4510" s="4"/>
    </row>
    <row r="4511" spans="1:5" x14ac:dyDescent="0.3">
      <c r="A4511" s="9">
        <v>4503</v>
      </c>
      <c r="B4511" s="10">
        <f t="shared" ca="1" si="70"/>
        <v>9.8733127071017057E-2</v>
      </c>
      <c r="C4511" s="10">
        <f ca="1">NPV(B4511,Project_FCF!C18:J18)+Project_FCF!B18</f>
        <v>791.79170641070073</v>
      </c>
      <c r="D4511" s="4"/>
      <c r="E4511" s="4"/>
    </row>
    <row r="4512" spans="1:5" x14ac:dyDescent="0.3">
      <c r="A4512" s="9">
        <v>4504</v>
      </c>
      <c r="B4512" s="10">
        <f t="shared" ca="1" si="70"/>
        <v>9.3231222431613248E-2</v>
      </c>
      <c r="C4512" s="10">
        <f ca="1">NPV(B4512,Project_FCF!C18:J18)+Project_FCF!B18</f>
        <v>832.62223009326658</v>
      </c>
      <c r="D4512" s="4"/>
      <c r="E4512" s="4"/>
    </row>
    <row r="4513" spans="1:5" x14ac:dyDescent="0.3">
      <c r="A4513" s="9">
        <v>4505</v>
      </c>
      <c r="B4513" s="10">
        <f t="shared" ca="1" si="70"/>
        <v>7.0964777081796881E-2</v>
      </c>
      <c r="C4513" s="10">
        <f ca="1">NPV(B4513,Project_FCF!C18:J18)+Project_FCF!B18</f>
        <v>1017.1865928095363</v>
      </c>
      <c r="D4513" s="4"/>
      <c r="E4513" s="4"/>
    </row>
    <row r="4514" spans="1:5" x14ac:dyDescent="0.3">
      <c r="A4514" s="9">
        <v>4506</v>
      </c>
      <c r="B4514" s="10">
        <f t="shared" ca="1" si="70"/>
        <v>7.4435217813863794E-2</v>
      </c>
      <c r="C4514" s="10">
        <f ca="1">NPV(B4514,Project_FCF!C18:J18)+Project_FCF!B18</f>
        <v>986.22916111377026</v>
      </c>
      <c r="D4514" s="4"/>
      <c r="E4514" s="4"/>
    </row>
    <row r="4515" spans="1:5" x14ac:dyDescent="0.3">
      <c r="A4515" s="9">
        <v>4507</v>
      </c>
      <c r="B4515" s="10">
        <f t="shared" ca="1" si="70"/>
        <v>7.9337854262792801E-2</v>
      </c>
      <c r="C4515" s="10">
        <f ca="1">NPV(B4515,Project_FCF!C18:J18)+Project_FCF!B18</f>
        <v>943.93280034186705</v>
      </c>
      <c r="D4515" s="4"/>
      <c r="E4515" s="4"/>
    </row>
    <row r="4516" spans="1:5" x14ac:dyDescent="0.3">
      <c r="A4516" s="9">
        <v>4508</v>
      </c>
      <c r="B4516" s="10">
        <f t="shared" ca="1" si="70"/>
        <v>0.10321404802612663</v>
      </c>
      <c r="C4516" s="10">
        <f ca="1">NPV(B4516,Project_FCF!C18:J18)+Project_FCF!B18</f>
        <v>759.80635817491316</v>
      </c>
      <c r="D4516" s="4"/>
      <c r="E4516" s="4"/>
    </row>
    <row r="4517" spans="1:5" x14ac:dyDescent="0.3">
      <c r="A4517" s="9">
        <v>4509</v>
      </c>
      <c r="B4517" s="10">
        <f t="shared" ca="1" si="70"/>
        <v>7.5668594147856497E-2</v>
      </c>
      <c r="C4517" s="10">
        <f ca="1">NPV(B4517,Project_FCF!C18:J18)+Project_FCF!B18</f>
        <v>975.43235174242227</v>
      </c>
      <c r="D4517" s="4"/>
      <c r="E4517" s="4"/>
    </row>
    <row r="4518" spans="1:5" x14ac:dyDescent="0.3">
      <c r="A4518" s="9">
        <v>4510</v>
      </c>
      <c r="B4518" s="10">
        <f t="shared" ca="1" si="70"/>
        <v>9.480257862032504E-2</v>
      </c>
      <c r="C4518" s="10">
        <f ca="1">NPV(B4518,Project_FCF!C18:J18)+Project_FCF!B18</f>
        <v>820.78143387088812</v>
      </c>
      <c r="D4518" s="4"/>
      <c r="E4518" s="4"/>
    </row>
    <row r="4519" spans="1:5" x14ac:dyDescent="0.3">
      <c r="A4519" s="9">
        <v>4511</v>
      </c>
      <c r="B4519" s="10">
        <f t="shared" ca="1" si="70"/>
        <v>9.9360253296061379E-2</v>
      </c>
      <c r="C4519" s="10">
        <f ca="1">NPV(B4519,Project_FCF!C18:J18)+Project_FCF!B18</f>
        <v>787.24791904994504</v>
      </c>
      <c r="D4519" s="4"/>
      <c r="E4519" s="4"/>
    </row>
    <row r="4520" spans="1:5" x14ac:dyDescent="0.3">
      <c r="A4520" s="9">
        <v>4512</v>
      </c>
      <c r="B4520" s="10">
        <f t="shared" ca="1" si="70"/>
        <v>7.4305568666376776E-2</v>
      </c>
      <c r="C4520" s="10">
        <f ca="1">NPV(B4520,Project_FCF!C18:J18)+Project_FCF!B18</f>
        <v>987.37028236867627</v>
      </c>
      <c r="D4520" s="4"/>
      <c r="E4520" s="4"/>
    </row>
    <row r="4521" spans="1:5" x14ac:dyDescent="0.3">
      <c r="A4521" s="9">
        <v>4513</v>
      </c>
      <c r="B4521" s="10">
        <f t="shared" ca="1" si="70"/>
        <v>9.9171833265920523E-2</v>
      </c>
      <c r="C4521" s="10">
        <f ca="1">NPV(B4521,Project_FCF!C18:J18)+Project_FCF!B18</f>
        <v>788.61077078771518</v>
      </c>
      <c r="D4521" s="4"/>
      <c r="E4521" s="4"/>
    </row>
    <row r="4522" spans="1:5" x14ac:dyDescent="0.3">
      <c r="A4522" s="9">
        <v>4514</v>
      </c>
      <c r="B4522" s="10">
        <f t="shared" ca="1" si="70"/>
        <v>8.6896211182208555E-2</v>
      </c>
      <c r="C4522" s="10">
        <f ca="1">NPV(B4522,Project_FCF!C18:J18)+Project_FCF!B18</f>
        <v>881.86698243240608</v>
      </c>
      <c r="D4522" s="4"/>
      <c r="E4522" s="4"/>
    </row>
    <row r="4523" spans="1:5" x14ac:dyDescent="0.3">
      <c r="A4523" s="9">
        <v>4515</v>
      </c>
      <c r="B4523" s="10">
        <f t="shared" ca="1" si="70"/>
        <v>0.10123550737263906</v>
      </c>
      <c r="C4523" s="10">
        <f ca="1">NPV(B4523,Project_FCF!C18:J18)+Project_FCF!B18</f>
        <v>773.79233780934032</v>
      </c>
      <c r="D4523" s="4"/>
      <c r="E4523" s="4"/>
    </row>
    <row r="4524" spans="1:5" x14ac:dyDescent="0.3">
      <c r="A4524" s="9">
        <v>4516</v>
      </c>
      <c r="B4524" s="10">
        <f t="shared" ca="1" si="70"/>
        <v>9.5272825551255047E-2</v>
      </c>
      <c r="C4524" s="10">
        <f ca="1">NPV(B4524,Project_FCF!C18:J18)+Project_FCF!B18</f>
        <v>817.26612502708122</v>
      </c>
      <c r="D4524" s="4"/>
      <c r="E4524" s="4"/>
    </row>
    <row r="4525" spans="1:5" x14ac:dyDescent="0.3">
      <c r="A4525" s="9">
        <v>4517</v>
      </c>
      <c r="B4525" s="10">
        <f t="shared" ca="1" si="70"/>
        <v>0.10189303524434909</v>
      </c>
      <c r="C4525" s="10">
        <f ca="1">NPV(B4525,Project_FCF!C18:J18)+Project_FCF!B18</f>
        <v>769.12055566664026</v>
      </c>
      <c r="D4525" s="4"/>
      <c r="E4525" s="4"/>
    </row>
    <row r="4526" spans="1:5" x14ac:dyDescent="0.3">
      <c r="A4526" s="9">
        <v>4518</v>
      </c>
      <c r="B4526" s="10">
        <f t="shared" ca="1" si="70"/>
        <v>7.0213146104350754E-2</v>
      </c>
      <c r="C4526" s="10">
        <f ca="1">NPV(B4526,Project_FCF!C18:J18)+Project_FCF!B18</f>
        <v>1024.0055491252213</v>
      </c>
      <c r="D4526" s="4"/>
      <c r="E4526" s="4"/>
    </row>
    <row r="4527" spans="1:5" x14ac:dyDescent="0.3">
      <c r="A4527" s="9">
        <v>4519</v>
      </c>
      <c r="B4527" s="10">
        <f t="shared" ca="1" si="70"/>
        <v>6.9304347882750778E-2</v>
      </c>
      <c r="C4527" s="10">
        <f ca="1">NPV(B4527,Project_FCF!C18:J18)+Project_FCF!B18</f>
        <v>1032.3054995325083</v>
      </c>
      <c r="D4527" s="4"/>
      <c r="E4527" s="4"/>
    </row>
    <row r="4528" spans="1:5" x14ac:dyDescent="0.3">
      <c r="A4528" s="9">
        <v>4520</v>
      </c>
      <c r="B4528" s="10">
        <f t="shared" ca="1" si="70"/>
        <v>6.7874426291921183E-2</v>
      </c>
      <c r="C4528" s="10">
        <f ca="1">NPV(B4528,Project_FCF!C18:J18)+Project_FCF!B18</f>
        <v>1045.4881629411273</v>
      </c>
      <c r="D4528" s="4"/>
      <c r="E4528" s="4"/>
    </row>
    <row r="4529" spans="1:5" x14ac:dyDescent="0.3">
      <c r="A4529" s="9">
        <v>4521</v>
      </c>
      <c r="B4529" s="10">
        <f t="shared" ca="1" si="70"/>
        <v>9.242350356262713E-2</v>
      </c>
      <c r="C4529" s="10">
        <f ca="1">NPV(B4529,Project_FCF!C18:J18)+Project_FCF!B18</f>
        <v>838.76561697301941</v>
      </c>
      <c r="D4529" s="4"/>
      <c r="E4529" s="4"/>
    </row>
    <row r="4530" spans="1:5" x14ac:dyDescent="0.3">
      <c r="A4530" s="9">
        <v>4522</v>
      </c>
      <c r="B4530" s="10">
        <f t="shared" ca="1" si="70"/>
        <v>6.4790096297908717E-2</v>
      </c>
      <c r="C4530" s="10">
        <f ca="1">NPV(B4530,Project_FCF!C18:J18)+Project_FCF!B18</f>
        <v>1074.4452136226666</v>
      </c>
      <c r="D4530" s="4"/>
      <c r="E4530" s="4"/>
    </row>
    <row r="4531" spans="1:5" x14ac:dyDescent="0.3">
      <c r="A4531" s="9">
        <v>4523</v>
      </c>
      <c r="B4531" s="10">
        <f t="shared" ca="1" si="70"/>
        <v>0.10348902347207703</v>
      </c>
      <c r="C4531" s="10">
        <f ca="1">NPV(B4531,Project_FCF!C18:J18)+Project_FCF!B18</f>
        <v>757.8795192332268</v>
      </c>
      <c r="D4531" s="4"/>
      <c r="E4531" s="4"/>
    </row>
    <row r="4532" spans="1:5" x14ac:dyDescent="0.3">
      <c r="A4532" s="9">
        <v>4524</v>
      </c>
      <c r="B4532" s="10">
        <f t="shared" ca="1" si="70"/>
        <v>9.0711419646173796E-2</v>
      </c>
      <c r="C4532" s="10">
        <f ca="1">NPV(B4532,Project_FCF!C18:J18)+Project_FCF!B18</f>
        <v>851.91677842566969</v>
      </c>
      <c r="D4532" s="4"/>
      <c r="E4532" s="4"/>
    </row>
    <row r="4533" spans="1:5" x14ac:dyDescent="0.3">
      <c r="A4533" s="9">
        <v>4525</v>
      </c>
      <c r="B4533" s="10">
        <f t="shared" ca="1" si="70"/>
        <v>8.7884043295789388E-2</v>
      </c>
      <c r="C4533" s="10">
        <f ca="1">NPV(B4533,Project_FCF!C18:J18)+Project_FCF!B18</f>
        <v>874.02581375563386</v>
      </c>
      <c r="D4533" s="4"/>
      <c r="E4533" s="4"/>
    </row>
    <row r="4534" spans="1:5" x14ac:dyDescent="0.3">
      <c r="A4534" s="9">
        <v>4526</v>
      </c>
      <c r="B4534" s="10">
        <f t="shared" ca="1" si="70"/>
        <v>8.7603402652674064E-2</v>
      </c>
      <c r="C4534" s="10">
        <f ca="1">NPV(B4534,Project_FCF!C18:J18)+Project_FCF!B18</f>
        <v>876.24726827455174</v>
      </c>
      <c r="D4534" s="4"/>
      <c r="E4534" s="4"/>
    </row>
    <row r="4535" spans="1:5" x14ac:dyDescent="0.3">
      <c r="A4535" s="9">
        <v>4527</v>
      </c>
      <c r="B4535" s="10">
        <f t="shared" ca="1" si="70"/>
        <v>8.4164676619038398E-2</v>
      </c>
      <c r="C4535" s="10">
        <f ca="1">NPV(B4535,Project_FCF!C18:J18)+Project_FCF!B18</f>
        <v>903.87000274980846</v>
      </c>
      <c r="D4535" s="4"/>
      <c r="E4535" s="4"/>
    </row>
    <row r="4536" spans="1:5" x14ac:dyDescent="0.3">
      <c r="A4536" s="9">
        <v>4528</v>
      </c>
      <c r="B4536" s="10">
        <f t="shared" ca="1" si="70"/>
        <v>9.1815343167526819E-2</v>
      </c>
      <c r="C4536" s="10">
        <f ca="1">NPV(B4536,Project_FCF!C18:J18)+Project_FCF!B18</f>
        <v>843.41691777585629</v>
      </c>
      <c r="D4536" s="4"/>
      <c r="E4536" s="4"/>
    </row>
    <row r="4537" spans="1:5" x14ac:dyDescent="0.3">
      <c r="A4537" s="9">
        <v>4529</v>
      </c>
      <c r="B4537" s="10">
        <f t="shared" ca="1" si="70"/>
        <v>8.4395437486967401E-2</v>
      </c>
      <c r="C4537" s="10">
        <f ca="1">NPV(B4537,Project_FCF!C18:J18)+Project_FCF!B18</f>
        <v>901.99276962940667</v>
      </c>
      <c r="D4537" s="4"/>
      <c r="E4537" s="4"/>
    </row>
    <row r="4538" spans="1:5" x14ac:dyDescent="0.3">
      <c r="A4538" s="9">
        <v>4530</v>
      </c>
      <c r="B4538" s="10">
        <f t="shared" ca="1" si="70"/>
        <v>7.7658609959196628E-2</v>
      </c>
      <c r="C4538" s="10">
        <f ca="1">NPV(B4538,Project_FCF!C18:J18)+Project_FCF!B18</f>
        <v>958.23445748283484</v>
      </c>
      <c r="D4538" s="4"/>
      <c r="E4538" s="4"/>
    </row>
    <row r="4539" spans="1:5" x14ac:dyDescent="0.3">
      <c r="A4539" s="9">
        <v>4531</v>
      </c>
      <c r="B4539" s="10">
        <f t="shared" ca="1" si="70"/>
        <v>8.304608914097808E-2</v>
      </c>
      <c r="C4539" s="10">
        <f ca="1">NPV(B4539,Project_FCF!C18:J18)+Project_FCF!B18</f>
        <v>913.01839336190415</v>
      </c>
      <c r="D4539" s="4"/>
      <c r="E4539" s="4"/>
    </row>
    <row r="4540" spans="1:5" x14ac:dyDescent="0.3">
      <c r="A4540" s="9">
        <v>4532</v>
      </c>
      <c r="B4540" s="10">
        <f t="shared" ca="1" si="70"/>
        <v>6.6132178697038066E-2</v>
      </c>
      <c r="C4540" s="10">
        <f ca="1">NPV(B4540,Project_FCF!C18:J18)+Project_FCF!B18</f>
        <v>1061.7566145781345</v>
      </c>
      <c r="D4540" s="4"/>
      <c r="E4540" s="4"/>
    </row>
    <row r="4541" spans="1:5" x14ac:dyDescent="0.3">
      <c r="A4541" s="9">
        <v>4533</v>
      </c>
      <c r="B4541" s="10">
        <f t="shared" ca="1" si="70"/>
        <v>6.4595178209258031E-2</v>
      </c>
      <c r="C4541" s="10">
        <f ca="1">NPV(B4541,Project_FCF!C18:J18)+Project_FCF!B18</f>
        <v>1076.2995073604609</v>
      </c>
      <c r="D4541" s="4"/>
      <c r="E4541" s="4"/>
    </row>
    <row r="4542" spans="1:5" x14ac:dyDescent="0.3">
      <c r="A4542" s="9">
        <v>4534</v>
      </c>
      <c r="B4542" s="10">
        <f t="shared" ca="1" si="70"/>
        <v>7.9863329943636444E-2</v>
      </c>
      <c r="C4542" s="10">
        <f ca="1">NPV(B4542,Project_FCF!C18:J18)+Project_FCF!B18</f>
        <v>939.49655507967009</v>
      </c>
      <c r="D4542" s="4"/>
      <c r="E4542" s="4"/>
    </row>
    <row r="4543" spans="1:5" x14ac:dyDescent="0.3">
      <c r="A4543" s="9">
        <v>4535</v>
      </c>
      <c r="B4543" s="10">
        <f t="shared" ca="1" si="70"/>
        <v>6.6110367815242183E-2</v>
      </c>
      <c r="C4543" s="10">
        <f ca="1">NPV(B4543,Project_FCF!C18:J18)+Project_FCF!B18</f>
        <v>1061.9617273828562</v>
      </c>
      <c r="D4543" s="4"/>
      <c r="E4543" s="4"/>
    </row>
    <row r="4544" spans="1:5" x14ac:dyDescent="0.3">
      <c r="A4544" s="9">
        <v>4536</v>
      </c>
      <c r="B4544" s="10">
        <f t="shared" ca="1" si="70"/>
        <v>8.1233637017131544E-2</v>
      </c>
      <c r="C4544" s="10">
        <f ca="1">NPV(B4544,Project_FCF!C18:J18)+Project_FCF!B18</f>
        <v>928.01465765907301</v>
      </c>
      <c r="D4544" s="4"/>
      <c r="E4544" s="4"/>
    </row>
    <row r="4545" spans="1:5" x14ac:dyDescent="0.3">
      <c r="A4545" s="9">
        <v>4537</v>
      </c>
      <c r="B4545" s="10">
        <f t="shared" ca="1" si="70"/>
        <v>0.10253460261073041</v>
      </c>
      <c r="C4545" s="10">
        <f ca="1">NPV(B4545,Project_FCF!C18:J18)+Project_FCF!B18</f>
        <v>764.58508108361093</v>
      </c>
      <c r="D4545" s="4"/>
      <c r="E4545" s="4"/>
    </row>
    <row r="4546" spans="1:5" x14ac:dyDescent="0.3">
      <c r="A4546" s="9">
        <v>4538</v>
      </c>
      <c r="B4546" s="10">
        <f t="shared" ca="1" si="70"/>
        <v>9.3330974053184079E-2</v>
      </c>
      <c r="C4546" s="10">
        <f ca="1">NPV(B4546,Project_FCF!C18:J18)+Project_FCF!B18</f>
        <v>831.86622665812547</v>
      </c>
      <c r="D4546" s="4"/>
      <c r="E4546" s="4"/>
    </row>
    <row r="4547" spans="1:5" x14ac:dyDescent="0.3">
      <c r="A4547" s="9">
        <v>4539</v>
      </c>
      <c r="B4547" s="10">
        <f t="shared" ca="1" si="70"/>
        <v>8.3358943526790658E-2</v>
      </c>
      <c r="C4547" s="10">
        <f ca="1">NPV(B4547,Project_FCF!C18:J18)+Project_FCF!B18</f>
        <v>910.45154650900849</v>
      </c>
      <c r="D4547" s="4"/>
      <c r="E4547" s="4"/>
    </row>
    <row r="4548" spans="1:5" x14ac:dyDescent="0.3">
      <c r="A4548" s="9">
        <v>4540</v>
      </c>
      <c r="B4548" s="10">
        <f t="shared" ca="1" si="70"/>
        <v>6.5094288574475953E-2</v>
      </c>
      <c r="C4548" s="10">
        <f ca="1">NPV(B4548,Project_FCF!C18:J18)+Project_FCF!B18</f>
        <v>1071.55719832006</v>
      </c>
      <c r="D4548" s="4"/>
      <c r="E4548" s="4"/>
    </row>
    <row r="4549" spans="1:5" x14ac:dyDescent="0.3">
      <c r="A4549" s="9">
        <v>4541</v>
      </c>
      <c r="B4549" s="10">
        <f t="shared" ca="1" si="70"/>
        <v>6.6941031473770438E-2</v>
      </c>
      <c r="C4549" s="10">
        <f ca="1">NPV(B4549,Project_FCF!C18:J18)+Project_FCF!B18</f>
        <v>1054.1754521633634</v>
      </c>
      <c r="D4549" s="4"/>
      <c r="E4549" s="4"/>
    </row>
    <row r="4550" spans="1:5" x14ac:dyDescent="0.3">
      <c r="A4550" s="9">
        <v>4542</v>
      </c>
      <c r="B4550" s="10">
        <f t="shared" ca="1" si="70"/>
        <v>8.5055927847294377E-2</v>
      </c>
      <c r="C4550" s="10">
        <f ca="1">NPV(B4550,Project_FCF!C18:J18)+Project_FCF!B18</f>
        <v>896.63858360426661</v>
      </c>
      <c r="D4550" s="4"/>
      <c r="E4550" s="4"/>
    </row>
    <row r="4551" spans="1:5" x14ac:dyDescent="0.3">
      <c r="A4551" s="9">
        <v>4543</v>
      </c>
      <c r="B4551" s="10">
        <f t="shared" ca="1" si="70"/>
        <v>0.10300492819547166</v>
      </c>
      <c r="C4551" s="10">
        <f ca="1">NPV(B4551,Project_FCF!C18:J18)+Project_FCF!B18</f>
        <v>761.27447563956798</v>
      </c>
      <c r="D4551" s="4"/>
      <c r="E4551" s="4"/>
    </row>
    <row r="4552" spans="1:5" x14ac:dyDescent="0.3">
      <c r="A4552" s="9">
        <v>4544</v>
      </c>
      <c r="B4552" s="10">
        <f t="shared" ca="1" si="70"/>
        <v>6.9911038948903645E-2</v>
      </c>
      <c r="C4552" s="10">
        <f ca="1">NPV(B4552,Project_FCF!C18:J18)+Project_FCF!B18</f>
        <v>1026.7579404749513</v>
      </c>
      <c r="D4552" s="4"/>
      <c r="E4552" s="4"/>
    </row>
    <row r="4553" spans="1:5" x14ac:dyDescent="0.3">
      <c r="A4553" s="9">
        <v>4545</v>
      </c>
      <c r="B4553" s="10">
        <f t="shared" ref="B4553:B4616" ca="1" si="71">$B$4+RAND()*($B$5-$B$4)</f>
        <v>9.4330636264167822E-2</v>
      </c>
      <c r="C4553" s="10">
        <f ca="1">NPV(B4553,Project_FCF!C18:J18)+Project_FCF!B18</f>
        <v>824.32243040665026</v>
      </c>
      <c r="D4553" s="4"/>
      <c r="E4553" s="4"/>
    </row>
    <row r="4554" spans="1:5" x14ac:dyDescent="0.3">
      <c r="A4554" s="9">
        <v>4546</v>
      </c>
      <c r="B4554" s="10">
        <f t="shared" ca="1" si="71"/>
        <v>7.282149094724305E-2</v>
      </c>
      <c r="C4554" s="10">
        <f ca="1">NPV(B4554,Project_FCF!C18:J18)+Project_FCF!B18</f>
        <v>1000.5171733930542</v>
      </c>
      <c r="D4554" s="4"/>
      <c r="E4554" s="4"/>
    </row>
    <row r="4555" spans="1:5" x14ac:dyDescent="0.3">
      <c r="A4555" s="9">
        <v>4547</v>
      </c>
      <c r="B4555" s="10">
        <f t="shared" ca="1" si="71"/>
        <v>8.7829462771378902E-2</v>
      </c>
      <c r="C4555" s="10">
        <f ca="1">NPV(B4555,Project_FCF!C18:J18)+Project_FCF!B18</f>
        <v>874.4574698618444</v>
      </c>
      <c r="D4555" s="4"/>
      <c r="E4555" s="4"/>
    </row>
    <row r="4556" spans="1:5" x14ac:dyDescent="0.3">
      <c r="A4556" s="9">
        <v>4548</v>
      </c>
      <c r="B4556" s="10">
        <f t="shared" ca="1" si="71"/>
        <v>6.7081293213744786E-2</v>
      </c>
      <c r="C4556" s="10">
        <f ca="1">NPV(B4556,Project_FCF!C18:J18)+Project_FCF!B18</f>
        <v>1052.8658359301035</v>
      </c>
      <c r="D4556" s="4"/>
      <c r="E4556" s="4"/>
    </row>
    <row r="4557" spans="1:5" x14ac:dyDescent="0.3">
      <c r="A4557" s="9">
        <v>4549</v>
      </c>
      <c r="B4557" s="10">
        <f t="shared" ca="1" si="71"/>
        <v>6.9550449523388541E-2</v>
      </c>
      <c r="C4557" s="10">
        <f ca="1">NPV(B4557,Project_FCF!C18:J18)+Project_FCF!B18</f>
        <v>1030.051896272159</v>
      </c>
      <c r="D4557" s="4"/>
      <c r="E4557" s="4"/>
    </row>
    <row r="4558" spans="1:5" x14ac:dyDescent="0.3">
      <c r="A4558" s="9">
        <v>4550</v>
      </c>
      <c r="B4558" s="10">
        <f t="shared" ca="1" si="71"/>
        <v>0.10231377619776112</v>
      </c>
      <c r="C4558" s="10">
        <f ca="1">NPV(B4558,Project_FCF!C18:J18)+Project_FCF!B18</f>
        <v>766.14363834821779</v>
      </c>
      <c r="D4558" s="4"/>
      <c r="E4558" s="4"/>
    </row>
    <row r="4559" spans="1:5" x14ac:dyDescent="0.3">
      <c r="A4559" s="9">
        <v>4551</v>
      </c>
      <c r="B4559" s="10">
        <f t="shared" ca="1" si="71"/>
        <v>7.0795837342788631E-2</v>
      </c>
      <c r="C4559" s="10">
        <f ca="1">NPV(B4559,Project_FCF!C18:J18)+Project_FCF!B18</f>
        <v>1018.715669354485</v>
      </c>
      <c r="D4559" s="4"/>
      <c r="E4559" s="4"/>
    </row>
    <row r="4560" spans="1:5" x14ac:dyDescent="0.3">
      <c r="A4560" s="9">
        <v>4552</v>
      </c>
      <c r="B4560" s="10">
        <f t="shared" ca="1" si="71"/>
        <v>6.8680744135139568E-2</v>
      </c>
      <c r="C4560" s="10">
        <f ca="1">NPV(B4560,Project_FCF!C18:J18)+Project_FCF!B18</f>
        <v>1038.0359632180998</v>
      </c>
      <c r="D4560" s="4"/>
      <c r="E4560" s="4"/>
    </row>
    <row r="4561" spans="1:5" x14ac:dyDescent="0.3">
      <c r="A4561" s="9">
        <v>4553</v>
      </c>
      <c r="B4561" s="10">
        <f t="shared" ca="1" si="71"/>
        <v>7.0932154569021272E-2</v>
      </c>
      <c r="C4561" s="10">
        <f ca="1">NPV(B4561,Project_FCF!C18:J18)+Project_FCF!B18</f>
        <v>1017.4816983385415</v>
      </c>
      <c r="D4561" s="4"/>
      <c r="E4561" s="4"/>
    </row>
    <row r="4562" spans="1:5" x14ac:dyDescent="0.3">
      <c r="A4562" s="9">
        <v>4554</v>
      </c>
      <c r="B4562" s="10">
        <f t="shared" ca="1" si="71"/>
        <v>8.0731873289099629E-2</v>
      </c>
      <c r="C4562" s="10">
        <f ca="1">NPV(B4562,Project_FCF!C18:J18)+Project_FCF!B18</f>
        <v>932.20448627281576</v>
      </c>
      <c r="D4562" s="4"/>
      <c r="E4562" s="4"/>
    </row>
    <row r="4563" spans="1:5" x14ac:dyDescent="0.3">
      <c r="A4563" s="9">
        <v>4555</v>
      </c>
      <c r="B4563" s="10">
        <f t="shared" ca="1" si="71"/>
        <v>8.6109389821254309E-2</v>
      </c>
      <c r="C4563" s="10">
        <f ca="1">NPV(B4563,Project_FCF!C18:J18)+Project_FCF!B18</f>
        <v>888.15640725459753</v>
      </c>
      <c r="D4563" s="4"/>
      <c r="E4563" s="4"/>
    </row>
    <row r="4564" spans="1:5" x14ac:dyDescent="0.3">
      <c r="A4564" s="9">
        <v>4556</v>
      </c>
      <c r="B4564" s="10">
        <f t="shared" ca="1" si="71"/>
        <v>7.9428552376017078E-2</v>
      </c>
      <c r="C4564" s="10">
        <f ca="1">NPV(B4564,Project_FCF!C18:J18)+Project_FCF!B18</f>
        <v>943.16577259916539</v>
      </c>
      <c r="D4564" s="4"/>
      <c r="E4564" s="4"/>
    </row>
    <row r="4565" spans="1:5" x14ac:dyDescent="0.3">
      <c r="A4565" s="9">
        <v>4557</v>
      </c>
      <c r="B4565" s="10">
        <f t="shared" ca="1" si="71"/>
        <v>8.6371934118425073E-2</v>
      </c>
      <c r="C4565" s="10">
        <f ca="1">NPV(B4565,Project_FCF!C18:J18)+Project_FCF!B18</f>
        <v>886.05342981978947</v>
      </c>
      <c r="D4565" s="4"/>
      <c r="E4565" s="4"/>
    </row>
    <row r="4566" spans="1:5" x14ac:dyDescent="0.3">
      <c r="A4566" s="9">
        <v>4558</v>
      </c>
      <c r="B4566" s="10">
        <f t="shared" ca="1" si="71"/>
        <v>7.2461533774499015E-2</v>
      </c>
      <c r="C4566" s="10">
        <f ca="1">NPV(B4566,Project_FCF!C18:J18)+Project_FCF!B18</f>
        <v>1003.7294931537974</v>
      </c>
      <c r="D4566" s="4"/>
      <c r="E4566" s="4"/>
    </row>
    <row r="4567" spans="1:5" x14ac:dyDescent="0.3">
      <c r="A4567" s="9">
        <v>4559</v>
      </c>
      <c r="B4567" s="10">
        <f t="shared" ca="1" si="71"/>
        <v>0.1000401669896864</v>
      </c>
      <c r="C4567" s="10">
        <f ca="1">NPV(B4567,Project_FCF!C18:J18)+Project_FCF!B18</f>
        <v>782.34663782483062</v>
      </c>
      <c r="D4567" s="4"/>
      <c r="E4567" s="4"/>
    </row>
    <row r="4568" spans="1:5" x14ac:dyDescent="0.3">
      <c r="A4568" s="9">
        <v>4560</v>
      </c>
      <c r="B4568" s="10">
        <f t="shared" ca="1" si="71"/>
        <v>6.6314214303314217E-2</v>
      </c>
      <c r="C4568" s="10">
        <f ca="1">NPV(B4568,Project_FCF!C18:J18)+Project_FCF!B18</f>
        <v>1060.0461304969281</v>
      </c>
      <c r="D4568" s="4"/>
      <c r="E4568" s="4"/>
    </row>
    <row r="4569" spans="1:5" x14ac:dyDescent="0.3">
      <c r="A4569" s="9">
        <v>4561</v>
      </c>
      <c r="B4569" s="10">
        <f t="shared" ca="1" si="71"/>
        <v>7.0860717519600977E-2</v>
      </c>
      <c r="C4569" s="10">
        <f ca="1">NPV(B4569,Project_FCF!C18:J18)+Project_FCF!B18</f>
        <v>1018.1281926349563</v>
      </c>
      <c r="D4569" s="4"/>
      <c r="E4569" s="4"/>
    </row>
    <row r="4570" spans="1:5" x14ac:dyDescent="0.3">
      <c r="A4570" s="9">
        <v>4562</v>
      </c>
      <c r="B4570" s="10">
        <f t="shared" ca="1" si="71"/>
        <v>9.3138481394625161E-2</v>
      </c>
      <c r="C4570" s="10">
        <f ca="1">NPV(B4570,Project_FCF!C18:J18)+Project_FCF!B18</f>
        <v>833.32563111169884</v>
      </c>
      <c r="D4570" s="4"/>
      <c r="E4570" s="4"/>
    </row>
    <row r="4571" spans="1:5" x14ac:dyDescent="0.3">
      <c r="A4571" s="9">
        <v>4563</v>
      </c>
      <c r="B4571" s="10">
        <f t="shared" ca="1" si="71"/>
        <v>6.9120877109218992E-2</v>
      </c>
      <c r="C4571" s="10">
        <f ca="1">NPV(B4571,Project_FCF!C18:J18)+Project_FCF!B18</f>
        <v>1033.9884810041026</v>
      </c>
      <c r="D4571" s="4"/>
      <c r="E4571" s="4"/>
    </row>
    <row r="4572" spans="1:5" x14ac:dyDescent="0.3">
      <c r="A4572" s="9">
        <v>4564</v>
      </c>
      <c r="B4572" s="10">
        <f t="shared" ca="1" si="71"/>
        <v>6.5799840690926176E-2</v>
      </c>
      <c r="C4572" s="10">
        <f ca="1">NPV(B4572,Project_FCF!C18:J18)+Project_FCF!B18</f>
        <v>1064.8858876489282</v>
      </c>
      <c r="D4572" s="4"/>
      <c r="E4572" s="4"/>
    </row>
    <row r="4573" spans="1:5" x14ac:dyDescent="0.3">
      <c r="A4573" s="9">
        <v>4565</v>
      </c>
      <c r="B4573" s="10">
        <f t="shared" ca="1" si="71"/>
        <v>9.5387352776595963E-2</v>
      </c>
      <c r="C4573" s="10">
        <f ca="1">NPV(B4573,Project_FCF!C18:J18)+Project_FCF!B18</f>
        <v>816.41193605270723</v>
      </c>
      <c r="D4573" s="4"/>
      <c r="E4573" s="4"/>
    </row>
    <row r="4574" spans="1:5" x14ac:dyDescent="0.3">
      <c r="A4574" s="9">
        <v>4566</v>
      </c>
      <c r="B4574" s="10">
        <f t="shared" ca="1" si="71"/>
        <v>9.4134253461461356E-2</v>
      </c>
      <c r="C4574" s="10">
        <f ca="1">NPV(B4574,Project_FCF!C18:J18)+Project_FCF!B18</f>
        <v>825.79975015250284</v>
      </c>
      <c r="D4574" s="4"/>
      <c r="E4574" s="4"/>
    </row>
    <row r="4575" spans="1:5" x14ac:dyDescent="0.3">
      <c r="A4575" s="9">
        <v>4567</v>
      </c>
      <c r="B4575" s="10">
        <f t="shared" ca="1" si="71"/>
        <v>9.9808765971851524E-2</v>
      </c>
      <c r="C4575" s="10">
        <f ca="1">NPV(B4575,Project_FCF!C18:J18)+Project_FCF!B18</f>
        <v>784.01182675386121</v>
      </c>
      <c r="D4575" s="4"/>
      <c r="E4575" s="4"/>
    </row>
    <row r="4576" spans="1:5" x14ac:dyDescent="0.3">
      <c r="A4576" s="9">
        <v>4568</v>
      </c>
      <c r="B4576" s="10">
        <f t="shared" ca="1" si="71"/>
        <v>0.1000447222736502</v>
      </c>
      <c r="C4576" s="10">
        <f ca="1">NPV(B4576,Project_FCF!C18:J18)+Project_FCF!B18</f>
        <v>782.31388751407803</v>
      </c>
      <c r="D4576" s="4"/>
      <c r="E4576" s="4"/>
    </row>
    <row r="4577" spans="1:5" x14ac:dyDescent="0.3">
      <c r="A4577" s="9">
        <v>4569</v>
      </c>
      <c r="B4577" s="10">
        <f t="shared" ca="1" si="71"/>
        <v>6.5121658165846807E-2</v>
      </c>
      <c r="C4577" s="10">
        <f ca="1">NPV(B4577,Project_FCF!C18:J18)+Project_FCF!B18</f>
        <v>1071.2976977836167</v>
      </c>
      <c r="D4577" s="4"/>
      <c r="E4577" s="4"/>
    </row>
    <row r="4578" spans="1:5" x14ac:dyDescent="0.3">
      <c r="A4578" s="9">
        <v>4570</v>
      </c>
      <c r="B4578" s="10">
        <f t="shared" ca="1" si="71"/>
        <v>9.9173395872058825E-2</v>
      </c>
      <c r="C4578" s="10">
        <f ca="1">NPV(B4578,Project_FCF!C18:J18)+Project_FCF!B18</f>
        <v>788.59946016185972</v>
      </c>
      <c r="D4578" s="4"/>
      <c r="E4578" s="4"/>
    </row>
    <row r="4579" spans="1:5" x14ac:dyDescent="0.3">
      <c r="A4579" s="9">
        <v>4571</v>
      </c>
      <c r="B4579" s="10">
        <f t="shared" ca="1" si="71"/>
        <v>8.0175368261860891E-2</v>
      </c>
      <c r="C4579" s="10">
        <f ca="1">NPV(B4579,Project_FCF!C18:J18)+Project_FCF!B18</f>
        <v>936.87097099401694</v>
      </c>
      <c r="D4579" s="4"/>
      <c r="E4579" s="4"/>
    </row>
    <row r="4580" spans="1:5" x14ac:dyDescent="0.3">
      <c r="A4580" s="9">
        <v>4572</v>
      </c>
      <c r="B4580" s="10">
        <f t="shared" ca="1" si="71"/>
        <v>9.883945295676573E-2</v>
      </c>
      <c r="C4580" s="10">
        <f ca="1">NPV(B4580,Project_FCF!C18:J18)+Project_FCF!B18</f>
        <v>791.01977001936984</v>
      </c>
      <c r="D4580" s="4"/>
      <c r="E4580" s="4"/>
    </row>
    <row r="4581" spans="1:5" x14ac:dyDescent="0.3">
      <c r="A4581" s="9">
        <v>4573</v>
      </c>
      <c r="B4581" s="10">
        <f t="shared" ca="1" si="71"/>
        <v>8.6875162457412891E-2</v>
      </c>
      <c r="C4581" s="10">
        <f ca="1">NPV(B4581,Project_FCF!C18:J18)+Project_FCF!B18</f>
        <v>882.03472708795493</v>
      </c>
      <c r="D4581" s="4"/>
      <c r="E4581" s="4"/>
    </row>
    <row r="4582" spans="1:5" x14ac:dyDescent="0.3">
      <c r="A4582" s="9">
        <v>4574</v>
      </c>
      <c r="B4582" s="10">
        <f t="shared" ca="1" si="71"/>
        <v>9.0440973926588314E-2</v>
      </c>
      <c r="C4582" s="10">
        <f ca="1">NPV(B4582,Project_FCF!C18:J18)+Project_FCF!B18</f>
        <v>854.01037887849429</v>
      </c>
      <c r="D4582" s="4"/>
      <c r="E4582" s="4"/>
    </row>
    <row r="4583" spans="1:5" x14ac:dyDescent="0.3">
      <c r="A4583" s="9">
        <v>4575</v>
      </c>
      <c r="B4583" s="10">
        <f t="shared" ca="1" si="71"/>
        <v>9.4503841618025691E-2</v>
      </c>
      <c r="C4583" s="10">
        <f ca="1">NPV(B4583,Project_FCF!C18:J18)+Project_FCF!B18</f>
        <v>823.02134806250911</v>
      </c>
      <c r="D4583" s="4"/>
      <c r="E4583" s="4"/>
    </row>
    <row r="4584" spans="1:5" x14ac:dyDescent="0.3">
      <c r="A4584" s="9">
        <v>4576</v>
      </c>
      <c r="B4584" s="10">
        <f t="shared" ca="1" si="71"/>
        <v>0.10166408041876426</v>
      </c>
      <c r="C4584" s="10">
        <f ca="1">NPV(B4584,Project_FCF!C18:J18)+Project_FCF!B18</f>
        <v>770.74459214332023</v>
      </c>
      <c r="D4584" s="4"/>
      <c r="E4584" s="4"/>
    </row>
    <row r="4585" spans="1:5" x14ac:dyDescent="0.3">
      <c r="A4585" s="9">
        <v>4577</v>
      </c>
      <c r="B4585" s="10">
        <f t="shared" ca="1" si="71"/>
        <v>9.6761025938479212E-2</v>
      </c>
      <c r="C4585" s="10">
        <f ca="1">NPV(B4585,Project_FCF!C18:J18)+Project_FCF!B18</f>
        <v>806.22584009288425</v>
      </c>
      <c r="D4585" s="4"/>
      <c r="E4585" s="4"/>
    </row>
    <row r="4586" spans="1:5" x14ac:dyDescent="0.3">
      <c r="A4586" s="9">
        <v>4578</v>
      </c>
      <c r="B4586" s="10">
        <f t="shared" ca="1" si="71"/>
        <v>0.10200237955206329</v>
      </c>
      <c r="C4586" s="10">
        <f ca="1">NPV(B4586,Project_FCF!C18:J18)+Project_FCF!B18</f>
        <v>768.34596486947135</v>
      </c>
      <c r="D4586" s="4"/>
      <c r="E4586" s="4"/>
    </row>
    <row r="4587" spans="1:5" x14ac:dyDescent="0.3">
      <c r="A4587" s="9">
        <v>4579</v>
      </c>
      <c r="B4587" s="10">
        <f t="shared" ca="1" si="71"/>
        <v>8.7793908272127144E-2</v>
      </c>
      <c r="C4587" s="10">
        <f ca="1">NPV(B4587,Project_FCF!C18:J18)+Project_FCF!B18</f>
        <v>874.73875635595277</v>
      </c>
      <c r="D4587" s="4"/>
      <c r="E4587" s="4"/>
    </row>
    <row r="4588" spans="1:5" x14ac:dyDescent="0.3">
      <c r="A4588" s="9">
        <v>4580</v>
      </c>
      <c r="B4588" s="10">
        <f t="shared" ca="1" si="71"/>
        <v>8.2448821031424938E-2</v>
      </c>
      <c r="C4588" s="10">
        <f ca="1">NPV(B4588,Project_FCF!C18:J18)+Project_FCF!B18</f>
        <v>917.93643177868125</v>
      </c>
      <c r="D4588" s="4"/>
      <c r="E4588" s="4"/>
    </row>
    <row r="4589" spans="1:5" x14ac:dyDescent="0.3">
      <c r="A4589" s="9">
        <v>4581</v>
      </c>
      <c r="B4589" s="10">
        <f t="shared" ca="1" si="71"/>
        <v>6.9079217592815823E-2</v>
      </c>
      <c r="C4589" s="10">
        <f ca="1">NPV(B4589,Project_FCF!C18:J18)+Project_FCF!B18</f>
        <v>1034.3709704938485</v>
      </c>
      <c r="D4589" s="4"/>
      <c r="E4589" s="4"/>
    </row>
    <row r="4590" spans="1:5" x14ac:dyDescent="0.3">
      <c r="A4590" s="9">
        <v>4582</v>
      </c>
      <c r="B4590" s="10">
        <f t="shared" ca="1" si="71"/>
        <v>8.3618540428597982E-2</v>
      </c>
      <c r="C4590" s="10">
        <f ca="1">NPV(B4590,Project_FCF!C18:J18)+Project_FCF!B18</f>
        <v>908.32647523775609</v>
      </c>
      <c r="D4590" s="4"/>
      <c r="E4590" s="4"/>
    </row>
    <row r="4591" spans="1:5" x14ac:dyDescent="0.3">
      <c r="A4591" s="9">
        <v>4583</v>
      </c>
      <c r="B4591" s="10">
        <f t="shared" ca="1" si="71"/>
        <v>8.2980085190244066E-2</v>
      </c>
      <c r="C4591" s="10">
        <f ca="1">NPV(B4591,Project_FCF!C18:J18)+Project_FCF!B18</f>
        <v>913.56074218675008</v>
      </c>
      <c r="D4591" s="4"/>
      <c r="E4591" s="4"/>
    </row>
    <row r="4592" spans="1:5" x14ac:dyDescent="0.3">
      <c r="A4592" s="9">
        <v>4584</v>
      </c>
      <c r="B4592" s="10">
        <f t="shared" ca="1" si="71"/>
        <v>8.2643996754638904E-2</v>
      </c>
      <c r="C4592" s="10">
        <f ca="1">NPV(B4592,Project_FCF!C18:J18)+Project_FCF!B18</f>
        <v>916.32675218078566</v>
      </c>
      <c r="D4592" s="4"/>
      <c r="E4592" s="4"/>
    </row>
    <row r="4593" spans="1:5" x14ac:dyDescent="0.3">
      <c r="A4593" s="9">
        <v>4585</v>
      </c>
      <c r="B4593" s="10">
        <f t="shared" ca="1" si="71"/>
        <v>9.3255738041187614E-2</v>
      </c>
      <c r="C4593" s="10">
        <f ca="1">NPV(B4593,Project_FCF!C18:J18)+Project_FCF!B18</f>
        <v>832.43637503386822</v>
      </c>
      <c r="D4593" s="4"/>
      <c r="E4593" s="4"/>
    </row>
    <row r="4594" spans="1:5" x14ac:dyDescent="0.3">
      <c r="A4594" s="9">
        <v>4586</v>
      </c>
      <c r="B4594" s="10">
        <f t="shared" ca="1" si="71"/>
        <v>0.10381520951400461</v>
      </c>
      <c r="C4594" s="10">
        <f ca="1">NPV(B4594,Project_FCF!C18:J18)+Project_FCF!B18</f>
        <v>755.59914458122626</v>
      </c>
      <c r="D4594" s="4"/>
      <c r="E4594" s="4"/>
    </row>
    <row r="4595" spans="1:5" x14ac:dyDescent="0.3">
      <c r="A4595" s="9">
        <v>4587</v>
      </c>
      <c r="B4595" s="10">
        <f t="shared" ca="1" si="71"/>
        <v>9.6781210809866791E-2</v>
      </c>
      <c r="C4595" s="10">
        <f ca="1">NPV(B4595,Project_FCF!C18:J18)+Project_FCF!B18</f>
        <v>806.07697716992675</v>
      </c>
      <c r="D4595" s="4"/>
      <c r="E4595" s="4"/>
    </row>
    <row r="4596" spans="1:5" x14ac:dyDescent="0.3">
      <c r="A4596" s="9">
        <v>4588</v>
      </c>
      <c r="B4596" s="10">
        <f t="shared" ca="1" si="71"/>
        <v>0.10116380411496134</v>
      </c>
      <c r="C4596" s="10">
        <f ca="1">NPV(B4596,Project_FCF!C18:J18)+Project_FCF!B18</f>
        <v>774.30323746011504</v>
      </c>
      <c r="D4596" s="4"/>
      <c r="E4596" s="4"/>
    </row>
    <row r="4597" spans="1:5" x14ac:dyDescent="0.3">
      <c r="A4597" s="9">
        <v>4589</v>
      </c>
      <c r="B4597" s="10">
        <f t="shared" ca="1" si="71"/>
        <v>7.0973483959753336E-2</v>
      </c>
      <c r="C4597" s="10">
        <f ca="1">NPV(B4597,Project_FCF!C18:J18)+Project_FCF!B18</f>
        <v>1017.107842837371</v>
      </c>
      <c r="D4597" s="4"/>
      <c r="E4597" s="4"/>
    </row>
    <row r="4598" spans="1:5" x14ac:dyDescent="0.3">
      <c r="A4598" s="9">
        <v>4590</v>
      </c>
      <c r="B4598" s="10">
        <f t="shared" ca="1" si="71"/>
        <v>7.2035258533640539E-2</v>
      </c>
      <c r="C4598" s="10">
        <f ca="1">NPV(B4598,Project_FCF!C18:J18)+Project_FCF!B18</f>
        <v>1007.5456417209448</v>
      </c>
      <c r="D4598" s="4"/>
      <c r="E4598" s="4"/>
    </row>
    <row r="4599" spans="1:5" x14ac:dyDescent="0.3">
      <c r="A4599" s="9">
        <v>4591</v>
      </c>
      <c r="B4599" s="10">
        <f t="shared" ca="1" si="71"/>
        <v>7.1834314742576719E-2</v>
      </c>
      <c r="C4599" s="10">
        <f ca="1">NPV(B4599,Project_FCF!C18:J18)+Project_FCF!B18</f>
        <v>1009.3490773534047</v>
      </c>
      <c r="D4599" s="4"/>
      <c r="E4599" s="4"/>
    </row>
    <row r="4600" spans="1:5" x14ac:dyDescent="0.3">
      <c r="A4600" s="9">
        <v>4592</v>
      </c>
      <c r="B4600" s="10">
        <f t="shared" ca="1" si="71"/>
        <v>6.7298070496901966E-2</v>
      </c>
      <c r="C4600" s="10">
        <f ca="1">NPV(B4600,Project_FCF!C18:J18)+Project_FCF!B18</f>
        <v>1050.844706376532</v>
      </c>
      <c r="D4600" s="4"/>
      <c r="E4600" s="4"/>
    </row>
    <row r="4601" spans="1:5" x14ac:dyDescent="0.3">
      <c r="A4601" s="9">
        <v>4593</v>
      </c>
      <c r="B4601" s="10">
        <f t="shared" ca="1" si="71"/>
        <v>9.9789583600299603E-2</v>
      </c>
      <c r="C4601" s="10">
        <f ca="1">NPV(B4601,Project_FCF!C18:J18)+Project_FCF!B18</f>
        <v>784.14999983324151</v>
      </c>
      <c r="D4601" s="4"/>
      <c r="E4601" s="4"/>
    </row>
    <row r="4602" spans="1:5" x14ac:dyDescent="0.3">
      <c r="A4602" s="9">
        <v>4594</v>
      </c>
      <c r="B4602" s="10">
        <f t="shared" ca="1" si="71"/>
        <v>6.7563595507433571E-2</v>
      </c>
      <c r="C4602" s="10">
        <f ca="1">NPV(B4602,Project_FCF!C18:J18)+Project_FCF!B18</f>
        <v>1048.3738786266945</v>
      </c>
      <c r="D4602" s="4"/>
      <c r="E4602" s="4"/>
    </row>
    <row r="4603" spans="1:5" x14ac:dyDescent="0.3">
      <c r="A4603" s="9">
        <v>4595</v>
      </c>
      <c r="B4603" s="10">
        <f t="shared" ca="1" si="71"/>
        <v>9.7483362785915351E-2</v>
      </c>
      <c r="C4603" s="10">
        <f ca="1">NPV(B4603,Project_FCF!C18:J18)+Project_FCF!B18</f>
        <v>800.91317926582951</v>
      </c>
      <c r="D4603" s="4"/>
      <c r="E4603" s="4"/>
    </row>
    <row r="4604" spans="1:5" x14ac:dyDescent="0.3">
      <c r="A4604" s="9">
        <v>4596</v>
      </c>
      <c r="B4604" s="10">
        <f t="shared" ca="1" si="71"/>
        <v>7.4344254547645983E-2</v>
      </c>
      <c r="C4604" s="10">
        <f ca="1">NPV(B4604,Project_FCF!C18:J18)+Project_FCF!B18</f>
        <v>987.02966056083255</v>
      </c>
      <c r="D4604" s="4"/>
      <c r="E4604" s="4"/>
    </row>
    <row r="4605" spans="1:5" x14ac:dyDescent="0.3">
      <c r="A4605" s="9">
        <v>4597</v>
      </c>
      <c r="B4605" s="10">
        <f t="shared" ca="1" si="71"/>
        <v>8.0478876882067354E-2</v>
      </c>
      <c r="C4605" s="10">
        <f ca="1">NPV(B4605,Project_FCF!C18:J18)+Project_FCF!B18</f>
        <v>934.32339210182658</v>
      </c>
      <c r="D4605" s="4"/>
      <c r="E4605" s="4"/>
    </row>
    <row r="4606" spans="1:5" x14ac:dyDescent="0.3">
      <c r="A4606" s="9">
        <v>4598</v>
      </c>
      <c r="B4606" s="10">
        <f t="shared" ca="1" si="71"/>
        <v>8.0495109566975254E-2</v>
      </c>
      <c r="C4606" s="10">
        <f ca="1">NPV(B4606,Project_FCF!C18:J18)+Project_FCF!B18</f>
        <v>934.18731167492138</v>
      </c>
      <c r="D4606" s="4"/>
      <c r="E4606" s="4"/>
    </row>
    <row r="4607" spans="1:5" x14ac:dyDescent="0.3">
      <c r="A4607" s="9">
        <v>4599</v>
      </c>
      <c r="B4607" s="10">
        <f t="shared" ca="1" si="71"/>
        <v>9.8390999277543315E-2</v>
      </c>
      <c r="C4607" s="10">
        <f ca="1">NPV(B4607,Project_FCF!C18:J18)+Project_FCF!B18</f>
        <v>794.27992712733817</v>
      </c>
      <c r="D4607" s="4"/>
      <c r="E4607" s="4"/>
    </row>
    <row r="4608" spans="1:5" x14ac:dyDescent="0.3">
      <c r="A4608" s="9">
        <v>4600</v>
      </c>
      <c r="B4608" s="10">
        <f t="shared" ca="1" si="71"/>
        <v>7.2421148544376784E-2</v>
      </c>
      <c r="C4608" s="10">
        <f ca="1">NPV(B4608,Project_FCF!C18:J18)+Project_FCF!B18</f>
        <v>1004.0904758649679</v>
      </c>
      <c r="D4608" s="4"/>
      <c r="E4608" s="4"/>
    </row>
    <row r="4609" spans="1:5" x14ac:dyDescent="0.3">
      <c r="A4609" s="9">
        <v>4601</v>
      </c>
      <c r="B4609" s="10">
        <f t="shared" ca="1" si="71"/>
        <v>8.4792247697987155E-2</v>
      </c>
      <c r="C4609" s="10">
        <f ca="1">NPV(B4609,Project_FCF!C18:J18)+Project_FCF!B18</f>
        <v>898.77272490453288</v>
      </c>
      <c r="D4609" s="4"/>
      <c r="E4609" s="4"/>
    </row>
    <row r="4610" spans="1:5" x14ac:dyDescent="0.3">
      <c r="A4610" s="9">
        <v>4602</v>
      </c>
      <c r="B4610" s="10">
        <f t="shared" ca="1" si="71"/>
        <v>7.76195124277686E-2</v>
      </c>
      <c r="C4610" s="10">
        <f ca="1">NPV(B4610,Project_FCF!C18:J18)+Project_FCF!B18</f>
        <v>958.56972221390015</v>
      </c>
      <c r="D4610" s="4"/>
      <c r="E4610" s="4"/>
    </row>
    <row r="4611" spans="1:5" x14ac:dyDescent="0.3">
      <c r="A4611" s="9">
        <v>4603</v>
      </c>
      <c r="B4611" s="10">
        <f t="shared" ca="1" si="71"/>
        <v>9.0782050824071009E-2</v>
      </c>
      <c r="C4611" s="10">
        <f ca="1">NPV(B4611,Project_FCF!C18:J18)+Project_FCF!B18</f>
        <v>851.37073322178139</v>
      </c>
      <c r="D4611" s="4"/>
      <c r="E4611" s="4"/>
    </row>
    <row r="4612" spans="1:5" x14ac:dyDescent="0.3">
      <c r="A4612" s="9">
        <v>4604</v>
      </c>
      <c r="B4612" s="10">
        <f t="shared" ca="1" si="71"/>
        <v>9.0153616307845477E-2</v>
      </c>
      <c r="C4612" s="10">
        <f ca="1">NPV(B4612,Project_FCF!C18:J18)+Project_FCF!B18</f>
        <v>856.23977672071169</v>
      </c>
      <c r="D4612" s="4"/>
      <c r="E4612" s="4"/>
    </row>
    <row r="4613" spans="1:5" x14ac:dyDescent="0.3">
      <c r="A4613" s="9">
        <v>4605</v>
      </c>
      <c r="B4613" s="10">
        <f t="shared" ca="1" si="71"/>
        <v>7.6844933086960762E-2</v>
      </c>
      <c r="C4613" s="10">
        <f ca="1">NPV(B4613,Project_FCF!C18:J18)+Project_FCF!B18</f>
        <v>965.23337604971016</v>
      </c>
      <c r="D4613" s="4"/>
      <c r="E4613" s="4"/>
    </row>
    <row r="4614" spans="1:5" x14ac:dyDescent="0.3">
      <c r="A4614" s="9">
        <v>4606</v>
      </c>
      <c r="B4614" s="10">
        <f t="shared" ca="1" si="71"/>
        <v>9.2265936378579827E-2</v>
      </c>
      <c r="C4614" s="10">
        <f ca="1">NPV(B4614,Project_FCF!C18:J18)+Project_FCF!B18</f>
        <v>839.96858692213618</v>
      </c>
      <c r="D4614" s="4"/>
      <c r="E4614" s="4"/>
    </row>
    <row r="4615" spans="1:5" x14ac:dyDescent="0.3">
      <c r="A4615" s="9">
        <v>4607</v>
      </c>
      <c r="B4615" s="10">
        <f t="shared" ca="1" si="71"/>
        <v>0.10368946554749944</v>
      </c>
      <c r="C4615" s="10">
        <f ca="1">NPV(B4615,Project_FCF!C18:J18)+Project_FCF!B18</f>
        <v>756.47754180484685</v>
      </c>
      <c r="D4615" s="4"/>
      <c r="E4615" s="4"/>
    </row>
    <row r="4616" spans="1:5" x14ac:dyDescent="0.3">
      <c r="A4616" s="9">
        <v>4608</v>
      </c>
      <c r="B4616" s="10">
        <f t="shared" ca="1" si="71"/>
        <v>6.7352324527851143E-2</v>
      </c>
      <c r="C4616" s="10">
        <f ca="1">NPV(B4616,Project_FCF!C18:J18)+Project_FCF!B18</f>
        <v>1050.3394190930626</v>
      </c>
      <c r="D4616" s="4"/>
      <c r="E4616" s="4"/>
    </row>
    <row r="4617" spans="1:5" x14ac:dyDescent="0.3">
      <c r="A4617" s="9">
        <v>4609</v>
      </c>
      <c r="B4617" s="10">
        <f t="shared" ref="B4617:B4680" ca="1" si="72">$B$4+RAND()*($B$5-$B$4)</f>
        <v>8.0100111315710487E-2</v>
      </c>
      <c r="C4617" s="10">
        <f ca="1">NPV(B4617,Project_FCF!C18:J18)+Project_FCF!B18</f>
        <v>937.50361027198096</v>
      </c>
      <c r="D4617" s="4"/>
      <c r="E4617" s="4"/>
    </row>
    <row r="4618" spans="1:5" x14ac:dyDescent="0.3">
      <c r="A4618" s="9">
        <v>4610</v>
      </c>
      <c r="B4618" s="10">
        <f t="shared" ca="1" si="72"/>
        <v>8.0386386555931194E-2</v>
      </c>
      <c r="C4618" s="10">
        <f ca="1">NPV(B4618,Project_FCF!C18:J18)+Project_FCF!B18</f>
        <v>935.09908361180396</v>
      </c>
      <c r="D4618" s="4"/>
      <c r="E4618" s="4"/>
    </row>
    <row r="4619" spans="1:5" x14ac:dyDescent="0.3">
      <c r="A4619" s="9">
        <v>4611</v>
      </c>
      <c r="B4619" s="10">
        <f t="shared" ca="1" si="72"/>
        <v>7.5227336031616521E-2</v>
      </c>
      <c r="C4619" s="10">
        <f ca="1">NPV(B4619,Project_FCF!C18:J18)+Project_FCF!B18</f>
        <v>979.28285594977797</v>
      </c>
      <c r="D4619" s="4"/>
      <c r="E4619" s="4"/>
    </row>
    <row r="4620" spans="1:5" x14ac:dyDescent="0.3">
      <c r="A4620" s="9">
        <v>4612</v>
      </c>
      <c r="B4620" s="10">
        <f t="shared" ca="1" si="72"/>
        <v>6.6337648375656505E-2</v>
      </c>
      <c r="C4620" s="10">
        <f ca="1">NPV(B4620,Project_FCF!C18:J18)+Project_FCF!B18</f>
        <v>1059.8261162964102</v>
      </c>
      <c r="D4620" s="4"/>
      <c r="E4620" s="4"/>
    </row>
    <row r="4621" spans="1:5" x14ac:dyDescent="0.3">
      <c r="A4621" s="9">
        <v>4613</v>
      </c>
      <c r="B4621" s="10">
        <f t="shared" ca="1" si="72"/>
        <v>8.7623928897940975E-2</v>
      </c>
      <c r="C4621" s="10">
        <f ca="1">NPV(B4621,Project_FCF!C18:J18)+Project_FCF!B18</f>
        <v>876.08462311438529</v>
      </c>
      <c r="D4621" s="4"/>
      <c r="E4621" s="4"/>
    </row>
    <row r="4622" spans="1:5" x14ac:dyDescent="0.3">
      <c r="A4622" s="9">
        <v>4614</v>
      </c>
      <c r="B4622" s="10">
        <f t="shared" ca="1" si="72"/>
        <v>6.7291137929803055E-2</v>
      </c>
      <c r="C4622" s="10">
        <f ca="1">NPV(B4622,Project_FCF!C18:J18)+Project_FCF!B18</f>
        <v>1050.9092877727082</v>
      </c>
      <c r="D4622" s="4"/>
      <c r="E4622" s="4"/>
    </row>
    <row r="4623" spans="1:5" x14ac:dyDescent="0.3">
      <c r="A4623" s="9">
        <v>4615</v>
      </c>
      <c r="B4623" s="10">
        <f t="shared" ca="1" si="72"/>
        <v>8.5852665899368602E-2</v>
      </c>
      <c r="C4623" s="10">
        <f ca="1">NPV(B4623,Project_FCF!C18:J18)+Project_FCF!B18</f>
        <v>890.2169800924753</v>
      </c>
      <c r="D4623" s="4"/>
      <c r="E4623" s="4"/>
    </row>
    <row r="4624" spans="1:5" x14ac:dyDescent="0.3">
      <c r="A4624" s="9">
        <v>4616</v>
      </c>
      <c r="B4624" s="10">
        <f t="shared" ca="1" si="72"/>
        <v>9.4953198078581075E-2</v>
      </c>
      <c r="C4624" s="10">
        <f ca="1">NPV(B4624,Project_FCF!C18:J18)+Project_FCF!B18</f>
        <v>819.65407883426587</v>
      </c>
      <c r="D4624" s="4"/>
      <c r="E4624" s="4"/>
    </row>
    <row r="4625" spans="1:5" x14ac:dyDescent="0.3">
      <c r="A4625" s="9">
        <v>4617</v>
      </c>
      <c r="B4625" s="10">
        <f t="shared" ca="1" si="72"/>
        <v>9.7094824882954484E-2</v>
      </c>
      <c r="C4625" s="10">
        <f ca="1">NPV(B4625,Project_FCF!C18:J18)+Project_FCF!B18</f>
        <v>803.76708889277143</v>
      </c>
      <c r="D4625" s="4"/>
      <c r="E4625" s="4"/>
    </row>
    <row r="4626" spans="1:5" x14ac:dyDescent="0.3">
      <c r="A4626" s="9">
        <v>4618</v>
      </c>
      <c r="B4626" s="10">
        <f t="shared" ca="1" si="72"/>
        <v>9.559668874148064E-2</v>
      </c>
      <c r="C4626" s="10">
        <f ca="1">NPV(B4626,Project_FCF!C18:J18)+Project_FCF!B18</f>
        <v>814.85259960344661</v>
      </c>
      <c r="D4626" s="4"/>
      <c r="E4626" s="4"/>
    </row>
    <row r="4627" spans="1:5" x14ac:dyDescent="0.3">
      <c r="A4627" s="9">
        <v>4619</v>
      </c>
      <c r="B4627" s="10">
        <f t="shared" ca="1" si="72"/>
        <v>8.9340747884706209E-2</v>
      </c>
      <c r="C4627" s="10">
        <f ca="1">NPV(B4627,Project_FCF!C18:J18)+Project_FCF!B18</f>
        <v>862.5735538733677</v>
      </c>
      <c r="D4627" s="4"/>
      <c r="E4627" s="4"/>
    </row>
    <row r="4628" spans="1:5" x14ac:dyDescent="0.3">
      <c r="A4628" s="9">
        <v>4620</v>
      </c>
      <c r="B4628" s="10">
        <f t="shared" ca="1" si="72"/>
        <v>9.7476142139114846E-2</v>
      </c>
      <c r="C4628" s="10">
        <f ca="1">NPV(B4628,Project_FCF!C18:J18)+Project_FCF!B18</f>
        <v>800.96613797545842</v>
      </c>
      <c r="D4628" s="4"/>
      <c r="E4628" s="4"/>
    </row>
    <row r="4629" spans="1:5" x14ac:dyDescent="0.3">
      <c r="A4629" s="9">
        <v>4621</v>
      </c>
      <c r="B4629" s="10">
        <f t="shared" ca="1" si="72"/>
        <v>7.1202070387465441E-2</v>
      </c>
      <c r="C4629" s="10">
        <f ca="1">NPV(B4629,Project_FCF!C18:J18)+Project_FCF!B18</f>
        <v>1015.0423428341869</v>
      </c>
      <c r="D4629" s="4"/>
      <c r="E4629" s="4"/>
    </row>
    <row r="4630" spans="1:5" x14ac:dyDescent="0.3">
      <c r="A4630" s="9">
        <v>4622</v>
      </c>
      <c r="B4630" s="10">
        <f t="shared" ca="1" si="72"/>
        <v>7.6908078864571197E-2</v>
      </c>
      <c r="C4630" s="10">
        <f ca="1">NPV(B4630,Project_FCF!C18:J18)+Project_FCF!B18</f>
        <v>964.6885963079385</v>
      </c>
      <c r="D4630" s="4"/>
      <c r="E4630" s="4"/>
    </row>
    <row r="4631" spans="1:5" x14ac:dyDescent="0.3">
      <c r="A4631" s="9">
        <v>4623</v>
      </c>
      <c r="B4631" s="10">
        <f t="shared" ca="1" si="72"/>
        <v>7.9134038248740213E-2</v>
      </c>
      <c r="C4631" s="10">
        <f ca="1">NPV(B4631,Project_FCF!C18:J18)+Project_FCF!B18</f>
        <v>945.65847719399676</v>
      </c>
      <c r="D4631" s="4"/>
      <c r="E4631" s="4"/>
    </row>
    <row r="4632" spans="1:5" x14ac:dyDescent="0.3">
      <c r="A4632" s="9">
        <v>4624</v>
      </c>
      <c r="B4632" s="10">
        <f t="shared" ca="1" si="72"/>
        <v>8.6707768086286774E-2</v>
      </c>
      <c r="C4632" s="10">
        <f ca="1">NPV(B4632,Project_FCF!C18:J18)+Project_FCF!B18</f>
        <v>883.36974279138713</v>
      </c>
      <c r="D4632" s="4"/>
      <c r="E4632" s="4"/>
    </row>
    <row r="4633" spans="1:5" x14ac:dyDescent="0.3">
      <c r="A4633" s="9">
        <v>4625</v>
      </c>
      <c r="B4633" s="10">
        <f t="shared" ca="1" si="72"/>
        <v>9.9717079261144134E-2</v>
      </c>
      <c r="C4633" s="10">
        <f ca="1">NPV(B4633,Project_FCF!C18:J18)+Project_FCF!B18</f>
        <v>784.67244403379618</v>
      </c>
      <c r="D4633" s="4"/>
      <c r="E4633" s="4"/>
    </row>
    <row r="4634" spans="1:5" x14ac:dyDescent="0.3">
      <c r="A4634" s="9">
        <v>4626</v>
      </c>
      <c r="B4634" s="10">
        <f t="shared" ca="1" si="72"/>
        <v>8.7776606719500758E-2</v>
      </c>
      <c r="C4634" s="10">
        <f ca="1">NPV(B4634,Project_FCF!C18:J18)+Project_FCF!B18</f>
        <v>874.87566465602572</v>
      </c>
      <c r="D4634" s="4"/>
      <c r="E4634" s="4"/>
    </row>
    <row r="4635" spans="1:5" x14ac:dyDescent="0.3">
      <c r="A4635" s="9">
        <v>4627</v>
      </c>
      <c r="B4635" s="10">
        <f t="shared" ca="1" si="72"/>
        <v>7.1124649739410642E-2</v>
      </c>
      <c r="C4635" s="10">
        <f ca="1">NPV(B4635,Project_FCF!C18:J18)+Project_FCF!B18</f>
        <v>1015.7414894558085</v>
      </c>
      <c r="D4635" s="4"/>
      <c r="E4635" s="4"/>
    </row>
    <row r="4636" spans="1:5" x14ac:dyDescent="0.3">
      <c r="A4636" s="9">
        <v>4628</v>
      </c>
      <c r="B4636" s="10">
        <f t="shared" ca="1" si="72"/>
        <v>6.4999106553750852E-2</v>
      </c>
      <c r="C4636" s="10">
        <f ca="1">NPV(B4636,Project_FCF!C18:J18)+Project_FCF!B18</f>
        <v>1072.4600984230492</v>
      </c>
      <c r="D4636" s="4"/>
      <c r="E4636" s="4"/>
    </row>
    <row r="4637" spans="1:5" x14ac:dyDescent="0.3">
      <c r="A4637" s="9">
        <v>4629</v>
      </c>
      <c r="B4637" s="10">
        <f t="shared" ca="1" si="72"/>
        <v>8.8371176286643038E-2</v>
      </c>
      <c r="C4637" s="10">
        <f ca="1">NPV(B4637,Project_FCF!C18:J18)+Project_FCF!B18</f>
        <v>870.18147319408854</v>
      </c>
      <c r="D4637" s="4"/>
      <c r="E4637" s="4"/>
    </row>
    <row r="4638" spans="1:5" x14ac:dyDescent="0.3">
      <c r="A4638" s="9">
        <v>4630</v>
      </c>
      <c r="B4638" s="10">
        <f t="shared" ca="1" si="72"/>
        <v>8.8913857437290966E-2</v>
      </c>
      <c r="C4638" s="10">
        <f ca="1">NPV(B4638,Project_FCF!C18:J18)+Project_FCF!B18</f>
        <v>865.91607885983467</v>
      </c>
      <c r="D4638" s="4"/>
      <c r="E4638" s="4"/>
    </row>
    <row r="4639" spans="1:5" x14ac:dyDescent="0.3">
      <c r="A4639" s="9">
        <v>4631</v>
      </c>
      <c r="B4639" s="10">
        <f t="shared" ca="1" si="72"/>
        <v>7.2374861148418804E-2</v>
      </c>
      <c r="C4639" s="10">
        <f ca="1">NPV(B4639,Project_FCF!C18:J18)+Project_FCF!B18</f>
        <v>1004.5043585968092</v>
      </c>
      <c r="D4639" s="4"/>
      <c r="E4639" s="4"/>
    </row>
    <row r="4640" spans="1:5" x14ac:dyDescent="0.3">
      <c r="A4640" s="9">
        <v>4632</v>
      </c>
      <c r="B4640" s="10">
        <f t="shared" ca="1" si="72"/>
        <v>6.5783709573075957E-2</v>
      </c>
      <c r="C4640" s="10">
        <f ca="1">NPV(B4640,Project_FCF!C18:J18)+Project_FCF!B18</f>
        <v>1065.0379907524978</v>
      </c>
      <c r="D4640" s="4"/>
      <c r="E4640" s="4"/>
    </row>
    <row r="4641" spans="1:5" x14ac:dyDescent="0.3">
      <c r="A4641" s="9">
        <v>4633</v>
      </c>
      <c r="B4641" s="10">
        <f t="shared" ca="1" si="72"/>
        <v>7.2405950219662202E-2</v>
      </c>
      <c r="C4641" s="10">
        <f ca="1">NPV(B4641,Project_FCF!C18:J18)+Project_FCF!B18</f>
        <v>1004.2263560758922</v>
      </c>
      <c r="D4641" s="4"/>
      <c r="E4641" s="4"/>
    </row>
    <row r="4642" spans="1:5" x14ac:dyDescent="0.3">
      <c r="A4642" s="9">
        <v>4634</v>
      </c>
      <c r="B4642" s="10">
        <f t="shared" ca="1" si="72"/>
        <v>0.10293496649123866</v>
      </c>
      <c r="C4642" s="10">
        <f ca="1">NPV(B4642,Project_FCF!C18:J18)+Project_FCF!B18</f>
        <v>761.7661701504162</v>
      </c>
      <c r="D4642" s="4"/>
      <c r="E4642" s="4"/>
    </row>
    <row r="4643" spans="1:5" x14ac:dyDescent="0.3">
      <c r="A4643" s="9">
        <v>4635</v>
      </c>
      <c r="B4643" s="10">
        <f t="shared" ca="1" si="72"/>
        <v>8.3738701930084147E-2</v>
      </c>
      <c r="C4643" s="10">
        <f ca="1">NPV(B4643,Project_FCF!C18:J18)+Project_FCF!B18</f>
        <v>907.34430474734995</v>
      </c>
      <c r="D4643" s="4"/>
      <c r="E4643" s="4"/>
    </row>
    <row r="4644" spans="1:5" x14ac:dyDescent="0.3">
      <c r="A4644" s="9">
        <v>4636</v>
      </c>
      <c r="B4644" s="10">
        <f t="shared" ca="1" si="72"/>
        <v>8.5909741404980991E-2</v>
      </c>
      <c r="C4644" s="10">
        <f ca="1">NPV(B4644,Project_FCF!C18:J18)+Project_FCF!B18</f>
        <v>889.75850745169259</v>
      </c>
      <c r="D4644" s="4"/>
      <c r="E4644" s="4"/>
    </row>
    <row r="4645" spans="1:5" x14ac:dyDescent="0.3">
      <c r="A4645" s="9">
        <v>4637</v>
      </c>
      <c r="B4645" s="10">
        <f t="shared" ca="1" si="72"/>
        <v>9.7559145435635916E-2</v>
      </c>
      <c r="C4645" s="10">
        <f ca="1">NPV(B4645,Project_FCF!C18:J18)+Project_FCF!B18</f>
        <v>800.35754294282924</v>
      </c>
      <c r="D4645" s="4"/>
      <c r="E4645" s="4"/>
    </row>
    <row r="4646" spans="1:5" x14ac:dyDescent="0.3">
      <c r="A4646" s="9">
        <v>4638</v>
      </c>
      <c r="B4646" s="10">
        <f t="shared" ca="1" si="72"/>
        <v>0.10257095070581188</v>
      </c>
      <c r="C4646" s="10">
        <f ca="1">NPV(B4646,Project_FCF!C18:J18)+Project_FCF!B18</f>
        <v>764.3287976739889</v>
      </c>
      <c r="D4646" s="4"/>
      <c r="E4646" s="4"/>
    </row>
    <row r="4647" spans="1:5" x14ac:dyDescent="0.3">
      <c r="A4647" s="9">
        <v>4639</v>
      </c>
      <c r="B4647" s="10">
        <f t="shared" ca="1" si="72"/>
        <v>7.3339184979826652E-2</v>
      </c>
      <c r="C4647" s="10">
        <f ca="1">NPV(B4647,Project_FCF!C18:J18)+Project_FCF!B18</f>
        <v>995.9133797843956</v>
      </c>
      <c r="D4647" s="4"/>
      <c r="E4647" s="4"/>
    </row>
    <row r="4648" spans="1:5" x14ac:dyDescent="0.3">
      <c r="A4648" s="9">
        <v>4640</v>
      </c>
      <c r="B4648" s="10">
        <f t="shared" ca="1" si="72"/>
        <v>9.3848095886928939E-2</v>
      </c>
      <c r="C4648" s="10">
        <f ca="1">NPV(B4648,Project_FCF!C18:J18)+Project_FCF!B18</f>
        <v>827.95648075086024</v>
      </c>
      <c r="D4648" s="4"/>
      <c r="E4648" s="4"/>
    </row>
    <row r="4649" spans="1:5" x14ac:dyDescent="0.3">
      <c r="A4649" s="9">
        <v>4641</v>
      </c>
      <c r="B4649" s="10">
        <f t="shared" ca="1" si="72"/>
        <v>9.8731093264181849E-2</v>
      </c>
      <c r="C4649" s="10">
        <f ca="1">NPV(B4649,Project_FCF!C18:J18)+Project_FCF!B18</f>
        <v>791.80647827503708</v>
      </c>
      <c r="D4649" s="4"/>
      <c r="E4649" s="4"/>
    </row>
    <row r="4650" spans="1:5" x14ac:dyDescent="0.3">
      <c r="A4650" s="9">
        <v>4642</v>
      </c>
      <c r="B4650" s="10">
        <f t="shared" ca="1" si="72"/>
        <v>9.1690947398278419E-2</v>
      </c>
      <c r="C4650" s="10">
        <f ca="1">NPV(B4650,Project_FCF!C18:J18)+Project_FCF!B18</f>
        <v>844.3710500093805</v>
      </c>
      <c r="D4650" s="4"/>
      <c r="E4650" s="4"/>
    </row>
    <row r="4651" spans="1:5" x14ac:dyDescent="0.3">
      <c r="A4651" s="9">
        <v>4643</v>
      </c>
      <c r="B4651" s="10">
        <f t="shared" ca="1" si="72"/>
        <v>9.5739824864927547E-2</v>
      </c>
      <c r="C4651" s="10">
        <f ca="1">NPV(B4651,Project_FCF!C18:J18)+Project_FCF!B18</f>
        <v>813.78784993607542</v>
      </c>
      <c r="D4651" s="4"/>
      <c r="E4651" s="4"/>
    </row>
    <row r="4652" spans="1:5" x14ac:dyDescent="0.3">
      <c r="A4652" s="9">
        <v>4644</v>
      </c>
      <c r="B4652" s="10">
        <f t="shared" ca="1" si="72"/>
        <v>7.55200783170204E-2</v>
      </c>
      <c r="C4652" s="10">
        <f ca="1">NPV(B4652,Project_FCF!C18:J18)+Project_FCF!B18</f>
        <v>976.72681605327966</v>
      </c>
      <c r="D4652" s="4"/>
      <c r="E4652" s="4"/>
    </row>
    <row r="4653" spans="1:5" x14ac:dyDescent="0.3">
      <c r="A4653" s="9">
        <v>4645</v>
      </c>
      <c r="B4653" s="10">
        <f t="shared" ca="1" si="72"/>
        <v>8.4641422711940653E-2</v>
      </c>
      <c r="C4653" s="10">
        <f ca="1">NPV(B4653,Project_FCF!C18:J18)+Project_FCF!B18</f>
        <v>899.99545357552665</v>
      </c>
      <c r="D4653" s="4"/>
      <c r="E4653" s="4"/>
    </row>
    <row r="4654" spans="1:5" x14ac:dyDescent="0.3">
      <c r="A4654" s="9">
        <v>4646</v>
      </c>
      <c r="B4654" s="10">
        <f t="shared" ca="1" si="72"/>
        <v>7.3918498260233903E-2</v>
      </c>
      <c r="C4654" s="10">
        <f ca="1">NPV(B4654,Project_FCF!C18:J18)+Project_FCF!B18</f>
        <v>990.78416844278172</v>
      </c>
      <c r="D4654" s="4"/>
      <c r="E4654" s="4"/>
    </row>
    <row r="4655" spans="1:5" x14ac:dyDescent="0.3">
      <c r="A4655" s="9">
        <v>4647</v>
      </c>
      <c r="B4655" s="10">
        <f t="shared" ca="1" si="72"/>
        <v>8.8742884751447301E-2</v>
      </c>
      <c r="C4655" s="10">
        <f ca="1">NPV(B4655,Project_FCF!C18:J18)+Project_FCF!B18</f>
        <v>867.25793465221477</v>
      </c>
      <c r="D4655" s="4"/>
      <c r="E4655" s="4"/>
    </row>
    <row r="4656" spans="1:5" x14ac:dyDescent="0.3">
      <c r="A4656" s="9">
        <v>4648</v>
      </c>
      <c r="B4656" s="10">
        <f t="shared" ca="1" si="72"/>
        <v>0.10221665128825584</v>
      </c>
      <c r="C4656" s="10">
        <f ca="1">NPV(B4656,Project_FCF!C18:J18)+Project_FCF!B18</f>
        <v>766.8299755657672</v>
      </c>
      <c r="D4656" s="4"/>
      <c r="E4656" s="4"/>
    </row>
    <row r="4657" spans="1:5" x14ac:dyDescent="0.3">
      <c r="A4657" s="9">
        <v>4649</v>
      </c>
      <c r="B4657" s="10">
        <f t="shared" ca="1" si="72"/>
        <v>9.2266682978381143E-2</v>
      </c>
      <c r="C4657" s="10">
        <f ca="1">NPV(B4657,Project_FCF!C18:J18)+Project_FCF!B18</f>
        <v>839.96288339239686</v>
      </c>
      <c r="D4657" s="4"/>
      <c r="E4657" s="4"/>
    </row>
    <row r="4658" spans="1:5" x14ac:dyDescent="0.3">
      <c r="A4658" s="9">
        <v>4650</v>
      </c>
      <c r="B4658" s="10">
        <f t="shared" ca="1" si="72"/>
        <v>7.0291424593927482E-2</v>
      </c>
      <c r="C4658" s="10">
        <f ca="1">NPV(B4658,Project_FCF!C18:J18)+Project_FCF!B18</f>
        <v>1023.2934697610049</v>
      </c>
      <c r="D4658" s="4"/>
      <c r="E4658" s="4"/>
    </row>
    <row r="4659" spans="1:5" x14ac:dyDescent="0.3">
      <c r="A4659" s="9">
        <v>4651</v>
      </c>
      <c r="B4659" s="10">
        <f t="shared" ca="1" si="72"/>
        <v>7.3673655302417498E-2</v>
      </c>
      <c r="C4659" s="10">
        <f ca="1">NPV(B4659,Project_FCF!C18:J18)+Project_FCF!B18</f>
        <v>992.94909698335709</v>
      </c>
      <c r="D4659" s="4"/>
      <c r="E4659" s="4"/>
    </row>
    <row r="4660" spans="1:5" x14ac:dyDescent="0.3">
      <c r="A4660" s="9">
        <v>4652</v>
      </c>
      <c r="B4660" s="10">
        <f t="shared" ca="1" si="72"/>
        <v>7.555856579288403E-2</v>
      </c>
      <c r="C4660" s="10">
        <f ca="1">NPV(B4660,Project_FCF!C18:J18)+Project_FCF!B18</f>
        <v>976.39121183576435</v>
      </c>
      <c r="D4660" s="4"/>
      <c r="E4660" s="4"/>
    </row>
    <row r="4661" spans="1:5" x14ac:dyDescent="0.3">
      <c r="A4661" s="9">
        <v>4653</v>
      </c>
      <c r="B4661" s="10">
        <f t="shared" ca="1" si="72"/>
        <v>7.5328129502194752E-2</v>
      </c>
      <c r="C4661" s="10">
        <f ca="1">NPV(B4661,Project_FCF!C18:J18)+Project_FCF!B18</f>
        <v>978.40211701081944</v>
      </c>
      <c r="D4661" s="4"/>
      <c r="E4661" s="4"/>
    </row>
    <row r="4662" spans="1:5" x14ac:dyDescent="0.3">
      <c r="A4662" s="9">
        <v>4654</v>
      </c>
      <c r="B4662" s="10">
        <f t="shared" ca="1" si="72"/>
        <v>6.8180470659947534E-2</v>
      </c>
      <c r="C4662" s="10">
        <f ca="1">NPV(B4662,Project_FCF!C18:J18)+Project_FCF!B18</f>
        <v>1042.653927877866</v>
      </c>
      <c r="D4662" s="4"/>
      <c r="E4662" s="4"/>
    </row>
    <row r="4663" spans="1:5" x14ac:dyDescent="0.3">
      <c r="A4663" s="9">
        <v>4655</v>
      </c>
      <c r="B4663" s="10">
        <f t="shared" ca="1" si="72"/>
        <v>7.9263560807019351E-2</v>
      </c>
      <c r="C4663" s="10">
        <f ca="1">NPV(B4663,Project_FCF!C18:J18)+Project_FCF!B18</f>
        <v>944.56150709865688</v>
      </c>
      <c r="D4663" s="4"/>
      <c r="E4663" s="4"/>
    </row>
    <row r="4664" spans="1:5" x14ac:dyDescent="0.3">
      <c r="A4664" s="9">
        <v>4656</v>
      </c>
      <c r="B4664" s="10">
        <f t="shared" ca="1" si="72"/>
        <v>8.4357522071980939E-2</v>
      </c>
      <c r="C4664" s="10">
        <f ca="1">NPV(B4664,Project_FCF!C18:J18)+Project_FCF!B18</f>
        <v>902.30097540118504</v>
      </c>
      <c r="D4664" s="4"/>
      <c r="E4664" s="4"/>
    </row>
    <row r="4665" spans="1:5" x14ac:dyDescent="0.3">
      <c r="A4665" s="9">
        <v>4657</v>
      </c>
      <c r="B4665" s="10">
        <f t="shared" ca="1" si="72"/>
        <v>7.5786640587084522E-2</v>
      </c>
      <c r="C4665" s="10">
        <f ca="1">NPV(B4665,Project_FCF!C18:J18)+Project_FCF!B18</f>
        <v>974.40455244326108</v>
      </c>
      <c r="D4665" s="4"/>
      <c r="E4665" s="4"/>
    </row>
    <row r="4666" spans="1:5" x14ac:dyDescent="0.3">
      <c r="A4666" s="9">
        <v>4658</v>
      </c>
      <c r="B4666" s="10">
        <f t="shared" ca="1" si="72"/>
        <v>0.10018812673786852</v>
      </c>
      <c r="C4666" s="10">
        <f ca="1">NPV(B4666,Project_FCF!C18:J18)+Project_FCF!B18</f>
        <v>781.2834705787011</v>
      </c>
      <c r="D4666" s="4"/>
      <c r="E4666" s="4"/>
    </row>
    <row r="4667" spans="1:5" x14ac:dyDescent="0.3">
      <c r="A4667" s="9">
        <v>4659</v>
      </c>
      <c r="B4667" s="10">
        <f t="shared" ca="1" si="72"/>
        <v>0.10313015549957869</v>
      </c>
      <c r="C4667" s="10">
        <f ca="1">NPV(B4667,Project_FCF!C18:J18)+Project_FCF!B18</f>
        <v>760.39503670124122</v>
      </c>
      <c r="D4667" s="4"/>
      <c r="E4667" s="4"/>
    </row>
    <row r="4668" spans="1:5" x14ac:dyDescent="0.3">
      <c r="A4668" s="9">
        <v>4660</v>
      </c>
      <c r="B4668" s="10">
        <f t="shared" ca="1" si="72"/>
        <v>6.8877948347193643E-2</v>
      </c>
      <c r="C4668" s="10">
        <f ca="1">NPV(B4668,Project_FCF!C18:J18)+Project_FCF!B18</f>
        <v>1036.2206937125995</v>
      </c>
      <c r="D4668" s="4"/>
      <c r="E4668" s="4"/>
    </row>
    <row r="4669" spans="1:5" x14ac:dyDescent="0.3">
      <c r="A4669" s="9">
        <v>4661</v>
      </c>
      <c r="B4669" s="10">
        <f t="shared" ca="1" si="72"/>
        <v>8.9442849126013677E-2</v>
      </c>
      <c r="C4669" s="10">
        <f ca="1">NPV(B4669,Project_FCF!C18:J18)+Project_FCF!B18</f>
        <v>861.77576890471414</v>
      </c>
      <c r="D4669" s="4"/>
      <c r="E4669" s="4"/>
    </row>
    <row r="4670" spans="1:5" x14ac:dyDescent="0.3">
      <c r="A4670" s="9">
        <v>4662</v>
      </c>
      <c r="B4670" s="10">
        <f t="shared" ca="1" si="72"/>
        <v>6.7451957638595433E-2</v>
      </c>
      <c r="C4670" s="10">
        <f ca="1">NPV(B4670,Project_FCF!C18:J18)+Project_FCF!B18</f>
        <v>1049.4120748555385</v>
      </c>
      <c r="D4670" s="4"/>
      <c r="E4670" s="4"/>
    </row>
    <row r="4671" spans="1:5" x14ac:dyDescent="0.3">
      <c r="A4671" s="9">
        <v>4663</v>
      </c>
      <c r="B4671" s="10">
        <f t="shared" ca="1" si="72"/>
        <v>7.906089830745168E-2</v>
      </c>
      <c r="C4671" s="10">
        <f ca="1">NPV(B4671,Project_FCF!C18:J18)+Project_FCF!B18</f>
        <v>946.27842311512063</v>
      </c>
      <c r="D4671" s="4"/>
      <c r="E4671" s="4"/>
    </row>
    <row r="4672" spans="1:5" x14ac:dyDescent="0.3">
      <c r="A4672" s="9">
        <v>4664</v>
      </c>
      <c r="B4672" s="10">
        <f t="shared" ca="1" si="72"/>
        <v>7.4578633836645258E-2</v>
      </c>
      <c r="C4672" s="10">
        <f ca="1">NPV(B4672,Project_FCF!C18:J18)+Project_FCF!B18</f>
        <v>984.96824552457042</v>
      </c>
      <c r="D4672" s="4"/>
      <c r="E4672" s="4"/>
    </row>
    <row r="4673" spans="1:5" x14ac:dyDescent="0.3">
      <c r="A4673" s="9">
        <v>4665</v>
      </c>
      <c r="B4673" s="10">
        <f t="shared" ca="1" si="72"/>
        <v>7.8905031569128634E-2</v>
      </c>
      <c r="C4673" s="10">
        <f ca="1">NPV(B4673,Project_FCF!C18:J18)+Project_FCF!B18</f>
        <v>947.60077803016884</v>
      </c>
      <c r="D4673" s="4"/>
      <c r="E4673" s="4"/>
    </row>
    <row r="4674" spans="1:5" x14ac:dyDescent="0.3">
      <c r="A4674" s="9">
        <v>4666</v>
      </c>
      <c r="B4674" s="10">
        <f t="shared" ca="1" si="72"/>
        <v>8.8528622350837083E-2</v>
      </c>
      <c r="C4674" s="10">
        <f ca="1">NPV(B4674,Project_FCF!C18:J18)+Project_FCF!B18</f>
        <v>868.94209411786687</v>
      </c>
      <c r="D4674" s="4"/>
      <c r="E4674" s="4"/>
    </row>
    <row r="4675" spans="1:5" x14ac:dyDescent="0.3">
      <c r="A4675" s="9">
        <v>4667</v>
      </c>
      <c r="B4675" s="10">
        <f t="shared" ca="1" si="72"/>
        <v>6.6068234039202048E-2</v>
      </c>
      <c r="C4675" s="10">
        <f ca="1">NPV(B4675,Project_FCF!C18:J18)+Project_FCF!B18</f>
        <v>1062.3580619005961</v>
      </c>
      <c r="D4675" s="4"/>
      <c r="E4675" s="4"/>
    </row>
    <row r="4676" spans="1:5" x14ac:dyDescent="0.3">
      <c r="A4676" s="9">
        <v>4668</v>
      </c>
      <c r="B4676" s="10">
        <f t="shared" ca="1" si="72"/>
        <v>9.9844508276487831E-2</v>
      </c>
      <c r="C4676" s="10">
        <f ca="1">NPV(B4676,Project_FCF!C18:J18)+Project_FCF!B18</f>
        <v>783.75442530926875</v>
      </c>
      <c r="D4676" s="4"/>
      <c r="E4676" s="4"/>
    </row>
    <row r="4677" spans="1:5" x14ac:dyDescent="0.3">
      <c r="A4677" s="9">
        <v>4669</v>
      </c>
      <c r="B4677" s="10">
        <f t="shared" ca="1" si="72"/>
        <v>9.1306242514662211E-2</v>
      </c>
      <c r="C4677" s="10">
        <f ca="1">NPV(B4677,Project_FCF!C18:J18)+Project_FCF!B18</f>
        <v>847.32768571304564</v>
      </c>
      <c r="D4677" s="4"/>
      <c r="E4677" s="4"/>
    </row>
    <row r="4678" spans="1:5" x14ac:dyDescent="0.3">
      <c r="A4678" s="9">
        <v>4670</v>
      </c>
      <c r="B4678" s="10">
        <f t="shared" ca="1" si="72"/>
        <v>6.5616200992811277E-2</v>
      </c>
      <c r="C4678" s="10">
        <f ca="1">NPV(B4678,Project_FCF!C18:J18)+Project_FCF!B18</f>
        <v>1066.6186286063132</v>
      </c>
      <c r="D4678" s="4"/>
      <c r="E4678" s="4"/>
    </row>
    <row r="4679" spans="1:5" x14ac:dyDescent="0.3">
      <c r="A4679" s="9">
        <v>4671</v>
      </c>
      <c r="B4679" s="10">
        <f t="shared" ca="1" si="72"/>
        <v>9.7099973804185447E-2</v>
      </c>
      <c r="C4679" s="10">
        <f ca="1">NPV(B4679,Project_FCF!C18:J18)+Project_FCF!B18</f>
        <v>803.72921221608567</v>
      </c>
      <c r="D4679" s="4"/>
      <c r="E4679" s="4"/>
    </row>
    <row r="4680" spans="1:5" x14ac:dyDescent="0.3">
      <c r="A4680" s="9">
        <v>4672</v>
      </c>
      <c r="B4680" s="10">
        <f t="shared" ca="1" si="72"/>
        <v>9.8888388748367501E-2</v>
      </c>
      <c r="C4680" s="10">
        <f ca="1">NPV(B4680,Project_FCF!C18:J18)+Project_FCF!B18</f>
        <v>790.66470592528822</v>
      </c>
      <c r="D4680" s="4"/>
      <c r="E4680" s="4"/>
    </row>
    <row r="4681" spans="1:5" x14ac:dyDescent="0.3">
      <c r="A4681" s="9">
        <v>4673</v>
      </c>
      <c r="B4681" s="10">
        <f t="shared" ref="B4681:B4744" ca="1" si="73">$B$4+RAND()*($B$5-$B$4)</f>
        <v>7.8686840301024671E-2</v>
      </c>
      <c r="C4681" s="10">
        <f ca="1">NPV(B4681,Project_FCF!C18:J18)+Project_FCF!B18</f>
        <v>949.45464203013785</v>
      </c>
      <c r="D4681" s="4"/>
      <c r="E4681" s="4"/>
    </row>
    <row r="4682" spans="1:5" x14ac:dyDescent="0.3">
      <c r="A4682" s="9">
        <v>4674</v>
      </c>
      <c r="B4682" s="10">
        <f t="shared" ca="1" si="73"/>
        <v>8.3502306129147941E-2</v>
      </c>
      <c r="C4682" s="10">
        <f ca="1">NPV(B4682,Project_FCF!C18:J18)+Project_FCF!B18</f>
        <v>909.27743453303265</v>
      </c>
      <c r="D4682" s="4"/>
      <c r="E4682" s="4"/>
    </row>
    <row r="4683" spans="1:5" x14ac:dyDescent="0.3">
      <c r="A4683" s="9">
        <v>4675</v>
      </c>
      <c r="B4683" s="10">
        <f t="shared" ca="1" si="73"/>
        <v>7.4405543097073715E-2</v>
      </c>
      <c r="C4683" s="10">
        <f ca="1">NPV(B4683,Project_FCF!C18:J18)+Project_FCF!B18</f>
        <v>986.49024208385936</v>
      </c>
      <c r="D4683" s="4"/>
      <c r="E4683" s="4"/>
    </row>
    <row r="4684" spans="1:5" x14ac:dyDescent="0.3">
      <c r="A4684" s="9">
        <v>4676</v>
      </c>
      <c r="B4684" s="10">
        <f t="shared" ca="1" si="73"/>
        <v>9.657550540454185E-2</v>
      </c>
      <c r="C4684" s="10">
        <f ca="1">NPV(B4684,Project_FCF!C18:J18)+Project_FCF!B18</f>
        <v>807.5951475424572</v>
      </c>
      <c r="D4684" s="4"/>
      <c r="E4684" s="4"/>
    </row>
    <row r="4685" spans="1:5" x14ac:dyDescent="0.3">
      <c r="A4685" s="9">
        <v>4677</v>
      </c>
      <c r="B4685" s="10">
        <f t="shared" ca="1" si="73"/>
        <v>6.4157436196072226E-2</v>
      </c>
      <c r="C4685" s="10">
        <f ca="1">NPV(B4685,Project_FCF!C18:J18)+Project_FCF!B18</f>
        <v>1080.4744882456546</v>
      </c>
      <c r="D4685" s="4"/>
      <c r="E4685" s="4"/>
    </row>
    <row r="4686" spans="1:5" x14ac:dyDescent="0.3">
      <c r="A4686" s="9">
        <v>4678</v>
      </c>
      <c r="B4686" s="10">
        <f t="shared" ca="1" si="73"/>
        <v>7.1654341796584392E-2</v>
      </c>
      <c r="C4686" s="10">
        <f ca="1">NPV(B4686,Project_FCF!C18:J18)+Project_FCF!B18</f>
        <v>1010.9667702330369</v>
      </c>
      <c r="D4686" s="4"/>
      <c r="E4686" s="4"/>
    </row>
    <row r="4687" spans="1:5" x14ac:dyDescent="0.3">
      <c r="A4687" s="9">
        <v>4679</v>
      </c>
      <c r="B4687" s="10">
        <f t="shared" ca="1" si="73"/>
        <v>6.5694534048477457E-2</v>
      </c>
      <c r="C4687" s="10">
        <f ca="1">NPV(B4687,Project_FCF!C18:J18)+Project_FCF!B18</f>
        <v>1065.8791994432388</v>
      </c>
      <c r="D4687" s="4"/>
      <c r="E4687" s="4"/>
    </row>
    <row r="4688" spans="1:5" x14ac:dyDescent="0.3">
      <c r="A4688" s="9">
        <v>4680</v>
      </c>
      <c r="B4688" s="10">
        <f t="shared" ca="1" si="73"/>
        <v>8.4425275039132497E-2</v>
      </c>
      <c r="C4688" s="10">
        <f ca="1">NPV(B4688,Project_FCF!C18:J18)+Project_FCF!B18</f>
        <v>901.75029190198711</v>
      </c>
      <c r="D4688" s="4"/>
      <c r="E4688" s="4"/>
    </row>
    <row r="4689" spans="1:5" x14ac:dyDescent="0.3">
      <c r="A4689" s="9">
        <v>4681</v>
      </c>
      <c r="B4689" s="10">
        <f t="shared" ca="1" si="73"/>
        <v>6.5065966101152534E-2</v>
      </c>
      <c r="C4689" s="10">
        <f ca="1">NPV(B4689,Project_FCF!C18:J18)+Project_FCF!B18</f>
        <v>1071.8257938281863</v>
      </c>
      <c r="D4689" s="4"/>
      <c r="E4689" s="4"/>
    </row>
    <row r="4690" spans="1:5" x14ac:dyDescent="0.3">
      <c r="A4690" s="9">
        <v>4682</v>
      </c>
      <c r="B4690" s="10">
        <f t="shared" ca="1" si="73"/>
        <v>0.10313958817178939</v>
      </c>
      <c r="C4690" s="10">
        <f ca="1">NPV(B4690,Project_FCF!C18:J18)+Project_FCF!B18</f>
        <v>760.32882802767131</v>
      </c>
      <c r="D4690" s="4"/>
      <c r="E4690" s="4"/>
    </row>
    <row r="4691" spans="1:5" x14ac:dyDescent="0.3">
      <c r="A4691" s="9">
        <v>4683</v>
      </c>
      <c r="B4691" s="10">
        <f t="shared" ca="1" si="73"/>
        <v>9.1691304478077149E-2</v>
      </c>
      <c r="C4691" s="10">
        <f ca="1">NPV(B4691,Project_FCF!C18:J18)+Project_FCF!B18</f>
        <v>844.36830982722449</v>
      </c>
      <c r="D4691" s="4"/>
      <c r="E4691" s="4"/>
    </row>
    <row r="4692" spans="1:5" x14ac:dyDescent="0.3">
      <c r="A4692" s="9">
        <v>4684</v>
      </c>
      <c r="B4692" s="10">
        <f t="shared" ca="1" si="73"/>
        <v>8.4728828960868044E-2</v>
      </c>
      <c r="C4692" s="10">
        <f ca="1">NPV(B4692,Project_FCF!C18:J18)+Project_FCF!B18</f>
        <v>899.28667908086095</v>
      </c>
      <c r="D4692" s="4"/>
      <c r="E4692" s="4"/>
    </row>
    <row r="4693" spans="1:5" x14ac:dyDescent="0.3">
      <c r="A4693" s="9">
        <v>4685</v>
      </c>
      <c r="B4693" s="10">
        <f t="shared" ca="1" si="73"/>
        <v>9.0162588090412416E-2</v>
      </c>
      <c r="C4693" s="10">
        <f ca="1">NPV(B4693,Project_FCF!C18:J18)+Project_FCF!B18</f>
        <v>856.17009509061427</v>
      </c>
      <c r="D4693" s="4"/>
      <c r="E4693" s="4"/>
    </row>
    <row r="4694" spans="1:5" x14ac:dyDescent="0.3">
      <c r="A4694" s="9">
        <v>4686</v>
      </c>
      <c r="B4694" s="10">
        <f t="shared" ca="1" si="73"/>
        <v>8.1124011370172194E-2</v>
      </c>
      <c r="C4694" s="10">
        <f ca="1">NPV(B4694,Project_FCF!C18:J18)+Project_FCF!B18</f>
        <v>928.9286306445149</v>
      </c>
      <c r="D4694" s="4"/>
      <c r="E4694" s="4"/>
    </row>
    <row r="4695" spans="1:5" x14ac:dyDescent="0.3">
      <c r="A4695" s="9">
        <v>4687</v>
      </c>
      <c r="B4695" s="10">
        <f t="shared" ca="1" si="73"/>
        <v>8.0469167208560302E-2</v>
      </c>
      <c r="C4695" s="10">
        <f ca="1">NPV(B4695,Project_FCF!C18:J18)+Project_FCF!B18</f>
        <v>934.40479777055521</v>
      </c>
      <c r="D4695" s="4"/>
      <c r="E4695" s="4"/>
    </row>
    <row r="4696" spans="1:5" x14ac:dyDescent="0.3">
      <c r="A4696" s="9">
        <v>4688</v>
      </c>
      <c r="B4696" s="10">
        <f t="shared" ca="1" si="73"/>
        <v>9.0677853342061659E-2</v>
      </c>
      <c r="C4696" s="10">
        <f ca="1">NPV(B4696,Project_FCF!C18:J18)+Project_FCF!B18</f>
        <v>852.1763835669999</v>
      </c>
      <c r="D4696" s="4"/>
      <c r="E4696" s="4"/>
    </row>
    <row r="4697" spans="1:5" x14ac:dyDescent="0.3">
      <c r="A4697" s="9">
        <v>4689</v>
      </c>
      <c r="B4697" s="10">
        <f t="shared" ca="1" si="73"/>
        <v>7.5410797639102911E-2</v>
      </c>
      <c r="C4697" s="10">
        <f ca="1">NPV(B4697,Project_FCF!C18:J18)+Project_FCF!B18</f>
        <v>977.68028701188405</v>
      </c>
      <c r="D4697" s="4"/>
      <c r="E4697" s="4"/>
    </row>
    <row r="4698" spans="1:5" x14ac:dyDescent="0.3">
      <c r="A4698" s="9">
        <v>4690</v>
      </c>
      <c r="B4698" s="10">
        <f t="shared" ca="1" si="73"/>
        <v>9.9203745358946022E-2</v>
      </c>
      <c r="C4698" s="10">
        <f ca="1">NPV(B4698,Project_FCF!C18:J18)+Project_FCF!B18</f>
        <v>788.37980846567325</v>
      </c>
      <c r="D4698" s="4"/>
      <c r="E4698" s="4"/>
    </row>
    <row r="4699" spans="1:5" x14ac:dyDescent="0.3">
      <c r="A4699" s="9">
        <v>4691</v>
      </c>
      <c r="B4699" s="10">
        <f t="shared" ca="1" si="73"/>
        <v>6.6967025548746326E-2</v>
      </c>
      <c r="C4699" s="10">
        <f ca="1">NPV(B4699,Project_FCF!C18:J18)+Project_FCF!B18</f>
        <v>1053.9326351821041</v>
      </c>
      <c r="D4699" s="4"/>
      <c r="E4699" s="4"/>
    </row>
    <row r="4700" spans="1:5" x14ac:dyDescent="0.3">
      <c r="A4700" s="9">
        <v>4692</v>
      </c>
      <c r="B4700" s="10">
        <f t="shared" ca="1" si="73"/>
        <v>6.7636714743593021E-2</v>
      </c>
      <c r="C4700" s="10">
        <f ca="1">NPV(B4700,Project_FCF!C18:J18)+Project_FCF!B18</f>
        <v>1047.6943988174169</v>
      </c>
      <c r="D4700" s="4"/>
      <c r="E4700" s="4"/>
    </row>
    <row r="4701" spans="1:5" x14ac:dyDescent="0.3">
      <c r="A4701" s="9">
        <v>4693</v>
      </c>
      <c r="B4701" s="10">
        <f t="shared" ca="1" si="73"/>
        <v>0.10098541045387717</v>
      </c>
      <c r="C4701" s="10">
        <f ca="1">NPV(B4701,Project_FCF!C18:J18)+Project_FCF!B18</f>
        <v>775.57556146703769</v>
      </c>
      <c r="D4701" s="4"/>
      <c r="E4701" s="4"/>
    </row>
    <row r="4702" spans="1:5" x14ac:dyDescent="0.3">
      <c r="A4702" s="9">
        <v>4694</v>
      </c>
      <c r="B4702" s="10">
        <f t="shared" ca="1" si="73"/>
        <v>7.9915810682836749E-2</v>
      </c>
      <c r="C4702" s="10">
        <f ca="1">NPV(B4702,Project_FCF!C18:J18)+Project_FCF!B18</f>
        <v>939.05451109623937</v>
      </c>
      <c r="D4702" s="4"/>
      <c r="E4702" s="4"/>
    </row>
    <row r="4703" spans="1:5" x14ac:dyDescent="0.3">
      <c r="A4703" s="9">
        <v>4695</v>
      </c>
      <c r="B4703" s="10">
        <f t="shared" ca="1" si="73"/>
        <v>9.2761163912251463E-2</v>
      </c>
      <c r="C4703" s="10">
        <f ca="1">NPV(B4703,Project_FCF!C18:J18)+Project_FCF!B18</f>
        <v>836.19269517116913</v>
      </c>
      <c r="D4703" s="4"/>
      <c r="E4703" s="4"/>
    </row>
    <row r="4704" spans="1:5" x14ac:dyDescent="0.3">
      <c r="A4704" s="9">
        <v>4696</v>
      </c>
      <c r="B4704" s="10">
        <f t="shared" ca="1" si="73"/>
        <v>7.308586081402442E-2</v>
      </c>
      <c r="C4704" s="10">
        <f ca="1">NPV(B4704,Project_FCF!C18:J18)+Project_FCF!B18</f>
        <v>998.16377960847763</v>
      </c>
      <c r="D4704" s="4"/>
      <c r="E4704" s="4"/>
    </row>
    <row r="4705" spans="1:5" x14ac:dyDescent="0.3">
      <c r="A4705" s="9">
        <v>4697</v>
      </c>
      <c r="B4705" s="10">
        <f t="shared" ca="1" si="73"/>
        <v>0.10187604083858046</v>
      </c>
      <c r="C4705" s="10">
        <f ca="1">NPV(B4705,Project_FCF!C18:J18)+Project_FCF!B18</f>
        <v>769.24100236344862</v>
      </c>
      <c r="D4705" s="4"/>
      <c r="E4705" s="4"/>
    </row>
    <row r="4706" spans="1:5" x14ac:dyDescent="0.3">
      <c r="A4706" s="9">
        <v>4698</v>
      </c>
      <c r="B4706" s="10">
        <f t="shared" ca="1" si="73"/>
        <v>9.8946748490417055E-2</v>
      </c>
      <c r="C4706" s="10">
        <f ca="1">NPV(B4706,Project_FCF!C18:J18)+Project_FCF!B18</f>
        <v>790.24144106806762</v>
      </c>
      <c r="D4706" s="4"/>
      <c r="E4706" s="4"/>
    </row>
    <row r="4707" spans="1:5" x14ac:dyDescent="0.3">
      <c r="A4707" s="9">
        <v>4699</v>
      </c>
      <c r="B4707" s="10">
        <f t="shared" ca="1" si="73"/>
        <v>9.1482316127520544E-2</v>
      </c>
      <c r="C4707" s="10">
        <f ca="1">NPV(B4707,Project_FCF!C18:J18)+Project_FCF!B18</f>
        <v>845.97337095696548</v>
      </c>
      <c r="D4707" s="4"/>
      <c r="E4707" s="4"/>
    </row>
    <row r="4708" spans="1:5" x14ac:dyDescent="0.3">
      <c r="A4708" s="9">
        <v>4700</v>
      </c>
      <c r="B4708" s="10">
        <f t="shared" ca="1" si="73"/>
        <v>9.8853126438851163E-2</v>
      </c>
      <c r="C4708" s="10">
        <f ca="1">NPV(B4708,Project_FCF!C18:J18)+Project_FCF!B18</f>
        <v>790.92054553633534</v>
      </c>
      <c r="D4708" s="4"/>
      <c r="E4708" s="4"/>
    </row>
    <row r="4709" spans="1:5" x14ac:dyDescent="0.3">
      <c r="A4709" s="9">
        <v>4701</v>
      </c>
      <c r="B4709" s="10">
        <f t="shared" ca="1" si="73"/>
        <v>6.8563983041457915E-2</v>
      </c>
      <c r="C4709" s="10">
        <f ca="1">NPV(B4709,Project_FCF!C18:J18)+Project_FCF!B18</f>
        <v>1039.112109299489</v>
      </c>
      <c r="D4709" s="4"/>
      <c r="E4709" s="4"/>
    </row>
    <row r="4710" spans="1:5" x14ac:dyDescent="0.3">
      <c r="A4710" s="9">
        <v>4702</v>
      </c>
      <c r="B4710" s="10">
        <f t="shared" ca="1" si="73"/>
        <v>0.10291661725465512</v>
      </c>
      <c r="C4710" s="10">
        <f ca="1">NPV(B4710,Project_FCF!C18:J18)+Project_FCF!B18</f>
        <v>761.8951736632248</v>
      </c>
      <c r="D4710" s="4"/>
      <c r="E4710" s="4"/>
    </row>
    <row r="4711" spans="1:5" x14ac:dyDescent="0.3">
      <c r="A4711" s="9">
        <v>4703</v>
      </c>
      <c r="B4711" s="10">
        <f t="shared" ca="1" si="73"/>
        <v>8.8633787533851205E-2</v>
      </c>
      <c r="C4711" s="10">
        <f ca="1">NPV(B4711,Project_FCF!C18:J18)+Project_FCF!B18</f>
        <v>868.11511302299664</v>
      </c>
      <c r="D4711" s="4"/>
      <c r="E4711" s="4"/>
    </row>
    <row r="4712" spans="1:5" x14ac:dyDescent="0.3">
      <c r="A4712" s="9">
        <v>4704</v>
      </c>
      <c r="B4712" s="10">
        <f t="shared" ca="1" si="73"/>
        <v>6.6712045049627661E-2</v>
      </c>
      <c r="C4712" s="10">
        <f ca="1">NPV(B4712,Project_FCF!C18:J18)+Project_FCF!B18</f>
        <v>1056.3166686060222</v>
      </c>
      <c r="D4712" s="4"/>
      <c r="E4712" s="4"/>
    </row>
    <row r="4713" spans="1:5" x14ac:dyDescent="0.3">
      <c r="A4713" s="9">
        <v>4705</v>
      </c>
      <c r="B4713" s="10">
        <f t="shared" ca="1" si="73"/>
        <v>9.6286932395810765E-2</v>
      </c>
      <c r="C4713" s="10">
        <f ca="1">NPV(B4713,Project_FCF!C18:J18)+Project_FCF!B18</f>
        <v>809.72901694786992</v>
      </c>
      <c r="D4713" s="4"/>
      <c r="E4713" s="4"/>
    </row>
    <row r="4714" spans="1:5" x14ac:dyDescent="0.3">
      <c r="A4714" s="9">
        <v>4706</v>
      </c>
      <c r="B4714" s="10">
        <f t="shared" ca="1" si="73"/>
        <v>6.6192808618154395E-2</v>
      </c>
      <c r="C4714" s="10">
        <f ca="1">NPV(B4714,Project_FCF!C18:J18)+Project_FCF!B18</f>
        <v>1061.186631172443</v>
      </c>
      <c r="D4714" s="4"/>
      <c r="E4714" s="4"/>
    </row>
    <row r="4715" spans="1:5" x14ac:dyDescent="0.3">
      <c r="A4715" s="9">
        <v>4707</v>
      </c>
      <c r="B4715" s="10">
        <f t="shared" ca="1" si="73"/>
        <v>8.5582183697316086E-2</v>
      </c>
      <c r="C4715" s="10">
        <f ca="1">NPV(B4715,Project_FCF!C18:J18)+Project_FCF!B18</f>
        <v>892.39250371349408</v>
      </c>
      <c r="D4715" s="4"/>
      <c r="E4715" s="4"/>
    </row>
    <row r="4716" spans="1:5" x14ac:dyDescent="0.3">
      <c r="A4716" s="9">
        <v>4708</v>
      </c>
      <c r="B4716" s="10">
        <f t="shared" ca="1" si="73"/>
        <v>9.3269175935185758E-2</v>
      </c>
      <c r="C4716" s="10">
        <f ca="1">NPV(B4716,Project_FCF!C18:J18)+Project_FCF!B18</f>
        <v>832.33451627463</v>
      </c>
      <c r="D4716" s="4"/>
      <c r="E4716" s="4"/>
    </row>
    <row r="4717" spans="1:5" x14ac:dyDescent="0.3">
      <c r="A4717" s="9">
        <v>4709</v>
      </c>
      <c r="B4717" s="10">
        <f t="shared" ca="1" si="73"/>
        <v>8.8601910363943298E-2</v>
      </c>
      <c r="C4717" s="10">
        <f ca="1">NPV(B4717,Project_FCF!C18:J18)+Project_FCF!B18</f>
        <v>868.36571132577569</v>
      </c>
      <c r="D4717" s="4"/>
      <c r="E4717" s="4"/>
    </row>
    <row r="4718" spans="1:5" x14ac:dyDescent="0.3">
      <c r="A4718" s="9">
        <v>4710</v>
      </c>
      <c r="B4718" s="10">
        <f t="shared" ca="1" si="73"/>
        <v>9.870688620341786E-2</v>
      </c>
      <c r="C4718" s="10">
        <f ca="1">NPV(B4718,Project_FCF!C18:J18)+Project_FCF!B18</f>
        <v>791.98231598326652</v>
      </c>
      <c r="D4718" s="4"/>
      <c r="E4718" s="4"/>
    </row>
    <row r="4719" spans="1:5" x14ac:dyDescent="0.3">
      <c r="A4719" s="9">
        <v>4711</v>
      </c>
      <c r="B4719" s="10">
        <f t="shared" ca="1" si="73"/>
        <v>9.7906657931703223E-2</v>
      </c>
      <c r="C4719" s="10">
        <f ca="1">NPV(B4719,Project_FCF!C18:J18)+Project_FCF!B18</f>
        <v>797.81378833240365</v>
      </c>
      <c r="D4719" s="4"/>
      <c r="E4719" s="4"/>
    </row>
    <row r="4720" spans="1:5" x14ac:dyDescent="0.3">
      <c r="A4720" s="9">
        <v>4712</v>
      </c>
      <c r="B4720" s="10">
        <f t="shared" ca="1" si="73"/>
        <v>8.8206838739848123E-2</v>
      </c>
      <c r="C4720" s="10">
        <f ca="1">NPV(B4720,Project_FCF!C18:J18)+Project_FCF!B18</f>
        <v>871.47673955017012</v>
      </c>
      <c r="D4720" s="4"/>
      <c r="E4720" s="4"/>
    </row>
    <row r="4721" spans="1:5" x14ac:dyDescent="0.3">
      <c r="A4721" s="9">
        <v>4713</v>
      </c>
      <c r="B4721" s="10">
        <f t="shared" ca="1" si="73"/>
        <v>9.9710362177015621E-2</v>
      </c>
      <c r="C4721" s="10">
        <f ca="1">NPV(B4721,Project_FCF!C18:J18)+Project_FCF!B18</f>
        <v>784.72086020364509</v>
      </c>
      <c r="D4721" s="4"/>
      <c r="E4721" s="4"/>
    </row>
    <row r="4722" spans="1:5" x14ac:dyDescent="0.3">
      <c r="A4722" s="9">
        <v>4714</v>
      </c>
      <c r="B4722" s="10">
        <f t="shared" ca="1" si="73"/>
        <v>0.10343646980757068</v>
      </c>
      <c r="C4722" s="10">
        <f ca="1">NPV(B4722,Project_FCF!C18:J18)+Project_FCF!B18</f>
        <v>758.24746213413164</v>
      </c>
      <c r="D4722" s="4"/>
      <c r="E4722" s="4"/>
    </row>
    <row r="4723" spans="1:5" x14ac:dyDescent="0.3">
      <c r="A4723" s="9">
        <v>4715</v>
      </c>
      <c r="B4723" s="10">
        <f t="shared" ca="1" si="73"/>
        <v>8.4333412899767035E-2</v>
      </c>
      <c r="C4723" s="10">
        <f ca="1">NPV(B4723,Project_FCF!C18:J18)+Project_FCF!B18</f>
        <v>902.49700141775747</v>
      </c>
      <c r="D4723" s="4"/>
      <c r="E4723" s="4"/>
    </row>
    <row r="4724" spans="1:5" x14ac:dyDescent="0.3">
      <c r="A4724" s="9">
        <v>4716</v>
      </c>
      <c r="B4724" s="10">
        <f t="shared" ca="1" si="73"/>
        <v>8.7179301417861968E-2</v>
      </c>
      <c r="C4724" s="10">
        <f ca="1">NPV(B4724,Project_FCF!C18:J18)+Project_FCF!B18</f>
        <v>879.61363933522443</v>
      </c>
      <c r="D4724" s="4"/>
      <c r="E4724" s="4"/>
    </row>
    <row r="4725" spans="1:5" x14ac:dyDescent="0.3">
      <c r="A4725" s="9">
        <v>4717</v>
      </c>
      <c r="B4725" s="10">
        <f t="shared" ca="1" si="73"/>
        <v>6.8515180187912098E-2</v>
      </c>
      <c r="C4725" s="10">
        <f ca="1">NPV(B4725,Project_FCF!C18:J18)+Project_FCF!B18</f>
        <v>1039.5622076151499</v>
      </c>
      <c r="D4725" s="4"/>
      <c r="E4725" s="4"/>
    </row>
    <row r="4726" spans="1:5" x14ac:dyDescent="0.3">
      <c r="A4726" s="9">
        <v>4718</v>
      </c>
      <c r="B4726" s="10">
        <f t="shared" ca="1" si="73"/>
        <v>7.6156611632291121E-2</v>
      </c>
      <c r="C4726" s="10">
        <f ca="1">NPV(B4726,Project_FCF!C18:J18)+Project_FCF!B18</f>
        <v>971.18957547150649</v>
      </c>
      <c r="D4726" s="4"/>
      <c r="E4726" s="4"/>
    </row>
    <row r="4727" spans="1:5" x14ac:dyDescent="0.3">
      <c r="A4727" s="9">
        <v>4719</v>
      </c>
      <c r="B4727" s="10">
        <f t="shared" ca="1" si="73"/>
        <v>9.2155957208661057E-2</v>
      </c>
      <c r="C4727" s="10">
        <f ca="1">NPV(B4727,Project_FCF!C18:J18)+Project_FCF!B18</f>
        <v>840.80911985185071</v>
      </c>
      <c r="D4727" s="4"/>
      <c r="E4727" s="4"/>
    </row>
    <row r="4728" spans="1:5" x14ac:dyDescent="0.3">
      <c r="A4728" s="9">
        <v>4720</v>
      </c>
      <c r="B4728" s="10">
        <f t="shared" ca="1" si="73"/>
        <v>7.8677621188328301E-2</v>
      </c>
      <c r="C4728" s="10">
        <f ca="1">NPV(B4728,Project_FCF!C18:J18)+Project_FCF!B18</f>
        <v>949.53304315642731</v>
      </c>
      <c r="D4728" s="4"/>
      <c r="E4728" s="4"/>
    </row>
    <row r="4729" spans="1:5" x14ac:dyDescent="0.3">
      <c r="A4729" s="9">
        <v>4721</v>
      </c>
      <c r="B4729" s="10">
        <f t="shared" ca="1" si="73"/>
        <v>6.5396350322491123E-2</v>
      </c>
      <c r="C4729" s="10">
        <f ca="1">NPV(B4729,Project_FCF!C18:J18)+Project_FCF!B18</f>
        <v>1068.6964191456668</v>
      </c>
      <c r="D4729" s="4"/>
      <c r="E4729" s="4"/>
    </row>
    <row r="4730" spans="1:5" x14ac:dyDescent="0.3">
      <c r="A4730" s="9">
        <v>4722</v>
      </c>
      <c r="B4730" s="10">
        <f t="shared" ca="1" si="73"/>
        <v>0.10333286545797681</v>
      </c>
      <c r="C4730" s="10">
        <f ca="1">NPV(B4730,Project_FCF!C18:J18)+Project_FCF!B18</f>
        <v>758.97326384217899</v>
      </c>
      <c r="D4730" s="4"/>
      <c r="E4730" s="4"/>
    </row>
    <row r="4731" spans="1:5" x14ac:dyDescent="0.3">
      <c r="A4731" s="9">
        <v>4723</v>
      </c>
      <c r="B4731" s="10">
        <f t="shared" ca="1" si="73"/>
        <v>0.10394952058595902</v>
      </c>
      <c r="C4731" s="10">
        <f ca="1">NPV(B4731,Project_FCF!C18:J18)+Project_FCF!B18</f>
        <v>754.66184473298836</v>
      </c>
      <c r="D4731" s="4"/>
      <c r="E4731" s="4"/>
    </row>
    <row r="4732" spans="1:5" x14ac:dyDescent="0.3">
      <c r="A4732" s="9">
        <v>4724</v>
      </c>
      <c r="B4732" s="10">
        <f t="shared" ca="1" si="73"/>
        <v>9.1744153372824433E-2</v>
      </c>
      <c r="C4732" s="10">
        <f ca="1">NPV(B4732,Project_FCF!C18:J18)+Project_FCF!B18</f>
        <v>843.96283913939692</v>
      </c>
      <c r="D4732" s="4"/>
      <c r="E4732" s="4"/>
    </row>
    <row r="4733" spans="1:5" x14ac:dyDescent="0.3">
      <c r="A4733" s="9">
        <v>4725</v>
      </c>
      <c r="B4733" s="10">
        <f t="shared" ca="1" si="73"/>
        <v>8.5757203643836433E-2</v>
      </c>
      <c r="C4733" s="10">
        <f ca="1">NPV(B4733,Project_FCF!C18:J18)+Project_FCF!B18</f>
        <v>890.98426518453584</v>
      </c>
      <c r="D4733" s="4"/>
      <c r="E4733" s="4"/>
    </row>
    <row r="4734" spans="1:5" x14ac:dyDescent="0.3">
      <c r="A4734" s="9">
        <v>4726</v>
      </c>
      <c r="B4734" s="10">
        <f t="shared" ca="1" si="73"/>
        <v>7.1015691000875375E-2</v>
      </c>
      <c r="C4734" s="10">
        <f ca="1">NPV(B4734,Project_FCF!C18:J18)+Project_FCF!B18</f>
        <v>1016.7261762099597</v>
      </c>
      <c r="D4734" s="4"/>
      <c r="E4734" s="4"/>
    </row>
    <row r="4735" spans="1:5" x14ac:dyDescent="0.3">
      <c r="A4735" s="9">
        <v>4727</v>
      </c>
      <c r="B4735" s="10">
        <f t="shared" ca="1" si="73"/>
        <v>6.5140894009775352E-2</v>
      </c>
      <c r="C4735" s="10">
        <f ca="1">NPV(B4735,Project_FCF!C18:J18)+Project_FCF!B18</f>
        <v>1071.1153504158422</v>
      </c>
      <c r="D4735" s="4"/>
      <c r="E4735" s="4"/>
    </row>
    <row r="4736" spans="1:5" x14ac:dyDescent="0.3">
      <c r="A4736" s="9">
        <v>4728</v>
      </c>
      <c r="B4736" s="10">
        <f t="shared" ca="1" si="73"/>
        <v>9.3122979681809687E-2</v>
      </c>
      <c r="C4736" s="10">
        <f ca="1">NPV(B4736,Project_FCF!C18:J18)+Project_FCF!B18</f>
        <v>833.44325478874384</v>
      </c>
      <c r="D4736" s="4"/>
      <c r="E4736" s="4"/>
    </row>
    <row r="4737" spans="1:5" x14ac:dyDescent="0.3">
      <c r="A4737" s="9">
        <v>4729</v>
      </c>
      <c r="B4737" s="10">
        <f t="shared" ca="1" si="73"/>
        <v>0.10085236215776963</v>
      </c>
      <c r="C4737" s="10">
        <f ca="1">NPV(B4737,Project_FCF!C18:J18)+Project_FCF!B18</f>
        <v>776.52562496951509</v>
      </c>
      <c r="D4737" s="4"/>
      <c r="E4737" s="4"/>
    </row>
    <row r="4738" spans="1:5" x14ac:dyDescent="0.3">
      <c r="A4738" s="9">
        <v>4730</v>
      </c>
      <c r="B4738" s="10">
        <f t="shared" ca="1" si="73"/>
        <v>8.9205462510455052E-2</v>
      </c>
      <c r="C4738" s="10">
        <f ca="1">NPV(B4738,Project_FCF!C18:J18)+Project_FCF!B18</f>
        <v>863.63161548401717</v>
      </c>
      <c r="D4738" s="4"/>
      <c r="E4738" s="4"/>
    </row>
    <row r="4739" spans="1:5" x14ac:dyDescent="0.3">
      <c r="A4739" s="9">
        <v>4731</v>
      </c>
      <c r="B4739" s="10">
        <f t="shared" ca="1" si="73"/>
        <v>0.10216868349597316</v>
      </c>
      <c r="C4739" s="10">
        <f ca="1">NPV(B4739,Project_FCF!C18:J18)+Project_FCF!B18</f>
        <v>767.1691326692212</v>
      </c>
      <c r="D4739" s="4"/>
      <c r="E4739" s="4"/>
    </row>
    <row r="4740" spans="1:5" x14ac:dyDescent="0.3">
      <c r="A4740" s="9">
        <v>4732</v>
      </c>
      <c r="B4740" s="10">
        <f t="shared" ca="1" si="73"/>
        <v>7.5658572659689186E-2</v>
      </c>
      <c r="C4740" s="10">
        <f ca="1">NPV(B4740,Project_FCF!C18:J18)+Project_FCF!B18</f>
        <v>975.51965079524552</v>
      </c>
      <c r="D4740" s="4"/>
      <c r="E4740" s="4"/>
    </row>
    <row r="4741" spans="1:5" x14ac:dyDescent="0.3">
      <c r="A4741" s="9">
        <v>4733</v>
      </c>
      <c r="B4741" s="10">
        <f t="shared" ca="1" si="73"/>
        <v>7.4010574243387028E-2</v>
      </c>
      <c r="C4741" s="10">
        <f ca="1">NPV(B4741,Project_FCF!C18:J18)+Project_FCF!B18</f>
        <v>989.97111835233068</v>
      </c>
      <c r="D4741" s="4"/>
      <c r="E4741" s="4"/>
    </row>
    <row r="4742" spans="1:5" x14ac:dyDescent="0.3">
      <c r="A4742" s="9">
        <v>4734</v>
      </c>
      <c r="B4742" s="10">
        <f t="shared" ca="1" si="73"/>
        <v>8.9940515235765586E-2</v>
      </c>
      <c r="C4742" s="10">
        <f ca="1">NPV(B4742,Project_FCF!C18:J18)+Project_FCF!B18</f>
        <v>857.89632488011625</v>
      </c>
      <c r="D4742" s="4"/>
      <c r="E4742" s="4"/>
    </row>
    <row r="4743" spans="1:5" x14ac:dyDescent="0.3">
      <c r="A4743" s="9">
        <v>4735</v>
      </c>
      <c r="B4743" s="10">
        <f t="shared" ca="1" si="73"/>
        <v>8.0313120686864289E-2</v>
      </c>
      <c r="C4743" s="10">
        <f ca="1">NPV(B4743,Project_FCF!C18:J18)+Project_FCF!B18</f>
        <v>935.71394917952875</v>
      </c>
      <c r="D4743" s="4"/>
      <c r="E4743" s="4"/>
    </row>
    <row r="4744" spans="1:5" x14ac:dyDescent="0.3">
      <c r="A4744" s="9">
        <v>4736</v>
      </c>
      <c r="B4744" s="10">
        <f t="shared" ca="1" si="73"/>
        <v>0.10204210288550203</v>
      </c>
      <c r="C4744" s="10">
        <f ca="1">NPV(B4744,Project_FCF!C18:J18)+Project_FCF!B18</f>
        <v>768.06472894548551</v>
      </c>
      <c r="D4744" s="4"/>
      <c r="E4744" s="4"/>
    </row>
    <row r="4745" spans="1:5" x14ac:dyDescent="0.3">
      <c r="A4745" s="9">
        <v>4737</v>
      </c>
      <c r="B4745" s="10">
        <f t="shared" ref="B4745:B4808" ca="1" si="74">$B$4+RAND()*($B$5-$B$4)</f>
        <v>6.5078294417614924E-2</v>
      </c>
      <c r="C4745" s="10">
        <f ca="1">NPV(B4745,Project_FCF!C18:J18)+Project_FCF!B18</f>
        <v>1071.7088709819429</v>
      </c>
      <c r="D4745" s="4"/>
      <c r="E4745" s="4"/>
    </row>
    <row r="4746" spans="1:5" x14ac:dyDescent="0.3">
      <c r="A4746" s="9">
        <v>4738</v>
      </c>
      <c r="B4746" s="10">
        <f t="shared" ca="1" si="74"/>
        <v>6.5765860229053091E-2</v>
      </c>
      <c r="C4746" s="10">
        <f ca="1">NPV(B4746,Project_FCF!C18:J18)+Project_FCF!B18</f>
        <v>1065.2063183756563</v>
      </c>
      <c r="D4746" s="4"/>
      <c r="E4746" s="4"/>
    </row>
    <row r="4747" spans="1:5" x14ac:dyDescent="0.3">
      <c r="A4747" s="9">
        <v>4739</v>
      </c>
      <c r="B4747" s="10">
        <f t="shared" ca="1" si="74"/>
        <v>8.4683520957820779E-2</v>
      </c>
      <c r="C4747" s="10">
        <f ca="1">NPV(B4747,Project_FCF!C18:J18)+Project_FCF!B18</f>
        <v>899.65401912882476</v>
      </c>
      <c r="D4747" s="4"/>
      <c r="E4747" s="4"/>
    </row>
    <row r="4748" spans="1:5" x14ac:dyDescent="0.3">
      <c r="A4748" s="9">
        <v>4740</v>
      </c>
      <c r="B4748" s="10">
        <f t="shared" ca="1" si="74"/>
        <v>9.7739138042637064E-2</v>
      </c>
      <c r="C4748" s="10">
        <f ca="1">NPV(B4748,Project_FCF!C18:J18)+Project_FCF!B18</f>
        <v>799.03915639818911</v>
      </c>
      <c r="D4748" s="4"/>
      <c r="E4748" s="4"/>
    </row>
    <row r="4749" spans="1:5" x14ac:dyDescent="0.3">
      <c r="A4749" s="9">
        <v>4741</v>
      </c>
      <c r="B4749" s="10">
        <f t="shared" ca="1" si="74"/>
        <v>8.3727996505748095E-2</v>
      </c>
      <c r="C4749" s="10">
        <f ca="1">NPV(B4749,Project_FCF!C18:J18)+Project_FCF!B18</f>
        <v>907.43177036994985</v>
      </c>
      <c r="D4749" s="4"/>
      <c r="E4749" s="4"/>
    </row>
    <row r="4750" spans="1:5" x14ac:dyDescent="0.3">
      <c r="A4750" s="9">
        <v>4742</v>
      </c>
      <c r="B4750" s="10">
        <f t="shared" ca="1" si="74"/>
        <v>8.4671018329550138E-2</v>
      </c>
      <c r="C4750" s="10">
        <f ca="1">NPV(B4750,Project_FCF!C18:J18)+Project_FCF!B18</f>
        <v>899.75540883580106</v>
      </c>
      <c r="D4750" s="4"/>
      <c r="E4750" s="4"/>
    </row>
    <row r="4751" spans="1:5" x14ac:dyDescent="0.3">
      <c r="A4751" s="9">
        <v>4743</v>
      </c>
      <c r="B4751" s="10">
        <f t="shared" ca="1" si="74"/>
        <v>8.7115247779389005E-2</v>
      </c>
      <c r="C4751" s="10">
        <f ca="1">NPV(B4751,Project_FCF!C18:J18)+Project_FCF!B18</f>
        <v>880.12305381501892</v>
      </c>
      <c r="D4751" s="4"/>
      <c r="E4751" s="4"/>
    </row>
    <row r="4752" spans="1:5" x14ac:dyDescent="0.3">
      <c r="A4752" s="9">
        <v>4744</v>
      </c>
      <c r="B4752" s="10">
        <f t="shared" ca="1" si="74"/>
        <v>0.10113413157071935</v>
      </c>
      <c r="C4752" s="10">
        <f ca="1">NPV(B4752,Project_FCF!C18:J18)+Project_FCF!B18</f>
        <v>774.51474330173232</v>
      </c>
      <c r="D4752" s="4"/>
      <c r="E4752" s="4"/>
    </row>
    <row r="4753" spans="1:5" x14ac:dyDescent="0.3">
      <c r="A4753" s="9">
        <v>4745</v>
      </c>
      <c r="B4753" s="10">
        <f t="shared" ca="1" si="74"/>
        <v>0.10373209476911749</v>
      </c>
      <c r="C4753" s="10">
        <f ca="1">NPV(B4753,Project_FCF!C18:J18)+Project_FCF!B18</f>
        <v>756.1796552603555</v>
      </c>
      <c r="D4753" s="4"/>
      <c r="E4753" s="4"/>
    </row>
    <row r="4754" spans="1:5" x14ac:dyDescent="0.3">
      <c r="A4754" s="9">
        <v>4746</v>
      </c>
      <c r="B4754" s="10">
        <f t="shared" ca="1" si="74"/>
        <v>8.3869767367661135E-2</v>
      </c>
      <c r="C4754" s="10">
        <f ca="1">NPV(B4754,Project_FCF!C18:J18)+Project_FCF!B18</f>
        <v>906.27407206703856</v>
      </c>
      <c r="D4754" s="4"/>
      <c r="E4754" s="4"/>
    </row>
    <row r="4755" spans="1:5" x14ac:dyDescent="0.3">
      <c r="A4755" s="9">
        <v>4747</v>
      </c>
      <c r="B4755" s="10">
        <f t="shared" ca="1" si="74"/>
        <v>9.470002900644213E-2</v>
      </c>
      <c r="C4755" s="10">
        <f ca="1">NPV(B4755,Project_FCF!C18:J18)+Project_FCF!B18</f>
        <v>821.54975592553819</v>
      </c>
      <c r="D4755" s="4"/>
      <c r="E4755" s="4"/>
    </row>
    <row r="4756" spans="1:5" x14ac:dyDescent="0.3">
      <c r="A4756" s="9">
        <v>4748</v>
      </c>
      <c r="B4756" s="10">
        <f t="shared" ca="1" si="74"/>
        <v>7.8644911561372793E-2</v>
      </c>
      <c r="C4756" s="10">
        <f ca="1">NPV(B4756,Project_FCF!C18:J18)+Project_FCF!B18</f>
        <v>949.81125856936342</v>
      </c>
      <c r="D4756" s="4"/>
      <c r="E4756" s="4"/>
    </row>
    <row r="4757" spans="1:5" x14ac:dyDescent="0.3">
      <c r="A4757" s="9">
        <v>4749</v>
      </c>
      <c r="B4757" s="10">
        <f t="shared" ca="1" si="74"/>
        <v>7.0952134930198474E-2</v>
      </c>
      <c r="C4757" s="10">
        <f ca="1">NPV(B4757,Project_FCF!C18:J18)+Project_FCF!B18</f>
        <v>1017.3009454321189</v>
      </c>
      <c r="D4757" s="4"/>
      <c r="E4757" s="4"/>
    </row>
    <row r="4758" spans="1:5" x14ac:dyDescent="0.3">
      <c r="A4758" s="9">
        <v>4750</v>
      </c>
      <c r="B4758" s="10">
        <f t="shared" ca="1" si="74"/>
        <v>9.3702547328739158E-2</v>
      </c>
      <c r="C4758" s="10">
        <f ca="1">NPV(B4758,Project_FCF!C18:J18)+Project_FCF!B18</f>
        <v>829.05531422113381</v>
      </c>
      <c r="D4758" s="4"/>
      <c r="E4758" s="4"/>
    </row>
    <row r="4759" spans="1:5" x14ac:dyDescent="0.3">
      <c r="A4759" s="9">
        <v>4751</v>
      </c>
      <c r="B4759" s="10">
        <f t="shared" ca="1" si="74"/>
        <v>9.1569471360464699E-2</v>
      </c>
      <c r="C4759" s="10">
        <f ca="1">NPV(B4759,Project_FCF!C18:J18)+Project_FCF!B18</f>
        <v>845.30368619476735</v>
      </c>
      <c r="D4759" s="4"/>
      <c r="E4759" s="4"/>
    </row>
    <row r="4760" spans="1:5" x14ac:dyDescent="0.3">
      <c r="A4760" s="9">
        <v>4752</v>
      </c>
      <c r="B4760" s="10">
        <f t="shared" ca="1" si="74"/>
        <v>7.6698660102067731E-2</v>
      </c>
      <c r="C4760" s="10">
        <f ca="1">NPV(B4760,Project_FCF!C18:J18)+Project_FCF!B18</f>
        <v>966.49637560863948</v>
      </c>
      <c r="D4760" s="4"/>
      <c r="E4760" s="4"/>
    </row>
    <row r="4761" spans="1:5" x14ac:dyDescent="0.3">
      <c r="A4761" s="9">
        <v>4753</v>
      </c>
      <c r="B4761" s="10">
        <f t="shared" ca="1" si="74"/>
        <v>8.9459672014732983E-2</v>
      </c>
      <c r="C4761" s="10">
        <f ca="1">NPV(B4761,Project_FCF!C18:J18)+Project_FCF!B18</f>
        <v>861.64438191095587</v>
      </c>
      <c r="D4761" s="4"/>
      <c r="E4761" s="4"/>
    </row>
    <row r="4762" spans="1:5" x14ac:dyDescent="0.3">
      <c r="A4762" s="9">
        <v>4754</v>
      </c>
      <c r="B4762" s="10">
        <f t="shared" ca="1" si="74"/>
        <v>8.9364362594423097E-2</v>
      </c>
      <c r="C4762" s="10">
        <f ca="1">NPV(B4762,Project_FCF!C18:J18)+Project_FCF!B18</f>
        <v>862.38897949494071</v>
      </c>
      <c r="D4762" s="4"/>
      <c r="E4762" s="4"/>
    </row>
    <row r="4763" spans="1:5" x14ac:dyDescent="0.3">
      <c r="A4763" s="9">
        <v>4755</v>
      </c>
      <c r="B4763" s="10">
        <f t="shared" ca="1" si="74"/>
        <v>7.3867855530652476E-2</v>
      </c>
      <c r="C4763" s="10">
        <f ca="1">NPV(B4763,Project_FCF!C18:J18)+Project_FCF!B18</f>
        <v>991.23160947069232</v>
      </c>
      <c r="D4763" s="4"/>
      <c r="E4763" s="4"/>
    </row>
    <row r="4764" spans="1:5" x14ac:dyDescent="0.3">
      <c r="A4764" s="9">
        <v>4756</v>
      </c>
      <c r="B4764" s="10">
        <f t="shared" ca="1" si="74"/>
        <v>8.2902299394740211E-2</v>
      </c>
      <c r="C4764" s="10">
        <f ca="1">NPV(B4764,Project_FCF!C18:J18)+Project_FCF!B18</f>
        <v>914.20026531141752</v>
      </c>
      <c r="D4764" s="4"/>
      <c r="E4764" s="4"/>
    </row>
    <row r="4765" spans="1:5" x14ac:dyDescent="0.3">
      <c r="A4765" s="9">
        <v>4757</v>
      </c>
      <c r="B4765" s="10">
        <f t="shared" ca="1" si="74"/>
        <v>7.9700672848962761E-2</v>
      </c>
      <c r="C4765" s="10">
        <f ca="1">NPV(B4765,Project_FCF!C18:J18)+Project_FCF!B18</f>
        <v>940.86778309975853</v>
      </c>
      <c r="D4765" s="4"/>
      <c r="E4765" s="4"/>
    </row>
    <row r="4766" spans="1:5" x14ac:dyDescent="0.3">
      <c r="A4766" s="9">
        <v>4758</v>
      </c>
      <c r="B4766" s="10">
        <f t="shared" ca="1" si="74"/>
        <v>8.0076463633343364E-2</v>
      </c>
      <c r="C4766" s="10">
        <f ca="1">NPV(B4766,Project_FCF!C18:J18)+Project_FCF!B18</f>
        <v>937.70248000444917</v>
      </c>
      <c r="D4766" s="4"/>
      <c r="E4766" s="4"/>
    </row>
    <row r="4767" spans="1:5" x14ac:dyDescent="0.3">
      <c r="A4767" s="9">
        <v>4759</v>
      </c>
      <c r="B4767" s="10">
        <f t="shared" ca="1" si="74"/>
        <v>7.316195743292056E-2</v>
      </c>
      <c r="C4767" s="10">
        <f ca="1">NPV(B4767,Project_FCF!C18:J18)+Project_FCF!B18</f>
        <v>997.48729755240697</v>
      </c>
      <c r="D4767" s="4"/>
      <c r="E4767" s="4"/>
    </row>
    <row r="4768" spans="1:5" x14ac:dyDescent="0.3">
      <c r="A4768" s="9">
        <v>4760</v>
      </c>
      <c r="B4768" s="10">
        <f t="shared" ca="1" si="74"/>
        <v>8.7619434131816082E-2</v>
      </c>
      <c r="C4768" s="10">
        <f ca="1">NPV(B4768,Project_FCF!C18:J18)+Project_FCF!B18</f>
        <v>876.12023633981948</v>
      </c>
      <c r="D4768" s="4"/>
      <c r="E4768" s="4"/>
    </row>
    <row r="4769" spans="1:5" x14ac:dyDescent="0.3">
      <c r="A4769" s="9">
        <v>4761</v>
      </c>
      <c r="B4769" s="10">
        <f t="shared" ca="1" si="74"/>
        <v>6.4064093867833127E-2</v>
      </c>
      <c r="C4769" s="10">
        <f ca="1">NPV(B4769,Project_FCF!C18:J18)+Project_FCF!B18</f>
        <v>1081.3666558455311</v>
      </c>
      <c r="D4769" s="4"/>
      <c r="E4769" s="4"/>
    </row>
    <row r="4770" spans="1:5" x14ac:dyDescent="0.3">
      <c r="A4770" s="9">
        <v>4762</v>
      </c>
      <c r="B4770" s="10">
        <f t="shared" ca="1" si="74"/>
        <v>7.8523144067453199E-2</v>
      </c>
      <c r="C4770" s="10">
        <f ca="1">NPV(B4770,Project_FCF!C18:J18)+Project_FCF!B18</f>
        <v>950.84760222868749</v>
      </c>
      <c r="D4770" s="4"/>
      <c r="E4770" s="4"/>
    </row>
    <row r="4771" spans="1:5" x14ac:dyDescent="0.3">
      <c r="A4771" s="9">
        <v>4763</v>
      </c>
      <c r="B4771" s="10">
        <f t="shared" ca="1" si="74"/>
        <v>9.4973831819493801E-2</v>
      </c>
      <c r="C4771" s="10">
        <f ca="1">NPV(B4771,Project_FCF!C18:J18)+Project_FCF!B18</f>
        <v>819.49974293028254</v>
      </c>
      <c r="D4771" s="4"/>
      <c r="E4771" s="4"/>
    </row>
    <row r="4772" spans="1:5" x14ac:dyDescent="0.3">
      <c r="A4772" s="9">
        <v>4764</v>
      </c>
      <c r="B4772" s="10">
        <f t="shared" ca="1" si="74"/>
        <v>8.0213029818270762E-2</v>
      </c>
      <c r="C4772" s="10">
        <f ca="1">NPV(B4772,Project_FCF!C18:J18)+Project_FCF!B18</f>
        <v>936.55451515539926</v>
      </c>
      <c r="D4772" s="4"/>
      <c r="E4772" s="4"/>
    </row>
    <row r="4773" spans="1:5" x14ac:dyDescent="0.3">
      <c r="A4773" s="9">
        <v>4765</v>
      </c>
      <c r="B4773" s="10">
        <f t="shared" ca="1" si="74"/>
        <v>8.6401975725818425E-2</v>
      </c>
      <c r="C4773" s="10">
        <f ca="1">NPV(B4773,Project_FCF!C18:J18)+Project_FCF!B18</f>
        <v>885.81307438118597</v>
      </c>
      <c r="D4773" s="4"/>
      <c r="E4773" s="4"/>
    </row>
    <row r="4774" spans="1:5" x14ac:dyDescent="0.3">
      <c r="A4774" s="9">
        <v>4766</v>
      </c>
      <c r="B4774" s="10">
        <f t="shared" ca="1" si="74"/>
        <v>7.1605078010461162E-2</v>
      </c>
      <c r="C4774" s="10">
        <f ca="1">NPV(B4774,Project_FCF!C18:J18)+Project_FCF!B18</f>
        <v>1011.4099863437275</v>
      </c>
      <c r="D4774" s="4"/>
      <c r="E4774" s="4"/>
    </row>
    <row r="4775" spans="1:5" x14ac:dyDescent="0.3">
      <c r="A4775" s="9">
        <v>4767</v>
      </c>
      <c r="B4775" s="10">
        <f t="shared" ca="1" si="74"/>
        <v>8.590196210535106E-2</v>
      </c>
      <c r="C4775" s="10">
        <f ca="1">NPV(B4775,Project_FCF!C18:J18)+Project_FCF!B18</f>
        <v>889.82098438121898</v>
      </c>
      <c r="D4775" s="4"/>
      <c r="E4775" s="4"/>
    </row>
    <row r="4776" spans="1:5" x14ac:dyDescent="0.3">
      <c r="A4776" s="9">
        <v>4768</v>
      </c>
      <c r="B4776" s="10">
        <f t="shared" ca="1" si="74"/>
        <v>7.7470216879146653E-2</v>
      </c>
      <c r="C4776" s="10">
        <f ca="1">NPV(B4776,Project_FCF!C18:J18)+Project_FCF!B18</f>
        <v>959.85090524255725</v>
      </c>
      <c r="D4776" s="4"/>
      <c r="E4776" s="4"/>
    </row>
    <row r="4777" spans="1:5" x14ac:dyDescent="0.3">
      <c r="A4777" s="9">
        <v>4769</v>
      </c>
      <c r="B4777" s="10">
        <f t="shared" ca="1" si="74"/>
        <v>9.7972217416764568E-2</v>
      </c>
      <c r="C4777" s="10">
        <f ca="1">NPV(B4777,Project_FCF!C18:J18)+Project_FCF!B18</f>
        <v>797.33467149575108</v>
      </c>
      <c r="D4777" s="4"/>
      <c r="E4777" s="4"/>
    </row>
    <row r="4778" spans="1:5" x14ac:dyDescent="0.3">
      <c r="A4778" s="9">
        <v>4770</v>
      </c>
      <c r="B4778" s="10">
        <f t="shared" ca="1" si="74"/>
        <v>7.9997026759710349E-2</v>
      </c>
      <c r="C4778" s="10">
        <f ca="1">NPV(B4778,Project_FCF!C18:J18)+Project_FCF!B18</f>
        <v>938.37079318533006</v>
      </c>
      <c r="D4778" s="4"/>
      <c r="E4778" s="4"/>
    </row>
    <row r="4779" spans="1:5" x14ac:dyDescent="0.3">
      <c r="A4779" s="9">
        <v>4771</v>
      </c>
      <c r="B4779" s="10">
        <f t="shared" ca="1" si="74"/>
        <v>9.6041221801522053E-2</v>
      </c>
      <c r="C4779" s="10">
        <f ca="1">NPV(B4779,Project_FCF!C18:J18)+Project_FCF!B18</f>
        <v>811.54972901312908</v>
      </c>
      <c r="D4779" s="4"/>
      <c r="E4779" s="4"/>
    </row>
    <row r="4780" spans="1:5" x14ac:dyDescent="0.3">
      <c r="A4780" s="9">
        <v>4772</v>
      </c>
      <c r="B4780" s="10">
        <f t="shared" ca="1" si="74"/>
        <v>8.0533080382213809E-2</v>
      </c>
      <c r="C4780" s="10">
        <f ca="1">NPV(B4780,Project_FCF!C18:J18)+Project_FCF!B18</f>
        <v>933.86906652185507</v>
      </c>
      <c r="D4780" s="4"/>
      <c r="E4780" s="4"/>
    </row>
    <row r="4781" spans="1:5" x14ac:dyDescent="0.3">
      <c r="A4781" s="9">
        <v>4773</v>
      </c>
      <c r="B4781" s="10">
        <f t="shared" ca="1" si="74"/>
        <v>0.10078740369394083</v>
      </c>
      <c r="C4781" s="10">
        <f ca="1">NPV(B4781,Project_FCF!C18:J18)+Project_FCF!B18</f>
        <v>776.98983326190228</v>
      </c>
      <c r="D4781" s="4"/>
      <c r="E4781" s="4"/>
    </row>
    <row r="4782" spans="1:5" x14ac:dyDescent="0.3">
      <c r="A4782" s="9">
        <v>4774</v>
      </c>
      <c r="B4782" s="10">
        <f t="shared" ca="1" si="74"/>
        <v>7.7308675525484524E-2</v>
      </c>
      <c r="C4782" s="10">
        <f ca="1">NPV(B4782,Project_FCF!C18:J18)+Project_FCF!B18</f>
        <v>961.23889287468751</v>
      </c>
      <c r="D4782" s="4"/>
      <c r="E4782" s="4"/>
    </row>
    <row r="4783" spans="1:5" x14ac:dyDescent="0.3">
      <c r="A4783" s="9">
        <v>4775</v>
      </c>
      <c r="B4783" s="10">
        <f t="shared" ca="1" si="74"/>
        <v>7.7608011980540889E-2</v>
      </c>
      <c r="C4783" s="10">
        <f ca="1">NPV(B4783,Project_FCF!C18:J18)+Project_FCF!B18</f>
        <v>958.66835941661657</v>
      </c>
      <c r="D4783" s="4"/>
      <c r="E4783" s="4"/>
    </row>
    <row r="4784" spans="1:5" x14ac:dyDescent="0.3">
      <c r="A4784" s="9">
        <v>4776</v>
      </c>
      <c r="B4784" s="10">
        <f t="shared" ca="1" si="74"/>
        <v>7.6947216609604352E-2</v>
      </c>
      <c r="C4784" s="10">
        <f ca="1">NPV(B4784,Project_FCF!C18:J18)+Project_FCF!B18</f>
        <v>964.3510794774254</v>
      </c>
      <c r="D4784" s="4"/>
      <c r="E4784" s="4"/>
    </row>
    <row r="4785" spans="1:5" x14ac:dyDescent="0.3">
      <c r="A4785" s="9">
        <v>4777</v>
      </c>
      <c r="B4785" s="10">
        <f t="shared" ca="1" si="74"/>
        <v>8.0656643603453343E-2</v>
      </c>
      <c r="C4785" s="10">
        <f ca="1">NPV(B4785,Project_FCF!C18:J18)+Project_FCF!B18</f>
        <v>932.83410858556203</v>
      </c>
      <c r="D4785" s="4"/>
      <c r="E4785" s="4"/>
    </row>
    <row r="4786" spans="1:5" x14ac:dyDescent="0.3">
      <c r="A4786" s="9">
        <v>4778</v>
      </c>
      <c r="B4786" s="10">
        <f t="shared" ca="1" si="74"/>
        <v>0.10188921184613621</v>
      </c>
      <c r="C4786" s="10">
        <f ca="1">NPV(B4786,Project_FCF!C18:J18)+Project_FCF!B18</f>
        <v>769.14765235775553</v>
      </c>
      <c r="D4786" s="4"/>
      <c r="E4786" s="4"/>
    </row>
    <row r="4787" spans="1:5" x14ac:dyDescent="0.3">
      <c r="A4787" s="9">
        <v>4779</v>
      </c>
      <c r="B4787" s="10">
        <f t="shared" ca="1" si="74"/>
        <v>9.5606496086012016E-2</v>
      </c>
      <c r="C4787" s="10">
        <f ca="1">NPV(B4787,Project_FCF!C18:J18)+Project_FCF!B18</f>
        <v>814.77960752298532</v>
      </c>
      <c r="D4787" s="4"/>
      <c r="E4787" s="4"/>
    </row>
    <row r="4788" spans="1:5" x14ac:dyDescent="0.3">
      <c r="A4788" s="9">
        <v>4780</v>
      </c>
      <c r="B4788" s="10">
        <f t="shared" ca="1" si="74"/>
        <v>7.7023859763675429E-2</v>
      </c>
      <c r="C4788" s="10">
        <f ca="1">NPV(B4788,Project_FCF!C18:J18)+Project_FCF!B18</f>
        <v>963.6904276079506</v>
      </c>
      <c r="D4788" s="4"/>
      <c r="E4788" s="4"/>
    </row>
    <row r="4789" spans="1:5" x14ac:dyDescent="0.3">
      <c r="A4789" s="9">
        <v>4781</v>
      </c>
      <c r="B4789" s="10">
        <f t="shared" ca="1" si="74"/>
        <v>9.2261737722280024E-2</v>
      </c>
      <c r="C4789" s="10">
        <f ca="1">NPV(B4789,Project_FCF!C18:J18)+Project_FCF!B18</f>
        <v>840.00066250679197</v>
      </c>
      <c r="D4789" s="4"/>
      <c r="E4789" s="4"/>
    </row>
    <row r="4790" spans="1:5" x14ac:dyDescent="0.3">
      <c r="A4790" s="9">
        <v>4782</v>
      </c>
      <c r="B4790" s="10">
        <f t="shared" ca="1" si="74"/>
        <v>9.1267064274565698E-2</v>
      </c>
      <c r="C4790" s="10">
        <f ca="1">NPV(B4790,Project_FCF!C18:J18)+Project_FCF!B18</f>
        <v>847.62928957991153</v>
      </c>
      <c r="D4790" s="4"/>
      <c r="E4790" s="4"/>
    </row>
    <row r="4791" spans="1:5" x14ac:dyDescent="0.3">
      <c r="A4791" s="9">
        <v>4783</v>
      </c>
      <c r="B4791" s="10">
        <f t="shared" ca="1" si="74"/>
        <v>6.9479365793548867E-2</v>
      </c>
      <c r="C4791" s="10">
        <f ca="1">NPV(B4791,Project_FCF!C18:J18)+Project_FCF!B18</f>
        <v>1030.7023670092005</v>
      </c>
      <c r="D4791" s="4"/>
      <c r="E4791" s="4"/>
    </row>
    <row r="4792" spans="1:5" x14ac:dyDescent="0.3">
      <c r="A4792" s="9">
        <v>4784</v>
      </c>
      <c r="B4792" s="10">
        <f t="shared" ca="1" si="74"/>
        <v>7.0117733290830611E-2</v>
      </c>
      <c r="C4792" s="10">
        <f ca="1">NPV(B4792,Project_FCF!C18:J18)+Project_FCF!B18</f>
        <v>1024.8741003457844</v>
      </c>
      <c r="D4792" s="4"/>
      <c r="E4792" s="4"/>
    </row>
    <row r="4793" spans="1:5" x14ac:dyDescent="0.3">
      <c r="A4793" s="9">
        <v>4785</v>
      </c>
      <c r="B4793" s="10">
        <f t="shared" ca="1" si="74"/>
        <v>6.8275183494014791E-2</v>
      </c>
      <c r="C4793" s="10">
        <f ca="1">NPV(B4793,Project_FCF!C18:J18)+Project_FCF!B18</f>
        <v>1041.778218431102</v>
      </c>
      <c r="D4793" s="4"/>
      <c r="E4793" s="4"/>
    </row>
    <row r="4794" spans="1:5" x14ac:dyDescent="0.3">
      <c r="A4794" s="9">
        <v>4786</v>
      </c>
      <c r="B4794" s="10">
        <f t="shared" ca="1" si="74"/>
        <v>7.9394630456061141E-2</v>
      </c>
      <c r="C4794" s="10">
        <f ca="1">NPV(B4794,Project_FCF!C18:J18)+Project_FCF!B18</f>
        <v>943.45258323608346</v>
      </c>
      <c r="D4794" s="4"/>
      <c r="E4794" s="4"/>
    </row>
    <row r="4795" spans="1:5" x14ac:dyDescent="0.3">
      <c r="A4795" s="9">
        <v>4787</v>
      </c>
      <c r="B4795" s="10">
        <f t="shared" ca="1" si="74"/>
        <v>8.0272411193870866E-2</v>
      </c>
      <c r="C4795" s="10">
        <f ca="1">NPV(B4795,Project_FCF!C18:J18)+Project_FCF!B18</f>
        <v>936.05574807277662</v>
      </c>
      <c r="D4795" s="4"/>
      <c r="E4795" s="4"/>
    </row>
    <row r="4796" spans="1:5" x14ac:dyDescent="0.3">
      <c r="A4796" s="9">
        <v>4788</v>
      </c>
      <c r="B4796" s="10">
        <f t="shared" ca="1" si="74"/>
        <v>7.1685799780665097E-2</v>
      </c>
      <c r="C4796" s="10">
        <f ca="1">NPV(B4796,Project_FCF!C18:J18)+Project_FCF!B18</f>
        <v>1010.6838407852752</v>
      </c>
      <c r="D4796" s="4"/>
      <c r="E4796" s="4"/>
    </row>
    <row r="4797" spans="1:5" x14ac:dyDescent="0.3">
      <c r="A4797" s="9">
        <v>4789</v>
      </c>
      <c r="B4797" s="10">
        <f t="shared" ca="1" si="74"/>
        <v>7.0143606925511276E-2</v>
      </c>
      <c r="C4797" s="10">
        <f ca="1">NPV(B4797,Project_FCF!C18:J18)+Project_FCF!B18</f>
        <v>1024.6385046311316</v>
      </c>
      <c r="D4797" s="4"/>
      <c r="E4797" s="4"/>
    </row>
    <row r="4798" spans="1:5" x14ac:dyDescent="0.3">
      <c r="A4798" s="9">
        <v>4790</v>
      </c>
      <c r="B4798" s="10">
        <f t="shared" ca="1" si="74"/>
        <v>7.583890917585609E-2</v>
      </c>
      <c r="C4798" s="10">
        <f ca="1">NPV(B4798,Project_FCF!C18:J18)+Project_FCF!B18</f>
        <v>973.94977271170205</v>
      </c>
      <c r="D4798" s="4"/>
      <c r="E4798" s="4"/>
    </row>
    <row r="4799" spans="1:5" x14ac:dyDescent="0.3">
      <c r="A4799" s="9">
        <v>4791</v>
      </c>
      <c r="B4799" s="10">
        <f t="shared" ca="1" si="74"/>
        <v>8.8009867385094975E-2</v>
      </c>
      <c r="C4799" s="10">
        <f ca="1">NPV(B4799,Project_FCF!C18:J18)+Project_FCF!B18</f>
        <v>873.03142655143529</v>
      </c>
      <c r="D4799" s="4"/>
      <c r="E4799" s="4"/>
    </row>
    <row r="4800" spans="1:5" x14ac:dyDescent="0.3">
      <c r="A4800" s="9">
        <v>4792</v>
      </c>
      <c r="B4800" s="10">
        <f t="shared" ca="1" si="74"/>
        <v>7.1979804961840643E-2</v>
      </c>
      <c r="C4800" s="10">
        <f ca="1">NPV(B4800,Project_FCF!C18:J18)+Project_FCF!B18</f>
        <v>1008.0430378602625</v>
      </c>
      <c r="D4800" s="4"/>
      <c r="E4800" s="4"/>
    </row>
    <row r="4801" spans="1:5" x14ac:dyDescent="0.3">
      <c r="A4801" s="9">
        <v>4793</v>
      </c>
      <c r="B4801" s="10">
        <f t="shared" ca="1" si="74"/>
        <v>7.7579498444260209E-2</v>
      </c>
      <c r="C4801" s="10">
        <f ca="1">NPV(B4801,Project_FCF!C18:J18)+Project_FCF!B18</f>
        <v>958.91295369313275</v>
      </c>
      <c r="D4801" s="4"/>
      <c r="E4801" s="4"/>
    </row>
    <row r="4802" spans="1:5" x14ac:dyDescent="0.3">
      <c r="A4802" s="9">
        <v>4794</v>
      </c>
      <c r="B4802" s="10">
        <f t="shared" ca="1" si="74"/>
        <v>8.202216107126116E-2</v>
      </c>
      <c r="C4802" s="10">
        <f ca="1">NPV(B4802,Project_FCF!C18:J18)+Project_FCF!B18</f>
        <v>921.46391829130926</v>
      </c>
      <c r="D4802" s="4"/>
      <c r="E4802" s="4"/>
    </row>
    <row r="4803" spans="1:5" x14ac:dyDescent="0.3">
      <c r="A4803" s="9">
        <v>4795</v>
      </c>
      <c r="B4803" s="10">
        <f t="shared" ca="1" si="74"/>
        <v>9.4677837527929881E-2</v>
      </c>
      <c r="C4803" s="10">
        <f ca="1">NPV(B4803,Project_FCF!C18:J18)+Project_FCF!B18</f>
        <v>821.71609995504014</v>
      </c>
      <c r="D4803" s="4"/>
      <c r="E4803" s="4"/>
    </row>
    <row r="4804" spans="1:5" x14ac:dyDescent="0.3">
      <c r="A4804" s="9">
        <v>4796</v>
      </c>
      <c r="B4804" s="10">
        <f t="shared" ca="1" si="74"/>
        <v>0.10238331125871879</v>
      </c>
      <c r="C4804" s="10">
        <f ca="1">NPV(B4804,Project_FCF!C18:J18)+Project_FCF!B18</f>
        <v>765.65258328094887</v>
      </c>
      <c r="D4804" s="4"/>
      <c r="E4804" s="4"/>
    </row>
    <row r="4805" spans="1:5" x14ac:dyDescent="0.3">
      <c r="A4805" s="9">
        <v>4797</v>
      </c>
      <c r="B4805" s="10">
        <f t="shared" ca="1" si="74"/>
        <v>7.4112221212791443E-2</v>
      </c>
      <c r="C4805" s="10">
        <f ca="1">NPV(B4805,Project_FCF!C18:J18)+Project_FCF!B18</f>
        <v>989.07424919210166</v>
      </c>
      <c r="D4805" s="4"/>
      <c r="E4805" s="4"/>
    </row>
    <row r="4806" spans="1:5" x14ac:dyDescent="0.3">
      <c r="A4806" s="9">
        <v>4798</v>
      </c>
      <c r="B4806" s="10">
        <f t="shared" ca="1" si="74"/>
        <v>8.1299494360608543E-2</v>
      </c>
      <c r="C4806" s="10">
        <f ca="1">NPV(B4806,Project_FCF!C18:J18)+Project_FCF!B18</f>
        <v>927.46597258122142</v>
      </c>
      <c r="D4806" s="4"/>
      <c r="E4806" s="4"/>
    </row>
    <row r="4807" spans="1:5" x14ac:dyDescent="0.3">
      <c r="A4807" s="9">
        <v>4799</v>
      </c>
      <c r="B4807" s="10">
        <f t="shared" ca="1" si="74"/>
        <v>6.5078091416710282E-2</v>
      </c>
      <c r="C4807" s="10">
        <f ca="1">NPV(B4807,Project_FCF!C18:J18)+Project_FCF!B18</f>
        <v>1071.7107961662937</v>
      </c>
      <c r="D4807" s="4"/>
      <c r="E4807" s="4"/>
    </row>
    <row r="4808" spans="1:5" x14ac:dyDescent="0.3">
      <c r="A4808" s="9">
        <v>4800</v>
      </c>
      <c r="B4808" s="10">
        <f t="shared" ca="1" si="74"/>
        <v>9.6946627042056976E-2</v>
      </c>
      <c r="C4808" s="10">
        <f ca="1">NPV(B4808,Project_FCF!C18:J18)+Project_FCF!B18</f>
        <v>804.85791905703809</v>
      </c>
      <c r="D4808" s="4"/>
      <c r="E4808" s="4"/>
    </row>
    <row r="4809" spans="1:5" x14ac:dyDescent="0.3">
      <c r="A4809" s="9">
        <v>4801</v>
      </c>
      <c r="B4809" s="10">
        <f t="shared" ref="B4809:B4872" ca="1" si="75">$B$4+RAND()*($B$5-$B$4)</f>
        <v>0.10109443214541136</v>
      </c>
      <c r="C4809" s="10">
        <f ca="1">NPV(B4809,Project_FCF!C18:J18)+Project_FCF!B18</f>
        <v>774.79779693401088</v>
      </c>
      <c r="D4809" s="4"/>
      <c r="E4809" s="4"/>
    </row>
    <row r="4810" spans="1:5" x14ac:dyDescent="0.3">
      <c r="A4810" s="9">
        <v>4802</v>
      </c>
      <c r="B4810" s="10">
        <f t="shared" ca="1" si="75"/>
        <v>9.4188917979618841E-2</v>
      </c>
      <c r="C4810" s="10">
        <f ca="1">NPV(B4810,Project_FCF!C18:J18)+Project_FCF!B18</f>
        <v>825.38830002468148</v>
      </c>
      <c r="D4810" s="4"/>
      <c r="E4810" s="4"/>
    </row>
    <row r="4811" spans="1:5" x14ac:dyDescent="0.3">
      <c r="A4811" s="9">
        <v>4803</v>
      </c>
      <c r="B4811" s="10">
        <f t="shared" ca="1" si="75"/>
        <v>6.7320976611570313E-2</v>
      </c>
      <c r="C4811" s="10">
        <f ca="1">NPV(B4811,Project_FCF!C18:J18)+Project_FCF!B18</f>
        <v>1050.6313465737883</v>
      </c>
      <c r="D4811" s="4"/>
      <c r="E4811" s="4"/>
    </row>
    <row r="4812" spans="1:5" x14ac:dyDescent="0.3">
      <c r="A4812" s="9">
        <v>4804</v>
      </c>
      <c r="B4812" s="10">
        <f t="shared" ca="1" si="75"/>
        <v>6.6017193847482739E-2</v>
      </c>
      <c r="C4812" s="10">
        <f ca="1">NPV(B4812,Project_FCF!C18:J18)+Project_FCF!B18</f>
        <v>1062.8383556825777</v>
      </c>
      <c r="D4812" s="4"/>
      <c r="E4812" s="4"/>
    </row>
    <row r="4813" spans="1:5" x14ac:dyDescent="0.3">
      <c r="A4813" s="9">
        <v>4805</v>
      </c>
      <c r="B4813" s="10">
        <f t="shared" ca="1" si="75"/>
        <v>6.5993212959163189E-2</v>
      </c>
      <c r="C4813" s="10">
        <f ca="1">NPV(B4813,Project_FCF!C18:J18)+Project_FCF!B18</f>
        <v>1063.064086732436</v>
      </c>
      <c r="D4813" s="4"/>
      <c r="E4813" s="4"/>
    </row>
    <row r="4814" spans="1:5" x14ac:dyDescent="0.3">
      <c r="A4814" s="9">
        <v>4806</v>
      </c>
      <c r="B4814" s="10">
        <f t="shared" ca="1" si="75"/>
        <v>0.1021964347852039</v>
      </c>
      <c r="C4814" s="10">
        <f ca="1">NPV(B4814,Project_FCF!C18:J18)+Project_FCF!B18</f>
        <v>766.9729013216554</v>
      </c>
      <c r="D4814" s="4"/>
      <c r="E4814" s="4"/>
    </row>
    <row r="4815" spans="1:5" x14ac:dyDescent="0.3">
      <c r="A4815" s="9">
        <v>4807</v>
      </c>
      <c r="B4815" s="10">
        <f t="shared" ca="1" si="75"/>
        <v>9.8013835398438859E-2</v>
      </c>
      <c r="C4815" s="10">
        <f ca="1">NPV(B4815,Project_FCF!C18:J18)+Project_FCF!B18</f>
        <v>797.03064905809129</v>
      </c>
      <c r="D4815" s="4"/>
      <c r="E4815" s="4"/>
    </row>
    <row r="4816" spans="1:5" x14ac:dyDescent="0.3">
      <c r="A4816" s="9">
        <v>4808</v>
      </c>
      <c r="B4816" s="10">
        <f t="shared" ca="1" si="75"/>
        <v>6.9576769442183509E-2</v>
      </c>
      <c r="C4816" s="10">
        <f ca="1">NPV(B4816,Project_FCF!C18:J18)+Project_FCF!B18</f>
        <v>1029.8111430078193</v>
      </c>
      <c r="D4816" s="4"/>
      <c r="E4816" s="4"/>
    </row>
    <row r="4817" spans="1:5" x14ac:dyDescent="0.3">
      <c r="A4817" s="9">
        <v>4809</v>
      </c>
      <c r="B4817" s="10">
        <f t="shared" ca="1" si="75"/>
        <v>0.10039788839820663</v>
      </c>
      <c r="C4817" s="10">
        <f ca="1">NPV(B4817,Project_FCF!C18:J18)+Project_FCF!B18</f>
        <v>779.77831782515227</v>
      </c>
      <c r="D4817" s="4"/>
      <c r="E4817" s="4"/>
    </row>
    <row r="4818" spans="1:5" x14ac:dyDescent="0.3">
      <c r="A4818" s="9">
        <v>4810</v>
      </c>
      <c r="B4818" s="10">
        <f t="shared" ca="1" si="75"/>
        <v>0.10071746096843176</v>
      </c>
      <c r="C4818" s="10">
        <f ca="1">NPV(B4818,Project_FCF!C18:J18)+Project_FCF!B18</f>
        <v>777.48992211036398</v>
      </c>
      <c r="D4818" s="4"/>
      <c r="E4818" s="4"/>
    </row>
    <row r="4819" spans="1:5" x14ac:dyDescent="0.3">
      <c r="A4819" s="9">
        <v>4811</v>
      </c>
      <c r="B4819" s="10">
        <f t="shared" ca="1" si="75"/>
        <v>7.7882544744337576E-2</v>
      </c>
      <c r="C4819" s="10">
        <f ca="1">NPV(B4819,Project_FCF!C18:J18)+Project_FCF!B18</f>
        <v>956.31620667307857</v>
      </c>
      <c r="D4819" s="4"/>
      <c r="E4819" s="4"/>
    </row>
    <row r="4820" spans="1:5" x14ac:dyDescent="0.3">
      <c r="A4820" s="9">
        <v>4812</v>
      </c>
      <c r="B4820" s="10">
        <f t="shared" ca="1" si="75"/>
        <v>7.1755388618497104E-2</v>
      </c>
      <c r="C4820" s="10">
        <f ca="1">NPV(B4820,Project_FCF!C18:J18)+Project_FCF!B18</f>
        <v>1010.0582202423957</v>
      </c>
      <c r="D4820" s="4"/>
      <c r="E4820" s="4"/>
    </row>
    <row r="4821" spans="1:5" x14ac:dyDescent="0.3">
      <c r="A4821" s="9">
        <v>4813</v>
      </c>
      <c r="B4821" s="10">
        <f t="shared" ca="1" si="75"/>
        <v>8.9838983353545371E-2</v>
      </c>
      <c r="C4821" s="10">
        <f ca="1">NPV(B4821,Project_FCF!C18:J18)+Project_FCF!B18</f>
        <v>858.68656232330591</v>
      </c>
      <c r="D4821" s="4"/>
      <c r="E4821" s="4"/>
    </row>
    <row r="4822" spans="1:5" x14ac:dyDescent="0.3">
      <c r="A4822" s="9">
        <v>4814</v>
      </c>
      <c r="B4822" s="10">
        <f t="shared" ca="1" si="75"/>
        <v>9.9576353089109157E-2</v>
      </c>
      <c r="C4822" s="10">
        <f ca="1">NPV(B4822,Project_FCF!C18:J18)+Project_FCF!B18</f>
        <v>785.68731487912964</v>
      </c>
      <c r="D4822" s="4"/>
      <c r="E4822" s="4"/>
    </row>
    <row r="4823" spans="1:5" x14ac:dyDescent="0.3">
      <c r="A4823" s="9">
        <v>4815</v>
      </c>
      <c r="B4823" s="10">
        <f t="shared" ca="1" si="75"/>
        <v>6.904908052454474E-2</v>
      </c>
      <c r="C4823" s="10">
        <f ca="1">NPV(B4823,Project_FCF!C18:J18)+Project_FCF!B18</f>
        <v>1034.6477485066894</v>
      </c>
      <c r="D4823" s="4"/>
      <c r="E4823" s="4"/>
    </row>
    <row r="4824" spans="1:5" x14ac:dyDescent="0.3">
      <c r="A4824" s="9">
        <v>4816</v>
      </c>
      <c r="B4824" s="10">
        <f t="shared" ca="1" si="75"/>
        <v>7.0546302965310684E-2</v>
      </c>
      <c r="C4824" s="10">
        <f ca="1">NPV(B4824,Project_FCF!C18:J18)+Project_FCF!B18</f>
        <v>1020.9780039584105</v>
      </c>
      <c r="D4824" s="4"/>
      <c r="E4824" s="4"/>
    </row>
    <row r="4825" spans="1:5" x14ac:dyDescent="0.3">
      <c r="A4825" s="9">
        <v>4817</v>
      </c>
      <c r="B4825" s="10">
        <f t="shared" ca="1" si="75"/>
        <v>9.4951130901312603E-2</v>
      </c>
      <c r="C4825" s="10">
        <f ca="1">NPV(B4825,Project_FCF!C18:J18)+Project_FCF!B18</f>
        <v>819.66954224306528</v>
      </c>
      <c r="D4825" s="4"/>
      <c r="E4825" s="4"/>
    </row>
    <row r="4826" spans="1:5" x14ac:dyDescent="0.3">
      <c r="A4826" s="9">
        <v>4818</v>
      </c>
      <c r="B4826" s="10">
        <f t="shared" ca="1" si="75"/>
        <v>9.9037425263583445E-2</v>
      </c>
      <c r="C4826" s="10">
        <f ca="1">NPV(B4826,Project_FCF!C18:J18)+Project_FCF!B18</f>
        <v>789.58417212972699</v>
      </c>
      <c r="D4826" s="4"/>
      <c r="E4826" s="4"/>
    </row>
    <row r="4827" spans="1:5" x14ac:dyDescent="0.3">
      <c r="A4827" s="9">
        <v>4819</v>
      </c>
      <c r="B4827" s="10">
        <f t="shared" ca="1" si="75"/>
        <v>9.9709274805412779E-2</v>
      </c>
      <c r="C4827" s="10">
        <f ca="1">NPV(B4827,Project_FCF!C18:J18)+Project_FCF!B18</f>
        <v>784.72869812324666</v>
      </c>
      <c r="D4827" s="4"/>
      <c r="E4827" s="4"/>
    </row>
    <row r="4828" spans="1:5" x14ac:dyDescent="0.3">
      <c r="A4828" s="9">
        <v>4820</v>
      </c>
      <c r="B4828" s="10">
        <f t="shared" ca="1" si="75"/>
        <v>9.1146445429949305E-2</v>
      </c>
      <c r="C4828" s="10">
        <f ca="1">NPV(B4828,Project_FCF!C18:J18)+Project_FCF!B18</f>
        <v>848.55842583519552</v>
      </c>
      <c r="D4828" s="4"/>
      <c r="E4828" s="4"/>
    </row>
    <row r="4829" spans="1:5" x14ac:dyDescent="0.3">
      <c r="A4829" s="9">
        <v>4821</v>
      </c>
      <c r="B4829" s="10">
        <f t="shared" ca="1" si="75"/>
        <v>8.8383892010568246E-2</v>
      </c>
      <c r="C4829" s="10">
        <f ca="1">NPV(B4829,Project_FCF!C18:J18)+Project_FCF!B18</f>
        <v>870.08132093641439</v>
      </c>
      <c r="D4829" s="4"/>
      <c r="E4829" s="4"/>
    </row>
    <row r="4830" spans="1:5" x14ac:dyDescent="0.3">
      <c r="A4830" s="9">
        <v>4822</v>
      </c>
      <c r="B4830" s="10">
        <f t="shared" ca="1" si="75"/>
        <v>9.2707010742984985E-2</v>
      </c>
      <c r="C4830" s="10">
        <f ca="1">NPV(B4830,Project_FCF!C18:J18)+Project_FCF!B18</f>
        <v>836.60487619380569</v>
      </c>
      <c r="D4830" s="4"/>
      <c r="E4830" s="4"/>
    </row>
    <row r="4831" spans="1:5" x14ac:dyDescent="0.3">
      <c r="A4831" s="9">
        <v>4823</v>
      </c>
      <c r="B4831" s="10">
        <f t="shared" ca="1" si="75"/>
        <v>9.4667085347611382E-2</v>
      </c>
      <c r="C4831" s="10">
        <f ca="1">NPV(B4831,Project_FCF!C18:J18)+Project_FCF!B18</f>
        <v>821.79670708074536</v>
      </c>
      <c r="D4831" s="4"/>
      <c r="E4831" s="4"/>
    </row>
    <row r="4832" spans="1:5" x14ac:dyDescent="0.3">
      <c r="A4832" s="9">
        <v>4824</v>
      </c>
      <c r="B4832" s="10">
        <f t="shared" ca="1" si="75"/>
        <v>8.0754298357388815E-2</v>
      </c>
      <c r="C4832" s="10">
        <f ca="1">NPV(B4832,Project_FCF!C18:J18)+Project_FCF!B18</f>
        <v>932.01687611660782</v>
      </c>
      <c r="D4832" s="4"/>
      <c r="E4832" s="4"/>
    </row>
    <row r="4833" spans="1:5" x14ac:dyDescent="0.3">
      <c r="A4833" s="9">
        <v>4825</v>
      </c>
      <c r="B4833" s="10">
        <f t="shared" ca="1" si="75"/>
        <v>8.4628275770549377E-2</v>
      </c>
      <c r="C4833" s="10">
        <f ca="1">NPV(B4833,Project_FCF!C18:J18)+Project_FCF!B18</f>
        <v>900.1021040655728</v>
      </c>
      <c r="D4833" s="4"/>
      <c r="E4833" s="4"/>
    </row>
    <row r="4834" spans="1:5" x14ac:dyDescent="0.3">
      <c r="A4834" s="9">
        <v>4826</v>
      </c>
      <c r="B4834" s="10">
        <f t="shared" ca="1" si="75"/>
        <v>8.5861937477322417E-2</v>
      </c>
      <c r="C4834" s="10">
        <f ca="1">NPV(B4834,Project_FCF!C18:J18)+Project_FCF!B18</f>
        <v>890.14248987771498</v>
      </c>
      <c r="D4834" s="4"/>
      <c r="E4834" s="4"/>
    </row>
    <row r="4835" spans="1:5" x14ac:dyDescent="0.3">
      <c r="A4835" s="9">
        <v>4827</v>
      </c>
      <c r="B4835" s="10">
        <f t="shared" ca="1" si="75"/>
        <v>9.5978205033665137E-2</v>
      </c>
      <c r="C4835" s="10">
        <f ca="1">NPV(B4835,Project_FCF!C18:J18)+Project_FCF!B18</f>
        <v>812.01724521570691</v>
      </c>
      <c r="D4835" s="4"/>
      <c r="E4835" s="4"/>
    </row>
    <row r="4836" spans="1:5" x14ac:dyDescent="0.3">
      <c r="A4836" s="9">
        <v>4828</v>
      </c>
      <c r="B4836" s="10">
        <f t="shared" ca="1" si="75"/>
        <v>6.8099037535076457E-2</v>
      </c>
      <c r="C4836" s="10">
        <f ca="1">NPV(B4836,Project_FCF!C18:J18)+Project_FCF!B18</f>
        <v>1043.4073875706574</v>
      </c>
      <c r="D4836" s="4"/>
      <c r="E4836" s="4"/>
    </row>
    <row r="4837" spans="1:5" x14ac:dyDescent="0.3">
      <c r="A4837" s="9">
        <v>4829</v>
      </c>
      <c r="B4837" s="10">
        <f t="shared" ca="1" si="75"/>
        <v>7.4339356993892672E-2</v>
      </c>
      <c r="C4837" s="10">
        <f ca="1">NPV(B4837,Project_FCF!C18:J18)+Project_FCF!B18</f>
        <v>987.07277676618082</v>
      </c>
      <c r="D4837" s="4"/>
      <c r="E4837" s="4"/>
    </row>
    <row r="4838" spans="1:5" x14ac:dyDescent="0.3">
      <c r="A4838" s="9">
        <v>4830</v>
      </c>
      <c r="B4838" s="10">
        <f t="shared" ca="1" si="75"/>
        <v>8.0248543063791034E-2</v>
      </c>
      <c r="C4838" s="10">
        <f ca="1">NPV(B4838,Project_FCF!C18:J18)+Project_FCF!B18</f>
        <v>936.25619744087817</v>
      </c>
      <c r="D4838" s="4"/>
      <c r="E4838" s="4"/>
    </row>
    <row r="4839" spans="1:5" x14ac:dyDescent="0.3">
      <c r="A4839" s="9">
        <v>4831</v>
      </c>
      <c r="B4839" s="10">
        <f t="shared" ca="1" si="75"/>
        <v>0.10009654482003286</v>
      </c>
      <c r="C4839" s="10">
        <f ca="1">NPV(B4839,Project_FCF!C18:J18)+Project_FCF!B18</f>
        <v>781.94138982423419</v>
      </c>
      <c r="D4839" s="4"/>
      <c r="E4839" s="4"/>
    </row>
    <row r="4840" spans="1:5" x14ac:dyDescent="0.3">
      <c r="A4840" s="9">
        <v>4832</v>
      </c>
      <c r="B4840" s="10">
        <f t="shared" ca="1" si="75"/>
        <v>7.6091630913694253E-2</v>
      </c>
      <c r="C4840" s="10">
        <f ca="1">NPV(B4840,Project_FCF!C18:J18)+Project_FCF!B18</f>
        <v>971.75355872109708</v>
      </c>
      <c r="D4840" s="4"/>
      <c r="E4840" s="4"/>
    </row>
    <row r="4841" spans="1:5" x14ac:dyDescent="0.3">
      <c r="A4841" s="9">
        <v>4833</v>
      </c>
      <c r="B4841" s="10">
        <f t="shared" ca="1" si="75"/>
        <v>9.4370310440138883E-2</v>
      </c>
      <c r="C4841" s="10">
        <f ca="1">NPV(B4841,Project_FCF!C18:J18)+Project_FCF!B18</f>
        <v>824.02425070599361</v>
      </c>
      <c r="D4841" s="4"/>
      <c r="E4841" s="4"/>
    </row>
    <row r="4842" spans="1:5" x14ac:dyDescent="0.3">
      <c r="A4842" s="9">
        <v>4834</v>
      </c>
      <c r="B4842" s="10">
        <f t="shared" ca="1" si="75"/>
        <v>6.8845547286857184E-2</v>
      </c>
      <c r="C4842" s="10">
        <f ca="1">NPV(B4842,Project_FCF!C18:J18)+Project_FCF!B18</f>
        <v>1036.5187486975083</v>
      </c>
      <c r="D4842" s="4"/>
      <c r="E4842" s="4"/>
    </row>
    <row r="4843" spans="1:5" x14ac:dyDescent="0.3">
      <c r="A4843" s="9">
        <v>4835</v>
      </c>
      <c r="B4843" s="10">
        <f t="shared" ca="1" si="75"/>
        <v>8.9050987909154583E-2</v>
      </c>
      <c r="C4843" s="10">
        <f ca="1">NPV(B4843,Project_FCF!C18:J18)+Project_FCF!B18</f>
        <v>864.84113242711283</v>
      </c>
      <c r="D4843" s="4"/>
      <c r="E4843" s="4"/>
    </row>
    <row r="4844" spans="1:5" x14ac:dyDescent="0.3">
      <c r="A4844" s="9">
        <v>4836</v>
      </c>
      <c r="B4844" s="10">
        <f t="shared" ca="1" si="75"/>
        <v>8.6925536308966128E-2</v>
      </c>
      <c r="C4844" s="10">
        <f ca="1">NPV(B4844,Project_FCF!C18:J18)+Project_FCF!B18</f>
        <v>881.6333266281315</v>
      </c>
      <c r="D4844" s="4"/>
      <c r="E4844" s="4"/>
    </row>
    <row r="4845" spans="1:5" x14ac:dyDescent="0.3">
      <c r="A4845" s="9">
        <v>4837</v>
      </c>
      <c r="B4845" s="10">
        <f t="shared" ca="1" si="75"/>
        <v>7.3292566761962955E-2</v>
      </c>
      <c r="C4845" s="10">
        <f ca="1">NPV(B4845,Project_FCF!C18:J18)+Project_FCF!B18</f>
        <v>996.32716934998348</v>
      </c>
      <c r="D4845" s="4"/>
      <c r="E4845" s="4"/>
    </row>
    <row r="4846" spans="1:5" x14ac:dyDescent="0.3">
      <c r="A4846" s="9">
        <v>4838</v>
      </c>
      <c r="B4846" s="10">
        <f t="shared" ca="1" si="75"/>
        <v>6.9562449979499272E-2</v>
      </c>
      <c r="C4846" s="10">
        <f ca="1">NPV(B4846,Project_FCF!C18:J18)+Project_FCF!B18</f>
        <v>1029.9421195219718</v>
      </c>
      <c r="D4846" s="4"/>
      <c r="E4846" s="4"/>
    </row>
    <row r="4847" spans="1:5" x14ac:dyDescent="0.3">
      <c r="A4847" s="9">
        <v>4839</v>
      </c>
      <c r="B4847" s="10">
        <f t="shared" ca="1" si="75"/>
        <v>9.7662450039995907E-2</v>
      </c>
      <c r="C4847" s="10">
        <f ca="1">NPV(B4847,Project_FCF!C18:J18)+Project_FCF!B18</f>
        <v>799.60064469668282</v>
      </c>
      <c r="D4847" s="4"/>
      <c r="E4847" s="4"/>
    </row>
    <row r="4848" spans="1:5" x14ac:dyDescent="0.3">
      <c r="A4848" s="9">
        <v>4840</v>
      </c>
      <c r="B4848" s="10">
        <f t="shared" ca="1" si="75"/>
        <v>8.5094189587605007E-2</v>
      </c>
      <c r="C4848" s="10">
        <f ca="1">NPV(B4848,Project_FCF!C18:J18)+Project_FCF!B18</f>
        <v>896.32927467742888</v>
      </c>
      <c r="D4848" s="4"/>
      <c r="E4848" s="4"/>
    </row>
    <row r="4849" spans="1:5" x14ac:dyDescent="0.3">
      <c r="A4849" s="9">
        <v>4841</v>
      </c>
      <c r="B4849" s="10">
        <f t="shared" ca="1" si="75"/>
        <v>8.5357240658787414E-2</v>
      </c>
      <c r="C4849" s="10">
        <f ca="1">NPV(B4849,Project_FCF!C18:J18)+Project_FCF!B18</f>
        <v>894.20529113612224</v>
      </c>
      <c r="D4849" s="4"/>
      <c r="E4849" s="4"/>
    </row>
    <row r="4850" spans="1:5" x14ac:dyDescent="0.3">
      <c r="A4850" s="9">
        <v>4842</v>
      </c>
      <c r="B4850" s="10">
        <f t="shared" ca="1" si="75"/>
        <v>7.8743610843720308E-2</v>
      </c>
      <c r="C4850" s="10">
        <f ca="1">NPV(B4850,Project_FCF!C18:J18)+Project_FCF!B18</f>
        <v>948.97198097342493</v>
      </c>
      <c r="D4850" s="4"/>
      <c r="E4850" s="4"/>
    </row>
    <row r="4851" spans="1:5" x14ac:dyDescent="0.3">
      <c r="A4851" s="9">
        <v>4843</v>
      </c>
      <c r="B4851" s="10">
        <f t="shared" ca="1" si="75"/>
        <v>9.1633180943063081E-2</v>
      </c>
      <c r="C4851" s="10">
        <f ca="1">NPV(B4851,Project_FCF!C18:J18)+Project_FCF!B18</f>
        <v>844.81444303051512</v>
      </c>
      <c r="D4851" s="4"/>
      <c r="E4851" s="4"/>
    </row>
    <row r="4852" spans="1:5" x14ac:dyDescent="0.3">
      <c r="A4852" s="9">
        <v>4844</v>
      </c>
      <c r="B4852" s="10">
        <f t="shared" ca="1" si="75"/>
        <v>6.4170182481359694E-2</v>
      </c>
      <c r="C4852" s="10">
        <f ca="1">NPV(B4852,Project_FCF!C18:J18)+Project_FCF!B18</f>
        <v>1080.3527112419952</v>
      </c>
      <c r="D4852" s="4"/>
      <c r="E4852" s="4"/>
    </row>
    <row r="4853" spans="1:5" x14ac:dyDescent="0.3">
      <c r="A4853" s="9">
        <v>4845</v>
      </c>
      <c r="B4853" s="10">
        <f t="shared" ca="1" si="75"/>
        <v>9.626519417266835E-2</v>
      </c>
      <c r="C4853" s="10">
        <f ca="1">NPV(B4853,Project_FCF!C18:J18)+Project_FCF!B18</f>
        <v>809.88995614322334</v>
      </c>
      <c r="D4853" s="4"/>
      <c r="E4853" s="4"/>
    </row>
    <row r="4854" spans="1:5" x14ac:dyDescent="0.3">
      <c r="A4854" s="9">
        <v>4846</v>
      </c>
      <c r="B4854" s="10">
        <f t="shared" ca="1" si="75"/>
        <v>7.2032714785074392E-2</v>
      </c>
      <c r="C4854" s="10">
        <f ca="1">NPV(B4854,Project_FCF!C18:J18)+Project_FCF!B18</f>
        <v>1007.5684532825712</v>
      </c>
      <c r="D4854" s="4"/>
      <c r="E4854" s="4"/>
    </row>
    <row r="4855" spans="1:5" x14ac:dyDescent="0.3">
      <c r="A4855" s="9">
        <v>4847</v>
      </c>
      <c r="B4855" s="10">
        <f t="shared" ca="1" si="75"/>
        <v>7.411005121843485E-2</v>
      </c>
      <c r="C4855" s="10">
        <f ca="1">NPV(B4855,Project_FCF!C18:J18)+Project_FCF!B18</f>
        <v>989.09338825096461</v>
      </c>
      <c r="D4855" s="4"/>
      <c r="E4855" s="4"/>
    </row>
    <row r="4856" spans="1:5" x14ac:dyDescent="0.3">
      <c r="A4856" s="9">
        <v>4848</v>
      </c>
      <c r="B4856" s="10">
        <f t="shared" ca="1" si="75"/>
        <v>0.10267610777601621</v>
      </c>
      <c r="C4856" s="10">
        <f ca="1">NPV(B4856,Project_FCF!C18:J18)+Project_FCF!B18</f>
        <v>763.58776187926719</v>
      </c>
      <c r="D4856" s="4"/>
      <c r="E4856" s="4"/>
    </row>
    <row r="4857" spans="1:5" x14ac:dyDescent="0.3">
      <c r="A4857" s="9">
        <v>4849</v>
      </c>
      <c r="B4857" s="10">
        <f t="shared" ca="1" si="75"/>
        <v>7.4786624979032684E-2</v>
      </c>
      <c r="C4857" s="10">
        <f ca="1">NPV(B4857,Project_FCF!C18:J18)+Project_FCF!B18</f>
        <v>983.14214959741821</v>
      </c>
      <c r="D4857" s="4"/>
      <c r="E4857" s="4"/>
    </row>
    <row r="4858" spans="1:5" x14ac:dyDescent="0.3">
      <c r="A4858" s="9">
        <v>4850</v>
      </c>
      <c r="B4858" s="10">
        <f t="shared" ca="1" si="75"/>
        <v>7.054655752569669E-2</v>
      </c>
      <c r="C4858" s="10">
        <f ca="1">NPV(B4858,Project_FCF!C18:J18)+Project_FCF!B18</f>
        <v>1020.9756937480483</v>
      </c>
      <c r="D4858" s="4"/>
      <c r="E4858" s="4"/>
    </row>
    <row r="4859" spans="1:5" x14ac:dyDescent="0.3">
      <c r="A4859" s="9">
        <v>4851</v>
      </c>
      <c r="B4859" s="10">
        <f t="shared" ca="1" si="75"/>
        <v>7.0218361556373204E-2</v>
      </c>
      <c r="C4859" s="10">
        <f ca="1">NPV(B4859,Project_FCF!C18:J18)+Project_FCF!B18</f>
        <v>1023.9580915806721</v>
      </c>
      <c r="D4859" s="4"/>
      <c r="E4859" s="4"/>
    </row>
    <row r="4860" spans="1:5" x14ac:dyDescent="0.3">
      <c r="A4860" s="9">
        <v>4852</v>
      </c>
      <c r="B4860" s="10">
        <f t="shared" ca="1" si="75"/>
        <v>9.7605541060560935E-2</v>
      </c>
      <c r="C4860" s="10">
        <f ca="1">NPV(B4860,Project_FCF!C18:J18)+Project_FCF!B18</f>
        <v>800.01753338205663</v>
      </c>
      <c r="D4860" s="4"/>
      <c r="E4860" s="4"/>
    </row>
    <row r="4861" spans="1:5" x14ac:dyDescent="0.3">
      <c r="A4861" s="9">
        <v>4853</v>
      </c>
      <c r="B4861" s="10">
        <f t="shared" ca="1" si="75"/>
        <v>7.7087693809163166E-2</v>
      </c>
      <c r="C4861" s="10">
        <f ca="1">NPV(B4861,Project_FCF!C18:J18)+Project_FCF!B18</f>
        <v>963.14049609231301</v>
      </c>
      <c r="D4861" s="4"/>
      <c r="E4861" s="4"/>
    </row>
    <row r="4862" spans="1:5" x14ac:dyDescent="0.3">
      <c r="A4862" s="9">
        <v>4854</v>
      </c>
      <c r="B4862" s="10">
        <f t="shared" ca="1" si="75"/>
        <v>8.832589596737267E-2</v>
      </c>
      <c r="C4862" s="10">
        <f ca="1">NPV(B4862,Project_FCF!C18:J18)+Project_FCF!B18</f>
        <v>870.53819384585768</v>
      </c>
      <c r="D4862" s="4"/>
      <c r="E4862" s="4"/>
    </row>
    <row r="4863" spans="1:5" x14ac:dyDescent="0.3">
      <c r="A4863" s="9">
        <v>4855</v>
      </c>
      <c r="B4863" s="10">
        <f t="shared" ca="1" si="75"/>
        <v>9.1290909640861839E-2</v>
      </c>
      <c r="C4863" s="10">
        <f ca="1">NPV(B4863,Project_FCF!C18:J18)+Project_FCF!B18</f>
        <v>847.44571096016489</v>
      </c>
      <c r="D4863" s="4"/>
      <c r="E4863" s="4"/>
    </row>
    <row r="4864" spans="1:5" x14ac:dyDescent="0.3">
      <c r="A4864" s="9">
        <v>4856</v>
      </c>
      <c r="B4864" s="10">
        <f t="shared" ca="1" si="75"/>
        <v>8.7919801131199057E-2</v>
      </c>
      <c r="C4864" s="10">
        <f ca="1">NPV(B4864,Project_FCF!C18:J18)+Project_FCF!B18</f>
        <v>873.74311953342249</v>
      </c>
      <c r="D4864" s="4"/>
      <c r="E4864" s="4"/>
    </row>
    <row r="4865" spans="1:5" x14ac:dyDescent="0.3">
      <c r="A4865" s="9">
        <v>4857</v>
      </c>
      <c r="B4865" s="10">
        <f t="shared" ca="1" si="75"/>
        <v>8.3618084794001096E-2</v>
      </c>
      <c r="C4865" s="10">
        <f ca="1">NPV(B4865,Project_FCF!C18:J18)+Project_FCF!B18</f>
        <v>908.33020125967005</v>
      </c>
      <c r="D4865" s="4"/>
      <c r="E4865" s="4"/>
    </row>
    <row r="4866" spans="1:5" x14ac:dyDescent="0.3">
      <c r="A4866" s="9">
        <v>4858</v>
      </c>
      <c r="B4866" s="10">
        <f t="shared" ca="1" si="75"/>
        <v>6.4731958477424648E-2</v>
      </c>
      <c r="C4866" s="10">
        <f ca="1">NPV(B4866,Project_FCF!C18:J18)+Project_FCF!B18</f>
        <v>1074.9979845961304</v>
      </c>
      <c r="D4866" s="4"/>
      <c r="E4866" s="4"/>
    </row>
    <row r="4867" spans="1:5" x14ac:dyDescent="0.3">
      <c r="A4867" s="9">
        <v>4859</v>
      </c>
      <c r="B4867" s="10">
        <f t="shared" ca="1" si="75"/>
        <v>6.453107085401269E-2</v>
      </c>
      <c r="C4867" s="10">
        <f ca="1">NPV(B4867,Project_FCF!C18:J18)+Project_FCF!B18</f>
        <v>1076.9100113115769</v>
      </c>
      <c r="D4867" s="4"/>
      <c r="E4867" s="4"/>
    </row>
    <row r="4868" spans="1:5" x14ac:dyDescent="0.3">
      <c r="A4868" s="9">
        <v>4860</v>
      </c>
      <c r="B4868" s="10">
        <f t="shared" ca="1" si="75"/>
        <v>9.110201567532096E-2</v>
      </c>
      <c r="C4868" s="10">
        <f ca="1">NPV(B4868,Project_FCF!C18:J18)+Project_FCF!B18</f>
        <v>848.90089333037758</v>
      </c>
      <c r="D4868" s="4"/>
      <c r="E4868" s="4"/>
    </row>
    <row r="4869" spans="1:5" x14ac:dyDescent="0.3">
      <c r="A4869" s="9">
        <v>4861</v>
      </c>
      <c r="B4869" s="10">
        <f t="shared" ca="1" si="75"/>
        <v>9.588933526632544E-2</v>
      </c>
      <c r="C4869" s="10">
        <f ca="1">NPV(B4869,Project_FCF!C18:J18)+Project_FCF!B18</f>
        <v>812.67695365066834</v>
      </c>
      <c r="D4869" s="4"/>
      <c r="E4869" s="4"/>
    </row>
    <row r="4870" spans="1:5" x14ac:dyDescent="0.3">
      <c r="A4870" s="9">
        <v>4862</v>
      </c>
      <c r="B4870" s="10">
        <f t="shared" ca="1" si="75"/>
        <v>7.9045610685023915E-2</v>
      </c>
      <c r="C4870" s="10">
        <f ca="1">NPV(B4870,Project_FCF!C18:J18)+Project_FCF!B18</f>
        <v>946.40804901919114</v>
      </c>
      <c r="D4870" s="4"/>
      <c r="E4870" s="4"/>
    </row>
    <row r="4871" spans="1:5" x14ac:dyDescent="0.3">
      <c r="A4871" s="9">
        <v>4863</v>
      </c>
      <c r="B4871" s="10">
        <f t="shared" ca="1" si="75"/>
        <v>9.6034693110808159E-2</v>
      </c>
      <c r="C4871" s="10">
        <f ca="1">NPV(B4871,Project_FCF!C18:J18)+Project_FCF!B18</f>
        <v>811.59815415380649</v>
      </c>
      <c r="D4871" s="4"/>
      <c r="E4871" s="4"/>
    </row>
    <row r="4872" spans="1:5" x14ac:dyDescent="0.3">
      <c r="A4872" s="9">
        <v>4864</v>
      </c>
      <c r="B4872" s="10">
        <f t="shared" ca="1" si="75"/>
        <v>6.5240289082706446E-2</v>
      </c>
      <c r="C4872" s="10">
        <f ca="1">NPV(B4872,Project_FCF!C18:J18)+Project_FCF!B18</f>
        <v>1070.1735796810281</v>
      </c>
      <c r="D4872" s="4"/>
      <c r="E4872" s="4"/>
    </row>
    <row r="4873" spans="1:5" x14ac:dyDescent="0.3">
      <c r="A4873" s="9">
        <v>4865</v>
      </c>
      <c r="B4873" s="10">
        <f t="shared" ref="B4873:B4936" ca="1" si="76">$B$4+RAND()*($B$5-$B$4)</f>
        <v>0.1016489899155235</v>
      </c>
      <c r="C4873" s="10">
        <f ca="1">NPV(B4873,Project_FCF!C18:J18)+Project_FCF!B18</f>
        <v>770.85173438532047</v>
      </c>
      <c r="D4873" s="4"/>
      <c r="E4873" s="4"/>
    </row>
    <row r="4874" spans="1:5" x14ac:dyDescent="0.3">
      <c r="A4874" s="9">
        <v>4866</v>
      </c>
      <c r="B4874" s="10">
        <f t="shared" ca="1" si="76"/>
        <v>0.10116774603723216</v>
      </c>
      <c r="C4874" s="10">
        <f ca="1">NPV(B4874,Project_FCF!C18:J18)+Project_FCF!B18</f>
        <v>774.27514311078494</v>
      </c>
      <c r="D4874" s="4"/>
      <c r="E4874" s="4"/>
    </row>
    <row r="4875" spans="1:5" x14ac:dyDescent="0.3">
      <c r="A4875" s="9">
        <v>4867</v>
      </c>
      <c r="B4875" s="10">
        <f t="shared" ca="1" si="76"/>
        <v>9.0299479306571229E-2</v>
      </c>
      <c r="C4875" s="10">
        <f ca="1">NPV(B4875,Project_FCF!C18:J18)+Project_FCF!B18</f>
        <v>855.10750348896386</v>
      </c>
      <c r="D4875" s="4"/>
      <c r="E4875" s="4"/>
    </row>
    <row r="4876" spans="1:5" x14ac:dyDescent="0.3">
      <c r="A4876" s="9">
        <v>4868</v>
      </c>
      <c r="B4876" s="10">
        <f t="shared" ca="1" si="76"/>
        <v>0.1031280786420674</v>
      </c>
      <c r="C4876" s="10">
        <f ca="1">NPV(B4876,Project_FCF!C18:J18)+Project_FCF!B18</f>
        <v>760.40961497844864</v>
      </c>
      <c r="D4876" s="4"/>
      <c r="E4876" s="4"/>
    </row>
    <row r="4877" spans="1:5" x14ac:dyDescent="0.3">
      <c r="A4877" s="9">
        <v>4869</v>
      </c>
      <c r="B4877" s="10">
        <f t="shared" ca="1" si="76"/>
        <v>9.8053429259738673E-2</v>
      </c>
      <c r="C4877" s="10">
        <f ca="1">NPV(B4877,Project_FCF!C18:J18)+Project_FCF!B18</f>
        <v>796.74150442900827</v>
      </c>
      <c r="D4877" s="4"/>
      <c r="E4877" s="4"/>
    </row>
    <row r="4878" spans="1:5" x14ac:dyDescent="0.3">
      <c r="A4878" s="9">
        <v>4870</v>
      </c>
      <c r="B4878" s="10">
        <f t="shared" ca="1" si="76"/>
        <v>7.6749978272578179E-2</v>
      </c>
      <c r="C4878" s="10">
        <f ca="1">NPV(B4878,Project_FCF!C18:J18)+Project_FCF!B18</f>
        <v>966.05309926216296</v>
      </c>
      <c r="D4878" s="4"/>
      <c r="E4878" s="4"/>
    </row>
    <row r="4879" spans="1:5" x14ac:dyDescent="0.3">
      <c r="A4879" s="9">
        <v>4871</v>
      </c>
      <c r="B4879" s="10">
        <f t="shared" ca="1" si="76"/>
        <v>6.5622333222555368E-2</v>
      </c>
      <c r="C4879" s="10">
        <f ca="1">NPV(B4879,Project_FCF!C18:J18)+Project_FCF!B18</f>
        <v>1066.5607262281258</v>
      </c>
      <c r="D4879" s="4"/>
      <c r="E4879" s="4"/>
    </row>
    <row r="4880" spans="1:5" x14ac:dyDescent="0.3">
      <c r="A4880" s="9">
        <v>4872</v>
      </c>
      <c r="B4880" s="10">
        <f t="shared" ca="1" si="76"/>
        <v>6.9535423718593878E-2</v>
      </c>
      <c r="C4880" s="10">
        <f ca="1">NPV(B4880,Project_FCF!C18:J18)+Project_FCF!B18</f>
        <v>1030.1893629709991</v>
      </c>
      <c r="D4880" s="4"/>
      <c r="E4880" s="4"/>
    </row>
    <row r="4881" spans="1:5" x14ac:dyDescent="0.3">
      <c r="A4881" s="9">
        <v>4873</v>
      </c>
      <c r="B4881" s="10">
        <f t="shared" ca="1" si="76"/>
        <v>9.6309600477134077E-2</v>
      </c>
      <c r="C4881" s="10">
        <f ca="1">NPV(B4881,Project_FCF!C18:J18)+Project_FCF!B18</f>
        <v>809.56122260964935</v>
      </c>
      <c r="D4881" s="4"/>
      <c r="E4881" s="4"/>
    </row>
    <row r="4882" spans="1:5" x14ac:dyDescent="0.3">
      <c r="A4882" s="9">
        <v>4874</v>
      </c>
      <c r="B4882" s="10">
        <f t="shared" ca="1" si="76"/>
        <v>7.5754697236559226E-2</v>
      </c>
      <c r="C4882" s="10">
        <f ca="1">NPV(B4882,Project_FCF!C18:J18)+Project_FCF!B18</f>
        <v>974.68257926301317</v>
      </c>
      <c r="D4882" s="4"/>
      <c r="E4882" s="4"/>
    </row>
    <row r="4883" spans="1:5" x14ac:dyDescent="0.3">
      <c r="A4883" s="9">
        <v>4875</v>
      </c>
      <c r="B4883" s="10">
        <f t="shared" ca="1" si="76"/>
        <v>0.10366284087162732</v>
      </c>
      <c r="C4883" s="10">
        <f ca="1">NPV(B4883,Project_FCF!C18:J18)+Project_FCF!B18</f>
        <v>756.66364088274008</v>
      </c>
      <c r="D4883" s="4"/>
      <c r="E4883" s="4"/>
    </row>
    <row r="4884" spans="1:5" x14ac:dyDescent="0.3">
      <c r="A4884" s="9">
        <v>4876</v>
      </c>
      <c r="B4884" s="10">
        <f t="shared" ca="1" si="76"/>
        <v>8.9167176937818088E-2</v>
      </c>
      <c r="C4884" s="10">
        <f ca="1">NPV(B4884,Project_FCF!C18:J18)+Project_FCF!B18</f>
        <v>863.9312498300369</v>
      </c>
      <c r="D4884" s="4"/>
      <c r="E4884" s="4"/>
    </row>
    <row r="4885" spans="1:5" x14ac:dyDescent="0.3">
      <c r="A4885" s="9">
        <v>4877</v>
      </c>
      <c r="B4885" s="10">
        <f t="shared" ca="1" si="76"/>
        <v>9.094795331675587E-2</v>
      </c>
      <c r="C4885" s="10">
        <f ca="1">NPV(B4885,Project_FCF!C18:J18)+Project_FCF!B18</f>
        <v>850.08934149399192</v>
      </c>
      <c r="D4885" s="4"/>
      <c r="E4885" s="4"/>
    </row>
    <row r="4886" spans="1:5" x14ac:dyDescent="0.3">
      <c r="A4886" s="9">
        <v>4878</v>
      </c>
      <c r="B4886" s="10">
        <f t="shared" ca="1" si="76"/>
        <v>7.1727536542544448E-2</v>
      </c>
      <c r="C4886" s="10">
        <f ca="1">NPV(B4886,Project_FCF!C18:J18)+Project_FCF!B18</f>
        <v>1010.3085752894806</v>
      </c>
      <c r="D4886" s="4"/>
      <c r="E4886" s="4"/>
    </row>
    <row r="4887" spans="1:5" x14ac:dyDescent="0.3">
      <c r="A4887" s="9">
        <v>4879</v>
      </c>
      <c r="B4887" s="10">
        <f t="shared" ca="1" si="76"/>
        <v>9.4919580482660193E-2</v>
      </c>
      <c r="C4887" s="10">
        <f ca="1">NPV(B4887,Project_FCF!C18:J18)+Project_FCF!B18</f>
        <v>819.90558446236014</v>
      </c>
      <c r="D4887" s="4"/>
      <c r="E4887" s="4"/>
    </row>
    <row r="4888" spans="1:5" x14ac:dyDescent="0.3">
      <c r="A4888" s="9">
        <v>4880</v>
      </c>
      <c r="B4888" s="10">
        <f t="shared" ca="1" si="76"/>
        <v>9.7995178100414831E-2</v>
      </c>
      <c r="C4888" s="10">
        <f ca="1">NPV(B4888,Project_FCF!C18:J18)+Project_FCF!B18</f>
        <v>797.16692981481174</v>
      </c>
      <c r="D4888" s="4"/>
      <c r="E4888" s="4"/>
    </row>
    <row r="4889" spans="1:5" x14ac:dyDescent="0.3">
      <c r="A4889" s="9">
        <v>4881</v>
      </c>
      <c r="B4889" s="10">
        <f t="shared" ca="1" si="76"/>
        <v>9.1665777584375163E-2</v>
      </c>
      <c r="C4889" s="10">
        <f ca="1">NPV(B4889,Project_FCF!C18:J18)+Project_FCF!B18</f>
        <v>844.56421909631808</v>
      </c>
      <c r="D4889" s="4"/>
      <c r="E4889" s="4"/>
    </row>
    <row r="4890" spans="1:5" x14ac:dyDescent="0.3">
      <c r="A4890" s="9">
        <v>4882</v>
      </c>
      <c r="B4890" s="10">
        <f t="shared" ca="1" si="76"/>
        <v>7.5796121838751812E-2</v>
      </c>
      <c r="C4890" s="10">
        <f ca="1">NPV(B4890,Project_FCF!C18:J18)+Project_FCF!B18</f>
        <v>974.32204367049599</v>
      </c>
      <c r="D4890" s="4"/>
      <c r="E4890" s="4"/>
    </row>
    <row r="4891" spans="1:5" x14ac:dyDescent="0.3">
      <c r="A4891" s="9">
        <v>4883</v>
      </c>
      <c r="B4891" s="10">
        <f t="shared" ca="1" si="76"/>
        <v>8.7876413084619867E-2</v>
      </c>
      <c r="C4891" s="10">
        <f ca="1">NPV(B4891,Project_FCF!C18:J18)+Project_FCF!B18</f>
        <v>874.08614696895529</v>
      </c>
      <c r="D4891" s="4"/>
      <c r="E4891" s="4"/>
    </row>
    <row r="4892" spans="1:5" x14ac:dyDescent="0.3">
      <c r="A4892" s="9">
        <v>4884</v>
      </c>
      <c r="B4892" s="10">
        <f t="shared" ca="1" si="76"/>
        <v>8.1805622103896941E-2</v>
      </c>
      <c r="C4892" s="10">
        <f ca="1">NPV(B4892,Project_FCF!C18:J18)+Project_FCF!B18</f>
        <v>923.25875991960402</v>
      </c>
      <c r="D4892" s="4"/>
      <c r="E4892" s="4"/>
    </row>
    <row r="4893" spans="1:5" x14ac:dyDescent="0.3">
      <c r="A4893" s="9">
        <v>4885</v>
      </c>
      <c r="B4893" s="10">
        <f t="shared" ca="1" si="76"/>
        <v>8.7791223958261999E-2</v>
      </c>
      <c r="C4893" s="10">
        <f ca="1">NPV(B4893,Project_FCF!C18:J18)+Project_FCF!B18</f>
        <v>874.75999628186264</v>
      </c>
      <c r="D4893" s="4"/>
      <c r="E4893" s="4"/>
    </row>
    <row r="4894" spans="1:5" x14ac:dyDescent="0.3">
      <c r="A4894" s="9">
        <v>4886</v>
      </c>
      <c r="B4894" s="10">
        <f t="shared" ca="1" si="76"/>
        <v>0.1000963224004669</v>
      </c>
      <c r="C4894" s="10">
        <f ca="1">NPV(B4894,Project_FCF!C18:J18)+Project_FCF!B18</f>
        <v>781.94298824365046</v>
      </c>
      <c r="D4894" s="4"/>
      <c r="E4894" s="4"/>
    </row>
    <row r="4895" spans="1:5" x14ac:dyDescent="0.3">
      <c r="A4895" s="9">
        <v>4887</v>
      </c>
      <c r="B4895" s="10">
        <f t="shared" ca="1" si="76"/>
        <v>9.6599240592861069E-2</v>
      </c>
      <c r="C4895" s="10">
        <f ca="1">NPV(B4895,Project_FCF!C18:J18)+Project_FCF!B18</f>
        <v>807.41985006965524</v>
      </c>
      <c r="D4895" s="4"/>
      <c r="E4895" s="4"/>
    </row>
    <row r="4896" spans="1:5" x14ac:dyDescent="0.3">
      <c r="A4896" s="9">
        <v>4888</v>
      </c>
      <c r="B4896" s="10">
        <f t="shared" ca="1" si="76"/>
        <v>6.6997613277750223E-2</v>
      </c>
      <c r="C4896" s="10">
        <f ca="1">NPV(B4896,Project_FCF!C18:J18)+Project_FCF!B18</f>
        <v>1053.6469728722377</v>
      </c>
      <c r="D4896" s="4"/>
      <c r="E4896" s="4"/>
    </row>
    <row r="4897" spans="1:5" x14ac:dyDescent="0.3">
      <c r="A4897" s="9">
        <v>4889</v>
      </c>
      <c r="B4897" s="10">
        <f t="shared" ca="1" si="76"/>
        <v>9.1788573389191719E-2</v>
      </c>
      <c r="C4897" s="10">
        <f ca="1">NPV(B4897,Project_FCF!C18:J18)+Project_FCF!B18</f>
        <v>843.62216698185171</v>
      </c>
      <c r="D4897" s="4"/>
      <c r="E4897" s="4"/>
    </row>
    <row r="4898" spans="1:5" x14ac:dyDescent="0.3">
      <c r="A4898" s="9">
        <v>4890</v>
      </c>
      <c r="B4898" s="10">
        <f t="shared" ca="1" si="76"/>
        <v>9.7481212468432554E-2</v>
      </c>
      <c r="C4898" s="10">
        <f ca="1">NPV(B4898,Project_FCF!C18:J18)+Project_FCF!B18</f>
        <v>800.92895012299755</v>
      </c>
      <c r="D4898" s="4"/>
      <c r="E4898" s="4"/>
    </row>
    <row r="4899" spans="1:5" x14ac:dyDescent="0.3">
      <c r="A4899" s="9">
        <v>4891</v>
      </c>
      <c r="B4899" s="10">
        <f t="shared" ca="1" si="76"/>
        <v>8.2053341121022652E-2</v>
      </c>
      <c r="C4899" s="10">
        <f ca="1">NPV(B4899,Project_FCF!C18:J18)+Project_FCF!B18</f>
        <v>921.20572764010603</v>
      </c>
      <c r="D4899" s="4"/>
      <c r="E4899" s="4"/>
    </row>
    <row r="4900" spans="1:5" x14ac:dyDescent="0.3">
      <c r="A4900" s="9">
        <v>4892</v>
      </c>
      <c r="B4900" s="10">
        <f t="shared" ca="1" si="76"/>
        <v>7.0926127161050789E-2</v>
      </c>
      <c r="C4900" s="10">
        <f ca="1">NPV(B4900,Project_FCF!C18:J18)+Project_FCF!B18</f>
        <v>1017.5362311440558</v>
      </c>
      <c r="D4900" s="4"/>
      <c r="E4900" s="4"/>
    </row>
    <row r="4901" spans="1:5" x14ac:dyDescent="0.3">
      <c r="A4901" s="9">
        <v>4893</v>
      </c>
      <c r="B4901" s="10">
        <f t="shared" ca="1" si="76"/>
        <v>8.2923106719229728E-2</v>
      </c>
      <c r="C4901" s="10">
        <f ca="1">NPV(B4901,Project_FCF!C18:J18)+Project_FCF!B18</f>
        <v>914.02915737958756</v>
      </c>
      <c r="D4901" s="4"/>
      <c r="E4901" s="4"/>
    </row>
    <row r="4902" spans="1:5" x14ac:dyDescent="0.3">
      <c r="A4902" s="9">
        <v>4894</v>
      </c>
      <c r="B4902" s="10">
        <f t="shared" ca="1" si="76"/>
        <v>9.8224618096204364E-2</v>
      </c>
      <c r="C4902" s="10">
        <f ca="1">NPV(B4902,Project_FCF!C18:J18)+Project_FCF!B18</f>
        <v>795.49237831366349</v>
      </c>
      <c r="D4902" s="4"/>
      <c r="E4902" s="4"/>
    </row>
    <row r="4903" spans="1:5" x14ac:dyDescent="0.3">
      <c r="A4903" s="9">
        <v>4895</v>
      </c>
      <c r="B4903" s="10">
        <f t="shared" ca="1" si="76"/>
        <v>9.5910114653252165E-2</v>
      </c>
      <c r="C4903" s="10">
        <f ca="1">NPV(B4903,Project_FCF!C18:J18)+Project_FCF!B18</f>
        <v>812.52266068242488</v>
      </c>
      <c r="D4903" s="4"/>
      <c r="E4903" s="4"/>
    </row>
    <row r="4904" spans="1:5" x14ac:dyDescent="0.3">
      <c r="A4904" s="9">
        <v>4896</v>
      </c>
      <c r="B4904" s="10">
        <f t="shared" ca="1" si="76"/>
        <v>7.5920293379981199E-2</v>
      </c>
      <c r="C4904" s="10">
        <f ca="1">NPV(B4904,Project_FCF!C18:J18)+Project_FCF!B18</f>
        <v>973.24204059007684</v>
      </c>
      <c r="D4904" s="4"/>
      <c r="E4904" s="4"/>
    </row>
    <row r="4905" spans="1:5" x14ac:dyDescent="0.3">
      <c r="A4905" s="9">
        <v>4897</v>
      </c>
      <c r="B4905" s="10">
        <f t="shared" ca="1" si="76"/>
        <v>9.1824870387882007E-2</v>
      </c>
      <c r="C4905" s="10">
        <f ca="1">NPV(B4905,Project_FCF!C18:J18)+Project_FCF!B18</f>
        <v>843.34388107976611</v>
      </c>
      <c r="D4905" s="4"/>
      <c r="E4905" s="4"/>
    </row>
    <row r="4906" spans="1:5" x14ac:dyDescent="0.3">
      <c r="A4906" s="9">
        <v>4898</v>
      </c>
      <c r="B4906" s="10">
        <f t="shared" ca="1" si="76"/>
        <v>6.7696142574221768E-2</v>
      </c>
      <c r="C4906" s="10">
        <f ca="1">NPV(B4906,Project_FCF!C18:J18)+Project_FCF!B18</f>
        <v>1047.1424445596026</v>
      </c>
      <c r="D4906" s="4"/>
      <c r="E4906" s="4"/>
    </row>
    <row r="4907" spans="1:5" x14ac:dyDescent="0.3">
      <c r="A4907" s="9">
        <v>4899</v>
      </c>
      <c r="B4907" s="10">
        <f t="shared" ca="1" si="76"/>
        <v>9.322283242934791E-2</v>
      </c>
      <c r="C4907" s="10">
        <f ca="1">NPV(B4907,Project_FCF!C18:J18)+Project_FCF!B18</f>
        <v>832.68584365454717</v>
      </c>
      <c r="D4907" s="4"/>
      <c r="E4907" s="4"/>
    </row>
    <row r="4908" spans="1:5" x14ac:dyDescent="0.3">
      <c r="A4908" s="9">
        <v>4900</v>
      </c>
      <c r="B4908" s="10">
        <f t="shared" ca="1" si="76"/>
        <v>0.10139636802149596</v>
      </c>
      <c r="C4908" s="10">
        <f ca="1">NPV(B4908,Project_FCF!C18:J18)+Project_FCF!B18</f>
        <v>772.64720828346071</v>
      </c>
      <c r="D4908" s="4"/>
      <c r="E4908" s="4"/>
    </row>
    <row r="4909" spans="1:5" x14ac:dyDescent="0.3">
      <c r="A4909" s="9">
        <v>4901</v>
      </c>
      <c r="B4909" s="10">
        <f t="shared" ca="1" si="76"/>
        <v>9.1842702218498051E-2</v>
      </c>
      <c r="C4909" s="10">
        <f ca="1">NPV(B4909,Project_FCF!C18:J18)+Project_FCF!B18</f>
        <v>843.20719500958421</v>
      </c>
      <c r="D4909" s="4"/>
      <c r="E4909" s="4"/>
    </row>
    <row r="4910" spans="1:5" x14ac:dyDescent="0.3">
      <c r="A4910" s="9">
        <v>4902</v>
      </c>
      <c r="B4910" s="10">
        <f t="shared" ca="1" si="76"/>
        <v>8.3342248706464922E-2</v>
      </c>
      <c r="C4910" s="10">
        <f ca="1">NPV(B4910,Project_FCF!C18:J18)+Project_FCF!B18</f>
        <v>910.58836046090573</v>
      </c>
      <c r="D4910" s="4"/>
      <c r="E4910" s="4"/>
    </row>
    <row r="4911" spans="1:5" x14ac:dyDescent="0.3">
      <c r="A4911" s="9">
        <v>4903</v>
      </c>
      <c r="B4911" s="10">
        <f t="shared" ca="1" si="76"/>
        <v>7.9604906101724965E-2</v>
      </c>
      <c r="C4911" s="10">
        <f ca="1">NPV(B4911,Project_FCF!C18:J18)+Project_FCF!B18</f>
        <v>941.67594282311779</v>
      </c>
      <c r="D4911" s="4"/>
      <c r="E4911" s="4"/>
    </row>
    <row r="4912" spans="1:5" x14ac:dyDescent="0.3">
      <c r="A4912" s="9">
        <v>4904</v>
      </c>
      <c r="B4912" s="10">
        <f t="shared" ca="1" si="76"/>
        <v>6.9083892403174946E-2</v>
      </c>
      <c r="C4912" s="10">
        <f ca="1">NPV(B4912,Project_FCF!C18:J18)+Project_FCF!B18</f>
        <v>1034.3280431690087</v>
      </c>
      <c r="D4912" s="4"/>
      <c r="E4912" s="4"/>
    </row>
    <row r="4913" spans="1:5" x14ac:dyDescent="0.3">
      <c r="A4913" s="9">
        <v>4905</v>
      </c>
      <c r="B4913" s="10">
        <f t="shared" ca="1" si="76"/>
        <v>8.4110372642226428E-2</v>
      </c>
      <c r="C4913" s="10">
        <f ca="1">NPV(B4913,Project_FCF!C18:J18)+Project_FCF!B18</f>
        <v>904.31226207484724</v>
      </c>
      <c r="D4913" s="4"/>
      <c r="E4913" s="4"/>
    </row>
    <row r="4914" spans="1:5" x14ac:dyDescent="0.3">
      <c r="A4914" s="9">
        <v>4906</v>
      </c>
      <c r="B4914" s="10">
        <f t="shared" ca="1" si="76"/>
        <v>7.7767180057010346E-2</v>
      </c>
      <c r="C4914" s="10">
        <f ca="1">NPV(B4914,Project_FCF!C18:J18)+Project_FCF!B18</f>
        <v>957.30400658616554</v>
      </c>
      <c r="D4914" s="4"/>
      <c r="E4914" s="4"/>
    </row>
    <row r="4915" spans="1:5" x14ac:dyDescent="0.3">
      <c r="A4915" s="9">
        <v>4907</v>
      </c>
      <c r="B4915" s="10">
        <f t="shared" ca="1" si="76"/>
        <v>9.696318521679903E-2</v>
      </c>
      <c r="C4915" s="10">
        <f ca="1">NPV(B4915,Project_FCF!C18:J18)+Project_FCF!B18</f>
        <v>804.73597782467618</v>
      </c>
      <c r="D4915" s="4"/>
      <c r="E4915" s="4"/>
    </row>
    <row r="4916" spans="1:5" x14ac:dyDescent="0.3">
      <c r="A4916" s="9">
        <v>4908</v>
      </c>
      <c r="B4916" s="10">
        <f t="shared" ca="1" si="76"/>
        <v>6.4623626179849819E-2</v>
      </c>
      <c r="C4916" s="10">
        <f ca="1">NPV(B4916,Project_FCF!C18:J18)+Project_FCF!B18</f>
        <v>1076.0286943191629</v>
      </c>
      <c r="D4916" s="4"/>
      <c r="E4916" s="4"/>
    </row>
    <row r="4917" spans="1:5" x14ac:dyDescent="0.3">
      <c r="A4917" s="9">
        <v>4909</v>
      </c>
      <c r="B4917" s="10">
        <f t="shared" ca="1" si="76"/>
        <v>9.0317970123567529E-2</v>
      </c>
      <c r="C4917" s="10">
        <f ca="1">NPV(B4917,Project_FCF!C18:J18)+Project_FCF!B18</f>
        <v>854.9640596592983</v>
      </c>
      <c r="D4917" s="4"/>
      <c r="E4917" s="4"/>
    </row>
    <row r="4918" spans="1:5" x14ac:dyDescent="0.3">
      <c r="A4918" s="9">
        <v>4910</v>
      </c>
      <c r="B4918" s="10">
        <f t="shared" ca="1" si="76"/>
        <v>0.10044418222402778</v>
      </c>
      <c r="C4918" s="10">
        <f ca="1">NPV(B4918,Project_FCF!C18:J18)+Project_FCF!B18</f>
        <v>779.44646499361829</v>
      </c>
      <c r="D4918" s="4"/>
      <c r="E4918" s="4"/>
    </row>
    <row r="4919" spans="1:5" x14ac:dyDescent="0.3">
      <c r="A4919" s="9">
        <v>4911</v>
      </c>
      <c r="B4919" s="10">
        <f t="shared" ca="1" si="76"/>
        <v>9.2533767201731024E-2</v>
      </c>
      <c r="C4919" s="10">
        <f ca="1">NPV(B4919,Project_FCF!C18:J18)+Project_FCF!B18</f>
        <v>837.92467585811346</v>
      </c>
      <c r="D4919" s="4"/>
      <c r="E4919" s="4"/>
    </row>
    <row r="4920" spans="1:5" x14ac:dyDescent="0.3">
      <c r="A4920" s="9">
        <v>4912</v>
      </c>
      <c r="B4920" s="10">
        <f t="shared" ca="1" si="76"/>
        <v>0.10037070071932738</v>
      </c>
      <c r="C4920" s="10">
        <f ca="1">NPV(B4920,Project_FCF!C18:J18)+Project_FCF!B18</f>
        <v>779.97326571542112</v>
      </c>
      <c r="D4920" s="4"/>
      <c r="E4920" s="4"/>
    </row>
    <row r="4921" spans="1:5" x14ac:dyDescent="0.3">
      <c r="A4921" s="9">
        <v>4913</v>
      </c>
      <c r="B4921" s="10">
        <f t="shared" ca="1" si="76"/>
        <v>8.7113331413259207E-2</v>
      </c>
      <c r="C4921" s="10">
        <f ca="1">NPV(B4921,Project_FCF!C18:J18)+Project_FCF!B18</f>
        <v>880.13829851414221</v>
      </c>
      <c r="D4921" s="4"/>
      <c r="E4921" s="4"/>
    </row>
    <row r="4922" spans="1:5" x14ac:dyDescent="0.3">
      <c r="A4922" s="9">
        <v>4914</v>
      </c>
      <c r="B4922" s="10">
        <f t="shared" ca="1" si="76"/>
        <v>6.7268772143924307E-2</v>
      </c>
      <c r="C4922" s="10">
        <f ca="1">NPV(B4922,Project_FCF!C18:J18)+Project_FCF!B18</f>
        <v>1051.1176642757098</v>
      </c>
      <c r="D4922" s="4"/>
      <c r="E4922" s="4"/>
    </row>
    <row r="4923" spans="1:5" x14ac:dyDescent="0.3">
      <c r="A4923" s="9">
        <v>4915</v>
      </c>
      <c r="B4923" s="10">
        <f t="shared" ca="1" si="76"/>
        <v>8.3128479042398701E-2</v>
      </c>
      <c r="C4923" s="10">
        <f ca="1">NPV(B4923,Project_FCF!C18:J18)+Project_FCF!B18</f>
        <v>912.34180007751661</v>
      </c>
      <c r="D4923" s="4"/>
      <c r="E4923" s="4"/>
    </row>
    <row r="4924" spans="1:5" x14ac:dyDescent="0.3">
      <c r="A4924" s="9">
        <v>4916</v>
      </c>
      <c r="B4924" s="10">
        <f t="shared" ca="1" si="76"/>
        <v>6.62173847098812E-2</v>
      </c>
      <c r="C4924" s="10">
        <f ca="1">NPV(B4924,Project_FCF!C18:J18)+Project_FCF!B18</f>
        <v>1060.9556700696296</v>
      </c>
      <c r="D4924" s="4"/>
      <c r="E4924" s="4"/>
    </row>
    <row r="4925" spans="1:5" x14ac:dyDescent="0.3">
      <c r="A4925" s="9">
        <v>4917</v>
      </c>
      <c r="B4925" s="10">
        <f t="shared" ca="1" si="76"/>
        <v>9.7379515343937462E-2</v>
      </c>
      <c r="C4925" s="10">
        <f ca="1">NPV(B4925,Project_FCF!C18:J18)+Project_FCF!B18</f>
        <v>801.67511901125795</v>
      </c>
      <c r="D4925" s="4"/>
      <c r="E4925" s="4"/>
    </row>
    <row r="4926" spans="1:5" x14ac:dyDescent="0.3">
      <c r="A4926" s="9">
        <v>4918</v>
      </c>
      <c r="B4926" s="10">
        <f t="shared" ca="1" si="76"/>
        <v>6.5649395653846657E-2</v>
      </c>
      <c r="C4926" s="10">
        <f ca="1">NPV(B4926,Project_FCF!C18:J18)+Project_FCF!B18</f>
        <v>1066.3052287349508</v>
      </c>
      <c r="D4926" s="4"/>
      <c r="E4926" s="4"/>
    </row>
    <row r="4927" spans="1:5" x14ac:dyDescent="0.3">
      <c r="A4927" s="9">
        <v>4919</v>
      </c>
      <c r="B4927" s="10">
        <f t="shared" ca="1" si="76"/>
        <v>9.2960740746201392E-2</v>
      </c>
      <c r="C4927" s="10">
        <f ca="1">NPV(B4927,Project_FCF!C18:J18)+Project_FCF!B18</f>
        <v>834.67514611615388</v>
      </c>
      <c r="D4927" s="4"/>
      <c r="E4927" s="4"/>
    </row>
    <row r="4928" spans="1:5" x14ac:dyDescent="0.3">
      <c r="A4928" s="9">
        <v>4920</v>
      </c>
      <c r="B4928" s="10">
        <f t="shared" ca="1" si="76"/>
        <v>9.8197910716078876E-2</v>
      </c>
      <c r="C4928" s="10">
        <f ca="1">NPV(B4928,Project_FCF!C18:J18)+Project_FCF!B18</f>
        <v>795.68714639591872</v>
      </c>
      <c r="D4928" s="4"/>
      <c r="E4928" s="4"/>
    </row>
    <row r="4929" spans="1:5" x14ac:dyDescent="0.3">
      <c r="A4929" s="9">
        <v>4921</v>
      </c>
      <c r="B4929" s="10">
        <f t="shared" ca="1" si="76"/>
        <v>9.4448920555698618E-2</v>
      </c>
      <c r="C4929" s="10">
        <f ca="1">NPV(B4929,Project_FCF!C18:J18)+Project_FCF!B18</f>
        <v>823.43371282273188</v>
      </c>
      <c r="D4929" s="4"/>
      <c r="E4929" s="4"/>
    </row>
    <row r="4930" spans="1:5" x14ac:dyDescent="0.3">
      <c r="A4930" s="9">
        <v>4922</v>
      </c>
      <c r="B4930" s="10">
        <f t="shared" ca="1" si="76"/>
        <v>9.0939763296791251E-2</v>
      </c>
      <c r="C4930" s="10">
        <f ca="1">NPV(B4930,Project_FCF!C18:J18)+Project_FCF!B18</f>
        <v>850.15256013240833</v>
      </c>
      <c r="D4930" s="4"/>
      <c r="E4930" s="4"/>
    </row>
    <row r="4931" spans="1:5" x14ac:dyDescent="0.3">
      <c r="A4931" s="9">
        <v>4923</v>
      </c>
      <c r="B4931" s="10">
        <f t="shared" ca="1" si="76"/>
        <v>0.10061007352766818</v>
      </c>
      <c r="C4931" s="10">
        <f ca="1">NPV(B4931,Project_FCF!C18:J18)+Project_FCF!B18</f>
        <v>778.25826868108152</v>
      </c>
      <c r="D4931" s="4"/>
      <c r="E4931" s="4"/>
    </row>
    <row r="4932" spans="1:5" x14ac:dyDescent="0.3">
      <c r="A4932" s="9">
        <v>4924</v>
      </c>
      <c r="B4932" s="10">
        <f t="shared" ca="1" si="76"/>
        <v>8.0023644687130413E-2</v>
      </c>
      <c r="C4932" s="10">
        <f ca="1">NPV(B4932,Project_FCF!C18:J18)+Project_FCF!B18</f>
        <v>938.14680598435348</v>
      </c>
      <c r="D4932" s="4"/>
      <c r="E4932" s="4"/>
    </row>
    <row r="4933" spans="1:5" x14ac:dyDescent="0.3">
      <c r="A4933" s="9">
        <v>4925</v>
      </c>
      <c r="B4933" s="10">
        <f t="shared" ca="1" si="76"/>
        <v>8.2497305863839382E-2</v>
      </c>
      <c r="C4933" s="10">
        <f ca="1">NPV(B4933,Project_FCF!C18:J18)+Project_FCF!B18</f>
        <v>917.5363287937339</v>
      </c>
      <c r="D4933" s="4"/>
      <c r="E4933" s="4"/>
    </row>
    <row r="4934" spans="1:5" x14ac:dyDescent="0.3">
      <c r="A4934" s="9">
        <v>4926</v>
      </c>
      <c r="B4934" s="10">
        <f t="shared" ca="1" si="76"/>
        <v>6.9030438456976359E-2</v>
      </c>
      <c r="C4934" s="10">
        <f ca="1">NPV(B4934,Project_FCF!C18:J18)+Project_FCF!B18</f>
        <v>1034.8189903119401</v>
      </c>
      <c r="D4934" s="4"/>
      <c r="E4934" s="4"/>
    </row>
    <row r="4935" spans="1:5" x14ac:dyDescent="0.3">
      <c r="A4935" s="9">
        <v>4927</v>
      </c>
      <c r="B4935" s="10">
        <f t="shared" ca="1" si="76"/>
        <v>9.4199053968678628E-2</v>
      </c>
      <c r="C4935" s="10">
        <f ca="1">NPV(B4935,Project_FCF!C18:J18)+Project_FCF!B18</f>
        <v>825.31202756414541</v>
      </c>
      <c r="D4935" s="4"/>
      <c r="E4935" s="4"/>
    </row>
    <row r="4936" spans="1:5" x14ac:dyDescent="0.3">
      <c r="A4936" s="9">
        <v>4928</v>
      </c>
      <c r="B4936" s="10">
        <f t="shared" ca="1" si="76"/>
        <v>8.7756525331960239E-2</v>
      </c>
      <c r="C4936" s="10">
        <f ca="1">NPV(B4936,Project_FCF!C18:J18)+Project_FCF!B18</f>
        <v>875.03459336171613</v>
      </c>
      <c r="D4936" s="4"/>
      <c r="E4936" s="4"/>
    </row>
    <row r="4937" spans="1:5" x14ac:dyDescent="0.3">
      <c r="A4937" s="9">
        <v>4929</v>
      </c>
      <c r="B4937" s="10">
        <f t="shared" ref="B4937:B5000" ca="1" si="77">$B$4+RAND()*($B$5-$B$4)</f>
        <v>8.4825513758948146E-2</v>
      </c>
      <c r="C4937" s="10">
        <f ca="1">NPV(B4937,Project_FCF!C18:J18)+Project_FCF!B18</f>
        <v>898.50323512088767</v>
      </c>
      <c r="D4937" s="4"/>
      <c r="E4937" s="4"/>
    </row>
    <row r="4938" spans="1:5" x14ac:dyDescent="0.3">
      <c r="A4938" s="9">
        <v>4930</v>
      </c>
      <c r="B4938" s="10">
        <f t="shared" ca="1" si="77"/>
        <v>7.8334965629274916E-2</v>
      </c>
      <c r="C4938" s="10">
        <f ca="1">NPV(B4938,Project_FCF!C18:J18)+Project_FCF!B18</f>
        <v>952.45113456250579</v>
      </c>
      <c r="D4938" s="4"/>
      <c r="E4938" s="4"/>
    </row>
    <row r="4939" spans="1:5" x14ac:dyDescent="0.3">
      <c r="A4939" s="9">
        <v>4931</v>
      </c>
      <c r="B4939" s="10">
        <f t="shared" ca="1" si="77"/>
        <v>6.6251686806437241E-2</v>
      </c>
      <c r="C4939" s="10">
        <f ca="1">NPV(B4939,Project_FCF!C18:J18)+Project_FCF!B18</f>
        <v>1060.6333824589287</v>
      </c>
      <c r="D4939" s="4"/>
      <c r="E4939" s="4"/>
    </row>
    <row r="4940" spans="1:5" x14ac:dyDescent="0.3">
      <c r="A4940" s="9">
        <v>4932</v>
      </c>
      <c r="B4940" s="10">
        <f t="shared" ca="1" si="77"/>
        <v>7.7690321900754727E-2</v>
      </c>
      <c r="C4940" s="10">
        <f ca="1">NPV(B4940,Project_FCF!C18:J18)+Project_FCF!B18</f>
        <v>957.96260147673001</v>
      </c>
      <c r="D4940" s="4"/>
      <c r="E4940" s="4"/>
    </row>
    <row r="4941" spans="1:5" x14ac:dyDescent="0.3">
      <c r="A4941" s="9">
        <v>4933</v>
      </c>
      <c r="B4941" s="10">
        <f t="shared" ca="1" si="77"/>
        <v>7.0861813208907262E-2</v>
      </c>
      <c r="C4941" s="10">
        <f ca="1">NPV(B4941,Project_FCF!C18:J18)+Project_FCF!B18</f>
        <v>1018.1182740177535</v>
      </c>
      <c r="D4941" s="4"/>
      <c r="E4941" s="4"/>
    </row>
    <row r="4942" spans="1:5" x14ac:dyDescent="0.3">
      <c r="A4942" s="9">
        <v>4934</v>
      </c>
      <c r="B4942" s="10">
        <f t="shared" ca="1" si="77"/>
        <v>0.10063501924816419</v>
      </c>
      <c r="C4942" s="10">
        <f ca="1">NPV(B4942,Project_FCF!C18:J18)+Project_FCF!B18</f>
        <v>778.07972736271995</v>
      </c>
      <c r="D4942" s="4"/>
      <c r="E4942" s="4"/>
    </row>
    <row r="4943" spans="1:5" x14ac:dyDescent="0.3">
      <c r="A4943" s="9">
        <v>4935</v>
      </c>
      <c r="B4943" s="10">
        <f t="shared" ca="1" si="77"/>
        <v>8.6305867983452592E-2</v>
      </c>
      <c r="C4943" s="10">
        <f ca="1">NPV(B4943,Project_FCF!C18:J18)+Project_FCF!B18</f>
        <v>886.58220894157171</v>
      </c>
      <c r="D4943" s="4"/>
      <c r="E4943" s="4"/>
    </row>
    <row r="4944" spans="1:5" x14ac:dyDescent="0.3">
      <c r="A4944" s="9">
        <v>4936</v>
      </c>
      <c r="B4944" s="10">
        <f t="shared" ca="1" si="77"/>
        <v>9.3896102615090959E-2</v>
      </c>
      <c r="C4944" s="10">
        <f ca="1">NPV(B4944,Project_FCF!C18:J18)+Project_FCF!B18</f>
        <v>827.59432347242523</v>
      </c>
      <c r="D4944" s="4"/>
      <c r="E4944" s="4"/>
    </row>
    <row r="4945" spans="1:5" x14ac:dyDescent="0.3">
      <c r="A4945" s="9">
        <v>4937</v>
      </c>
      <c r="B4945" s="10">
        <f t="shared" ca="1" si="77"/>
        <v>9.2756538035970518E-2</v>
      </c>
      <c r="C4945" s="10">
        <f ca="1">NPV(B4945,Project_FCF!C18:J18)+Project_FCF!B18</f>
        <v>836.22789770152781</v>
      </c>
      <c r="D4945" s="4"/>
      <c r="E4945" s="4"/>
    </row>
    <row r="4946" spans="1:5" x14ac:dyDescent="0.3">
      <c r="A4946" s="9">
        <v>4938</v>
      </c>
      <c r="B4946" s="10">
        <f t="shared" ca="1" si="77"/>
        <v>6.8754419541697281E-2</v>
      </c>
      <c r="C4946" s="10">
        <f ca="1">NPV(B4946,Project_FCF!C18:J18)+Project_FCF!B18</f>
        <v>1037.3574425334116</v>
      </c>
      <c r="D4946" s="4"/>
      <c r="E4946" s="4"/>
    </row>
    <row r="4947" spans="1:5" x14ac:dyDescent="0.3">
      <c r="A4947" s="9">
        <v>4939</v>
      </c>
      <c r="B4947" s="10">
        <f t="shared" ca="1" si="77"/>
        <v>8.4305838604777139E-2</v>
      </c>
      <c r="C4947" s="10">
        <f ca="1">NPV(B4947,Project_FCF!C18:J18)+Project_FCF!B18</f>
        <v>902.72124733700502</v>
      </c>
      <c r="D4947" s="4"/>
      <c r="E4947" s="4"/>
    </row>
    <row r="4948" spans="1:5" x14ac:dyDescent="0.3">
      <c r="A4948" s="9">
        <v>4940</v>
      </c>
      <c r="B4948" s="10">
        <f t="shared" ca="1" si="77"/>
        <v>8.8541115836846235E-2</v>
      </c>
      <c r="C4948" s="10">
        <f ca="1">NPV(B4948,Project_FCF!C18:J18)+Project_FCF!B18</f>
        <v>868.84381402347321</v>
      </c>
      <c r="D4948" s="4"/>
      <c r="E4948" s="4"/>
    </row>
    <row r="4949" spans="1:5" x14ac:dyDescent="0.3">
      <c r="A4949" s="9">
        <v>4941</v>
      </c>
      <c r="B4949" s="10">
        <f t="shared" ca="1" si="77"/>
        <v>7.9534022902304796E-2</v>
      </c>
      <c r="C4949" s="10">
        <f ca="1">NPV(B4949,Project_FCF!C18:J18)+Project_FCF!B18</f>
        <v>942.27451055630218</v>
      </c>
      <c r="D4949" s="4"/>
      <c r="E4949" s="4"/>
    </row>
    <row r="4950" spans="1:5" x14ac:dyDescent="0.3">
      <c r="A4950" s="9">
        <v>4942</v>
      </c>
      <c r="B4950" s="10">
        <f t="shared" ca="1" si="77"/>
        <v>9.4125347805193521E-2</v>
      </c>
      <c r="C4950" s="10">
        <f ca="1">NPV(B4950,Project_FCF!C18:J18)+Project_FCF!B18</f>
        <v>825.86679811215595</v>
      </c>
      <c r="D4950" s="4"/>
      <c r="E4950" s="4"/>
    </row>
    <row r="4951" spans="1:5" x14ac:dyDescent="0.3">
      <c r="A4951" s="9">
        <v>4943</v>
      </c>
      <c r="B4951" s="10">
        <f t="shared" ca="1" si="77"/>
        <v>6.5408666874943469E-2</v>
      </c>
      <c r="C4951" s="10">
        <f ca="1">NPV(B4951,Project_FCF!C18:J18)+Project_FCF!B18</f>
        <v>1068.57991893544</v>
      </c>
      <c r="D4951" s="4"/>
      <c r="E4951" s="4"/>
    </row>
    <row r="4952" spans="1:5" x14ac:dyDescent="0.3">
      <c r="A4952" s="9">
        <v>4944</v>
      </c>
      <c r="B4952" s="10">
        <f t="shared" ca="1" si="77"/>
        <v>9.8920900494206432E-2</v>
      </c>
      <c r="C4952" s="10">
        <f ca="1">NPV(B4952,Project_FCF!C18:J18)+Project_FCF!B18</f>
        <v>790.42888474475717</v>
      </c>
      <c r="D4952" s="4"/>
      <c r="E4952" s="4"/>
    </row>
    <row r="4953" spans="1:5" x14ac:dyDescent="0.3">
      <c r="A4953" s="9">
        <v>4945</v>
      </c>
      <c r="B4953" s="10">
        <f t="shared" ca="1" si="77"/>
        <v>7.109282064606133E-2</v>
      </c>
      <c r="C4953" s="10">
        <f ca="1">NPV(B4953,Project_FCF!C18:J18)+Project_FCF!B18</f>
        <v>1016.0290477943004</v>
      </c>
      <c r="D4953" s="4"/>
      <c r="E4953" s="4"/>
    </row>
    <row r="4954" spans="1:5" x14ac:dyDescent="0.3">
      <c r="A4954" s="9">
        <v>4946</v>
      </c>
      <c r="B4954" s="10">
        <f t="shared" ca="1" si="77"/>
        <v>7.4891881244976866E-2</v>
      </c>
      <c r="C4954" s="10">
        <f ca="1">NPV(B4954,Project_FCF!C18:J18)+Project_FCF!B18</f>
        <v>982.2191886179553</v>
      </c>
      <c r="D4954" s="4"/>
      <c r="E4954" s="4"/>
    </row>
    <row r="4955" spans="1:5" x14ac:dyDescent="0.3">
      <c r="A4955" s="9">
        <v>4947</v>
      </c>
      <c r="B4955" s="10">
        <f t="shared" ca="1" si="77"/>
        <v>8.6450503449950325E-2</v>
      </c>
      <c r="C4955" s="10">
        <f ca="1">NPV(B4955,Project_FCF!C18:J18)+Project_FCF!B18</f>
        <v>885.42493639229087</v>
      </c>
      <c r="D4955" s="4"/>
      <c r="E4955" s="4"/>
    </row>
    <row r="4956" spans="1:5" x14ac:dyDescent="0.3">
      <c r="A4956" s="9">
        <v>4948</v>
      </c>
      <c r="B4956" s="10">
        <f t="shared" ca="1" si="77"/>
        <v>7.3173300153910381E-2</v>
      </c>
      <c r="C4956" s="10">
        <f ca="1">NPV(B4956,Project_FCF!C18:J18)+Project_FCF!B18</f>
        <v>997.38649855031736</v>
      </c>
      <c r="D4956" s="4"/>
      <c r="E4956" s="4"/>
    </row>
    <row r="4957" spans="1:5" x14ac:dyDescent="0.3">
      <c r="A4957" s="9">
        <v>4949</v>
      </c>
      <c r="B4957" s="10">
        <f t="shared" ca="1" si="77"/>
        <v>9.9974028441091572E-2</v>
      </c>
      <c r="C4957" s="10">
        <f ca="1">NPV(B4957,Project_FCF!C18:J18)+Project_FCF!B18</f>
        <v>782.82227296974293</v>
      </c>
      <c r="D4957" s="4"/>
      <c r="E4957" s="4"/>
    </row>
    <row r="4958" spans="1:5" x14ac:dyDescent="0.3">
      <c r="A4958" s="9">
        <v>4950</v>
      </c>
      <c r="B4958" s="10">
        <f t="shared" ca="1" si="77"/>
        <v>0.10112341721349444</v>
      </c>
      <c r="C4958" s="10">
        <f ca="1">NPV(B4958,Project_FCF!C18:J18)+Project_FCF!B18</f>
        <v>774.59112719242944</v>
      </c>
      <c r="D4958" s="4"/>
      <c r="E4958" s="4"/>
    </row>
    <row r="4959" spans="1:5" x14ac:dyDescent="0.3">
      <c r="A4959" s="9">
        <v>4951</v>
      </c>
      <c r="B4959" s="10">
        <f t="shared" ca="1" si="77"/>
        <v>7.8200186712418615E-2</v>
      </c>
      <c r="C4959" s="10">
        <f ca="1">NPV(B4959,Project_FCF!C18:J18)+Project_FCF!B18</f>
        <v>953.6011079285006</v>
      </c>
      <c r="D4959" s="4"/>
      <c r="E4959" s="4"/>
    </row>
    <row r="4960" spans="1:5" x14ac:dyDescent="0.3">
      <c r="A4960" s="9">
        <v>4952</v>
      </c>
      <c r="B4960" s="10">
        <f t="shared" ca="1" si="77"/>
        <v>9.6650368668807801E-2</v>
      </c>
      <c r="C4960" s="10">
        <f ca="1">NPV(B4960,Project_FCF!C18:J18)+Project_FCF!B18</f>
        <v>807.0423512310274</v>
      </c>
      <c r="D4960" s="4"/>
      <c r="E4960" s="4"/>
    </row>
    <row r="4961" spans="1:5" x14ac:dyDescent="0.3">
      <c r="A4961" s="9">
        <v>4953</v>
      </c>
      <c r="B4961" s="10">
        <f t="shared" ca="1" si="77"/>
        <v>7.0932697651008819E-2</v>
      </c>
      <c r="C4961" s="10">
        <f ca="1">NPV(B4961,Project_FCF!C18:J18)+Project_FCF!B18</f>
        <v>1017.4767849488819</v>
      </c>
      <c r="D4961" s="4"/>
      <c r="E4961" s="4"/>
    </row>
    <row r="4962" spans="1:5" x14ac:dyDescent="0.3">
      <c r="A4962" s="9">
        <v>4954</v>
      </c>
      <c r="B4962" s="10">
        <f t="shared" ca="1" si="77"/>
        <v>7.1822649722759632E-2</v>
      </c>
      <c r="C4962" s="10">
        <f ca="1">NPV(B4962,Project_FCF!C18:J18)+Project_FCF!B18</f>
        <v>1009.4538580809967</v>
      </c>
      <c r="D4962" s="4"/>
      <c r="E4962" s="4"/>
    </row>
    <row r="4963" spans="1:5" x14ac:dyDescent="0.3">
      <c r="A4963" s="9">
        <v>4955</v>
      </c>
      <c r="B4963" s="10">
        <f t="shared" ca="1" si="77"/>
        <v>8.1490771535158088E-2</v>
      </c>
      <c r="C4963" s="10">
        <f ca="1">NPV(B4963,Project_FCF!C18:J18)+Project_FCF!B18</f>
        <v>925.87398632993245</v>
      </c>
      <c r="D4963" s="4"/>
      <c r="E4963" s="4"/>
    </row>
    <row r="4964" spans="1:5" x14ac:dyDescent="0.3">
      <c r="A4964" s="9">
        <v>4956</v>
      </c>
      <c r="B4964" s="10">
        <f t="shared" ca="1" si="77"/>
        <v>7.9433195879828652E-2</v>
      </c>
      <c r="C4964" s="10">
        <f ca="1">NPV(B4964,Project_FCF!C18:J18)+Project_FCF!B18</f>
        <v>943.1265176805573</v>
      </c>
      <c r="D4964" s="4"/>
      <c r="E4964" s="4"/>
    </row>
    <row r="4965" spans="1:5" x14ac:dyDescent="0.3">
      <c r="A4965" s="9">
        <v>4957</v>
      </c>
      <c r="B4965" s="10">
        <f t="shared" ca="1" si="77"/>
        <v>6.8615012586367014E-2</v>
      </c>
      <c r="C4965" s="10">
        <f ca="1">NPV(B4965,Project_FCF!C18:J18)+Project_FCF!B18</f>
        <v>1038.6416635663736</v>
      </c>
      <c r="D4965" s="4"/>
      <c r="E4965" s="4"/>
    </row>
    <row r="4966" spans="1:5" x14ac:dyDescent="0.3">
      <c r="A4966" s="9">
        <v>4958</v>
      </c>
      <c r="B4966" s="10">
        <f t="shared" ca="1" si="77"/>
        <v>9.7147183797058514E-2</v>
      </c>
      <c r="C4966" s="10">
        <f ca="1">NPV(B4966,Project_FCF!C18:J18)+Project_FCF!B18</f>
        <v>803.38199526613198</v>
      </c>
      <c r="D4966" s="4"/>
      <c r="E4966" s="4"/>
    </row>
    <row r="4967" spans="1:5" x14ac:dyDescent="0.3">
      <c r="A4967" s="9">
        <v>4959</v>
      </c>
      <c r="B4967" s="10">
        <f t="shared" ca="1" si="77"/>
        <v>0.10035983110429542</v>
      </c>
      <c r="C4967" s="10">
        <f ca="1">NPV(B4967,Project_FCF!C18:J18)+Project_FCF!B18</f>
        <v>780.05121726818015</v>
      </c>
      <c r="D4967" s="4"/>
      <c r="E4967" s="4"/>
    </row>
    <row r="4968" spans="1:5" x14ac:dyDescent="0.3">
      <c r="A4968" s="9">
        <v>4960</v>
      </c>
      <c r="B4968" s="10">
        <f t="shared" ca="1" si="77"/>
        <v>7.1644580387702897E-2</v>
      </c>
      <c r="C4968" s="10">
        <f ca="1">NPV(B4968,Project_FCF!C18:J18)+Project_FCF!B18</f>
        <v>1011.0545777110985</v>
      </c>
      <c r="D4968" s="4"/>
      <c r="E4968" s="4"/>
    </row>
    <row r="4969" spans="1:5" x14ac:dyDescent="0.3">
      <c r="A4969" s="9">
        <v>4961</v>
      </c>
      <c r="B4969" s="10">
        <f t="shared" ca="1" si="77"/>
        <v>9.5490715110375129E-2</v>
      </c>
      <c r="C4969" s="10">
        <f ca="1">NPV(B4969,Project_FCF!C18:J18)+Project_FCF!B18</f>
        <v>815.64167494506228</v>
      </c>
      <c r="D4969" s="4"/>
      <c r="E4969" s="4"/>
    </row>
    <row r="4970" spans="1:5" x14ac:dyDescent="0.3">
      <c r="A4970" s="9">
        <v>4962</v>
      </c>
      <c r="B4970" s="10">
        <f t="shared" ca="1" si="77"/>
        <v>8.9295039943978791E-2</v>
      </c>
      <c r="C4970" s="10">
        <f ca="1">NPV(B4970,Project_FCF!C18:J18)+Project_FCF!B18</f>
        <v>862.93090800669529</v>
      </c>
      <c r="D4970" s="4"/>
      <c r="E4970" s="4"/>
    </row>
    <row r="4971" spans="1:5" x14ac:dyDescent="0.3">
      <c r="A4971" s="9">
        <v>4963</v>
      </c>
      <c r="B4971" s="10">
        <f t="shared" ca="1" si="77"/>
        <v>6.7445149217693068E-2</v>
      </c>
      <c r="C4971" s="10">
        <f ca="1">NPV(B4971,Project_FCF!C18:J18)+Project_FCF!B18</f>
        <v>1049.475421173013</v>
      </c>
      <c r="D4971" s="4"/>
      <c r="E4971" s="4"/>
    </row>
    <row r="4972" spans="1:5" x14ac:dyDescent="0.3">
      <c r="A4972" s="9">
        <v>4964</v>
      </c>
      <c r="B4972" s="10">
        <f t="shared" ca="1" si="77"/>
        <v>6.5117084777056605E-2</v>
      </c>
      <c r="C4972" s="10">
        <f ca="1">NPV(B4972,Project_FCF!C18:J18)+Project_FCF!B18</f>
        <v>1071.3410556706965</v>
      </c>
      <c r="D4972" s="4"/>
      <c r="E4972" s="4"/>
    </row>
    <row r="4973" spans="1:5" x14ac:dyDescent="0.3">
      <c r="A4973" s="9">
        <v>4965</v>
      </c>
      <c r="B4973" s="10">
        <f t="shared" ca="1" si="77"/>
        <v>7.9419265751488471E-2</v>
      </c>
      <c r="C4973" s="10">
        <f ca="1">NPV(B4973,Project_FCF!C18:J18)+Project_FCF!B18</f>
        <v>943.244283543449</v>
      </c>
      <c r="D4973" s="4"/>
      <c r="E4973" s="4"/>
    </row>
    <row r="4974" spans="1:5" x14ac:dyDescent="0.3">
      <c r="A4974" s="9">
        <v>4966</v>
      </c>
      <c r="B4974" s="10">
        <f t="shared" ca="1" si="77"/>
        <v>0.1007155129029557</v>
      </c>
      <c r="C4974" s="10">
        <f ca="1">NPV(B4974,Project_FCF!C18:J18)+Project_FCF!B18</f>
        <v>777.50385462123813</v>
      </c>
      <c r="D4974" s="4"/>
      <c r="E4974" s="4"/>
    </row>
    <row r="4975" spans="1:5" x14ac:dyDescent="0.3">
      <c r="A4975" s="9">
        <v>4967</v>
      </c>
      <c r="B4975" s="10">
        <f t="shared" ca="1" si="77"/>
        <v>6.8547619888685851E-2</v>
      </c>
      <c r="C4975" s="10">
        <f ca="1">NPV(B4975,Project_FCF!C18:J18)+Project_FCF!B18</f>
        <v>1039.2630034848059</v>
      </c>
      <c r="D4975" s="4"/>
      <c r="E4975" s="4"/>
    </row>
    <row r="4976" spans="1:5" x14ac:dyDescent="0.3">
      <c r="A4976" s="9">
        <v>4968</v>
      </c>
      <c r="B4976" s="10">
        <f t="shared" ca="1" si="77"/>
        <v>8.0481489508489573E-2</v>
      </c>
      <c r="C4976" s="10">
        <f ca="1">NPV(B4976,Project_FCF!C18:J18)+Project_FCF!B18</f>
        <v>934.30148897611389</v>
      </c>
      <c r="D4976" s="4"/>
      <c r="E4976" s="4"/>
    </row>
    <row r="4977" spans="1:5" x14ac:dyDescent="0.3">
      <c r="A4977" s="9">
        <v>4969</v>
      </c>
      <c r="B4977" s="10">
        <f t="shared" ca="1" si="77"/>
        <v>0.10310249272673536</v>
      </c>
      <c r="C4977" s="10">
        <f ca="1">NPV(B4977,Project_FCF!C18:J18)+Project_FCF!B18</f>
        <v>760.58923179257499</v>
      </c>
      <c r="D4977" s="4"/>
      <c r="E4977" s="4"/>
    </row>
    <row r="4978" spans="1:5" x14ac:dyDescent="0.3">
      <c r="A4978" s="9">
        <v>4970</v>
      </c>
      <c r="B4978" s="10">
        <f t="shared" ca="1" si="77"/>
        <v>8.844476644379759E-2</v>
      </c>
      <c r="C4978" s="10">
        <f ca="1">NPV(B4978,Project_FCF!C18:J18)+Project_FCF!B18</f>
        <v>869.60199732136221</v>
      </c>
      <c r="D4978" s="4"/>
      <c r="E4978" s="4"/>
    </row>
    <row r="4979" spans="1:5" x14ac:dyDescent="0.3">
      <c r="A4979" s="9">
        <v>4971</v>
      </c>
      <c r="B4979" s="10">
        <f t="shared" ca="1" si="77"/>
        <v>7.2547076653231207E-2</v>
      </c>
      <c r="C4979" s="10">
        <f ca="1">NPV(B4979,Project_FCF!C18:J18)+Project_FCF!B18</f>
        <v>1002.9652549521961</v>
      </c>
      <c r="D4979" s="4"/>
      <c r="E4979" s="4"/>
    </row>
    <row r="4980" spans="1:5" x14ac:dyDescent="0.3">
      <c r="A4980" s="9">
        <v>4972</v>
      </c>
      <c r="B4980" s="10">
        <f t="shared" ca="1" si="77"/>
        <v>6.7467779898939831E-2</v>
      </c>
      <c r="C4980" s="10">
        <f ca="1">NPV(B4980,Project_FCF!C18:J18)+Project_FCF!B18</f>
        <v>1049.26487616852</v>
      </c>
      <c r="D4980" s="4"/>
      <c r="E4980" s="4"/>
    </row>
    <row r="4981" spans="1:5" x14ac:dyDescent="0.3">
      <c r="A4981" s="9">
        <v>4973</v>
      </c>
      <c r="B4981" s="10">
        <f t="shared" ca="1" si="77"/>
        <v>6.9961714979862227E-2</v>
      </c>
      <c r="C4981" s="10">
        <f ca="1">NPV(B4981,Project_FCF!C18:J18)+Project_FCF!B18</f>
        <v>1026.2957829553727</v>
      </c>
      <c r="D4981" s="4"/>
      <c r="E4981" s="4"/>
    </row>
    <row r="4982" spans="1:5" x14ac:dyDescent="0.3">
      <c r="A4982" s="9">
        <v>4974</v>
      </c>
      <c r="B4982" s="10">
        <f t="shared" ca="1" si="77"/>
        <v>6.6851196387791134E-2</v>
      </c>
      <c r="C4982" s="10">
        <f ca="1">NPV(B4982,Project_FCF!C18:J18)+Project_FCF!B18</f>
        <v>1055.0150152127608</v>
      </c>
      <c r="D4982" s="4"/>
      <c r="E4982" s="4"/>
    </row>
    <row r="4983" spans="1:5" x14ac:dyDescent="0.3">
      <c r="A4983" s="9">
        <v>4975</v>
      </c>
      <c r="B4983" s="10">
        <f t="shared" ca="1" si="77"/>
        <v>9.8017213573640308E-2</v>
      </c>
      <c r="C4983" s="10">
        <f ca="1">NPV(B4983,Project_FCF!C18:J18)+Project_FCF!B18</f>
        <v>797.00597556210664</v>
      </c>
      <c r="D4983" s="4"/>
      <c r="E4983" s="4"/>
    </row>
    <row r="4984" spans="1:5" x14ac:dyDescent="0.3">
      <c r="A4984" s="9">
        <v>4976</v>
      </c>
      <c r="B4984" s="10">
        <f t="shared" ca="1" si="77"/>
        <v>8.0634973546937411E-2</v>
      </c>
      <c r="C4984" s="10">
        <f ca="1">NPV(B4984,Project_FCF!C18:J18)+Project_FCF!B18</f>
        <v>933.01554225907626</v>
      </c>
      <c r="D4984" s="4"/>
      <c r="E4984" s="4"/>
    </row>
    <row r="4985" spans="1:5" x14ac:dyDescent="0.3">
      <c r="A4985" s="9">
        <v>4977</v>
      </c>
      <c r="B4985" s="10">
        <f t="shared" ca="1" si="77"/>
        <v>9.667536467914159E-2</v>
      </c>
      <c r="C4985" s="10">
        <f ca="1">NPV(B4985,Project_FCF!C18:J18)+Project_FCF!B18</f>
        <v>806.85785056965096</v>
      </c>
      <c r="D4985" s="4"/>
      <c r="E4985" s="4"/>
    </row>
    <row r="4986" spans="1:5" x14ac:dyDescent="0.3">
      <c r="A4986" s="9">
        <v>4978</v>
      </c>
      <c r="B4986" s="10">
        <f t="shared" ca="1" si="77"/>
        <v>7.5102986601834731E-2</v>
      </c>
      <c r="C4986" s="10">
        <f ca="1">NPV(B4986,Project_FCF!C18:J18)+Project_FCF!B18</f>
        <v>980.37040515420858</v>
      </c>
      <c r="D4986" s="4"/>
      <c r="E4986" s="4"/>
    </row>
    <row r="4987" spans="1:5" x14ac:dyDescent="0.3">
      <c r="A4987" s="9">
        <v>4979</v>
      </c>
      <c r="B4987" s="10">
        <f t="shared" ca="1" si="77"/>
        <v>7.3115824301714316E-2</v>
      </c>
      <c r="C4987" s="10">
        <f ca="1">NPV(B4987,Project_FCF!C18:J18)+Project_FCF!B18</f>
        <v>997.89736168537092</v>
      </c>
      <c r="D4987" s="4"/>
      <c r="E4987" s="4"/>
    </row>
    <row r="4988" spans="1:5" x14ac:dyDescent="0.3">
      <c r="A4988" s="9">
        <v>4980</v>
      </c>
      <c r="B4988" s="10">
        <f t="shared" ca="1" si="77"/>
        <v>6.9430535090747938E-2</v>
      </c>
      <c r="C4988" s="10">
        <f ca="1">NPV(B4988,Project_FCF!C18:J18)+Project_FCF!B18</f>
        <v>1031.149420734662</v>
      </c>
      <c r="D4988" s="4"/>
      <c r="E4988" s="4"/>
    </row>
    <row r="4989" spans="1:5" x14ac:dyDescent="0.3">
      <c r="A4989" s="9">
        <v>4981</v>
      </c>
      <c r="B4989" s="10">
        <f t="shared" ca="1" si="77"/>
        <v>9.0428219300520973E-2</v>
      </c>
      <c r="C4989" s="10">
        <f ca="1">NPV(B4989,Project_FCF!C18:J18)+Project_FCF!B18</f>
        <v>854.1092260398666</v>
      </c>
      <c r="D4989" s="4"/>
      <c r="E4989" s="4"/>
    </row>
    <row r="4990" spans="1:5" x14ac:dyDescent="0.3">
      <c r="A4990" s="9">
        <v>4982</v>
      </c>
      <c r="B4990" s="10">
        <f t="shared" ca="1" si="77"/>
        <v>7.2680582303183194E-2</v>
      </c>
      <c r="C4990" s="10">
        <f ca="1">NPV(B4990,Project_FCF!C18:J18)+Project_FCF!B18</f>
        <v>1001.7735638674421</v>
      </c>
      <c r="D4990" s="4"/>
      <c r="E4990" s="4"/>
    </row>
    <row r="4991" spans="1:5" x14ac:dyDescent="0.3">
      <c r="A4991" s="9">
        <v>4983</v>
      </c>
      <c r="B4991" s="10">
        <f t="shared" ca="1" si="77"/>
        <v>6.9442028675755163E-2</v>
      </c>
      <c r="C4991" s="10">
        <f ca="1">NPV(B4991,Project_FCF!C18:J18)+Project_FCF!B18</f>
        <v>1031.0441791472517</v>
      </c>
      <c r="D4991" s="4"/>
      <c r="E4991" s="4"/>
    </row>
    <row r="4992" spans="1:5" x14ac:dyDescent="0.3">
      <c r="A4992" s="9">
        <v>4984</v>
      </c>
      <c r="B4992" s="10">
        <f t="shared" ca="1" si="77"/>
        <v>9.5031201831170628E-2</v>
      </c>
      <c r="C4992" s="10">
        <f ca="1">NPV(B4992,Project_FCF!C18:J18)+Project_FCF!B18</f>
        <v>819.07075844904671</v>
      </c>
      <c r="D4992" s="4"/>
      <c r="E4992" s="4"/>
    </row>
    <row r="4993" spans="1:5" x14ac:dyDescent="0.3">
      <c r="A4993" s="9">
        <v>4985</v>
      </c>
      <c r="B4993" s="10">
        <f t="shared" ca="1" si="77"/>
        <v>9.0822243873972697E-2</v>
      </c>
      <c r="C4993" s="10">
        <f ca="1">NPV(B4993,Project_FCF!C18:J18)+Project_FCF!B18</f>
        <v>851.06013840815353</v>
      </c>
      <c r="D4993" s="4"/>
      <c r="E4993" s="4"/>
    </row>
    <row r="4994" spans="1:5" x14ac:dyDescent="0.3">
      <c r="A4994" s="9">
        <v>4986</v>
      </c>
      <c r="B4994" s="10">
        <f t="shared" ca="1" si="77"/>
        <v>7.7932397979854975E-2</v>
      </c>
      <c r="C4994" s="10">
        <f ca="1">NPV(B4994,Project_FCF!C18:J18)+Project_FCF!B18</f>
        <v>955.88962339704494</v>
      </c>
      <c r="D4994" s="4"/>
      <c r="E4994" s="4"/>
    </row>
    <row r="4995" spans="1:5" x14ac:dyDescent="0.3">
      <c r="A4995" s="9">
        <v>4987</v>
      </c>
      <c r="B4995" s="10">
        <f t="shared" ca="1" si="77"/>
        <v>0.10052599694714279</v>
      </c>
      <c r="C4995" s="10">
        <f ca="1">NPV(B4995,Project_FCF!C18:J18)+Project_FCF!B18</f>
        <v>778.86027576826496</v>
      </c>
      <c r="D4995" s="4"/>
      <c r="E4995" s="4"/>
    </row>
    <row r="4996" spans="1:5" x14ac:dyDescent="0.3">
      <c r="A4996" s="9">
        <v>4988</v>
      </c>
      <c r="B4996" s="10">
        <f t="shared" ca="1" si="77"/>
        <v>7.5178628670599712E-2</v>
      </c>
      <c r="C4996" s="10">
        <f ca="1">NPV(B4996,Project_FCF!C18:J18)+Project_FCF!B18</f>
        <v>979.70871762679667</v>
      </c>
      <c r="D4996" s="4"/>
      <c r="E4996" s="4"/>
    </row>
    <row r="4997" spans="1:5" x14ac:dyDescent="0.3">
      <c r="A4997" s="9">
        <v>4989</v>
      </c>
      <c r="B4997" s="10">
        <f t="shared" ca="1" si="77"/>
        <v>0.10075089720098021</v>
      </c>
      <c r="C4997" s="10">
        <f ca="1">NPV(B4997,Project_FCF!C18:J18)+Project_FCF!B18</f>
        <v>777.25081994416564</v>
      </c>
      <c r="D4997" s="4"/>
      <c r="E4997" s="4"/>
    </row>
    <row r="4998" spans="1:5" x14ac:dyDescent="0.3">
      <c r="A4998" s="9">
        <v>4990</v>
      </c>
      <c r="B4998" s="10">
        <f t="shared" ca="1" si="77"/>
        <v>8.1057178194099702E-2</v>
      </c>
      <c r="C4998" s="10">
        <f ca="1">NPV(B4998,Project_FCF!C18:J18)+Project_FCF!B18</f>
        <v>929.48622353729957</v>
      </c>
      <c r="D4998" s="4"/>
      <c r="E4998" s="4"/>
    </row>
    <row r="4999" spans="1:5" x14ac:dyDescent="0.3">
      <c r="A4999" s="9">
        <v>4991</v>
      </c>
      <c r="B4999" s="10">
        <f t="shared" ca="1" si="77"/>
        <v>7.7872519194942813E-2</v>
      </c>
      <c r="C4999" s="10">
        <f ca="1">NPV(B4999,Project_FCF!C18:J18)+Project_FCF!B18</f>
        <v>956.40201356251487</v>
      </c>
      <c r="D4999" s="4"/>
      <c r="E4999" s="4"/>
    </row>
    <row r="5000" spans="1:5" x14ac:dyDescent="0.3">
      <c r="A5000" s="9">
        <v>4992</v>
      </c>
      <c r="B5000" s="10">
        <f t="shared" ca="1" si="77"/>
        <v>6.8143724923920471E-2</v>
      </c>
      <c r="C5000" s="10">
        <f ca="1">NPV(B5000,Project_FCF!C18:J18)+Project_FCF!B18</f>
        <v>1042.9938565490274</v>
      </c>
      <c r="D5000" s="4"/>
      <c r="E5000" s="4"/>
    </row>
    <row r="5001" spans="1:5" x14ac:dyDescent="0.3">
      <c r="A5001" s="9">
        <v>4993</v>
      </c>
      <c r="B5001" s="10">
        <f t="shared" ref="B5001:B5064" ca="1" si="78">$B$4+RAND()*($B$5-$B$4)</f>
        <v>9.499476700242751E-2</v>
      </c>
      <c r="C5001" s="10">
        <f ca="1">NPV(B5001,Project_FCF!C18:J18)+Project_FCF!B18</f>
        <v>819.3431777357041</v>
      </c>
      <c r="D5001" s="4"/>
      <c r="E5001" s="4"/>
    </row>
    <row r="5002" spans="1:5" x14ac:dyDescent="0.3">
      <c r="A5002" s="9">
        <v>4994</v>
      </c>
      <c r="B5002" s="10">
        <f t="shared" ca="1" si="78"/>
        <v>6.9406813392732955E-2</v>
      </c>
      <c r="C5002" s="10">
        <f ca="1">NPV(B5002,Project_FCF!C18:J18)+Project_FCF!B18</f>
        <v>1031.366660381635</v>
      </c>
      <c r="D5002" s="4"/>
      <c r="E5002" s="4"/>
    </row>
    <row r="5003" spans="1:5" x14ac:dyDescent="0.3">
      <c r="A5003" s="9">
        <v>4995</v>
      </c>
      <c r="B5003" s="10">
        <f t="shared" ca="1" si="78"/>
        <v>7.8464959385680752E-2</v>
      </c>
      <c r="C5003" s="10">
        <f ca="1">NPV(B5003,Project_FCF!C18:J18)+Project_FCF!B18</f>
        <v>951.34315729216974</v>
      </c>
      <c r="D5003" s="4"/>
      <c r="E5003" s="4"/>
    </row>
    <row r="5004" spans="1:5" x14ac:dyDescent="0.3">
      <c r="A5004" s="9">
        <v>4996</v>
      </c>
      <c r="B5004" s="10">
        <f t="shared" ca="1" si="78"/>
        <v>6.6940793862327042E-2</v>
      </c>
      <c r="C5004" s="10">
        <f ca="1">NPV(B5004,Project_FCF!C18:J18)+Project_FCF!B18</f>
        <v>1054.1776719842235</v>
      </c>
      <c r="D5004" s="4"/>
      <c r="E5004" s="4"/>
    </row>
    <row r="5005" spans="1:5" x14ac:dyDescent="0.3">
      <c r="A5005" s="9">
        <v>4997</v>
      </c>
      <c r="B5005" s="10">
        <f t="shared" ca="1" si="78"/>
        <v>6.876542184308225E-2</v>
      </c>
      <c r="C5005" s="10">
        <f ca="1">NPV(B5005,Project_FCF!C18:J18)+Project_FCF!B18</f>
        <v>1037.2561502783335</v>
      </c>
      <c r="D5005" s="4"/>
      <c r="E5005" s="4"/>
    </row>
    <row r="5006" spans="1:5" x14ac:dyDescent="0.3">
      <c r="A5006" s="9">
        <v>4998</v>
      </c>
      <c r="B5006" s="10">
        <f t="shared" ca="1" si="78"/>
        <v>7.443376097069021E-2</v>
      </c>
      <c r="C5006" s="10">
        <f ca="1">NPV(B5006,Project_FCF!C18:J18)+Project_FCF!B18</f>
        <v>986.2419771130908</v>
      </c>
      <c r="D5006" s="4"/>
      <c r="E5006" s="4"/>
    </row>
    <row r="5007" spans="1:5" x14ac:dyDescent="0.3">
      <c r="A5007" s="9">
        <v>4999</v>
      </c>
      <c r="B5007" s="10">
        <f t="shared" ca="1" si="78"/>
        <v>6.9980654504996451E-2</v>
      </c>
      <c r="C5007" s="10">
        <f ca="1">NPV(B5007,Project_FCF!C18:J18)+Project_FCF!B18</f>
        <v>1026.1231057022469</v>
      </c>
      <c r="D5007" s="4"/>
      <c r="E5007" s="4"/>
    </row>
    <row r="5008" spans="1:5" x14ac:dyDescent="0.3">
      <c r="A5008" s="9">
        <v>5000</v>
      </c>
      <c r="B5008" s="10">
        <f t="shared" ca="1" si="78"/>
        <v>6.6936382842110995E-2</v>
      </c>
      <c r="C5008" s="10">
        <f ca="1">NPV(B5008,Project_FCF!C18:J18)+Project_FCF!B18</f>
        <v>1054.2188815232107</v>
      </c>
      <c r="D5008" s="4"/>
      <c r="E5008" s="4"/>
    </row>
    <row r="5009" spans="1:5" x14ac:dyDescent="0.3">
      <c r="A5009" s="9">
        <v>5001</v>
      </c>
      <c r="B5009" s="10">
        <f t="shared" ca="1" si="78"/>
        <v>0.10241246623669928</v>
      </c>
      <c r="C5009" s="10">
        <f ca="1">NPV(B5009,Project_FCF!C18:J18)+Project_FCF!B18</f>
        <v>765.44677021388839</v>
      </c>
      <c r="D5009" s="4"/>
      <c r="E5009" s="4"/>
    </row>
    <row r="5010" spans="1:5" x14ac:dyDescent="0.3">
      <c r="A5010" s="9">
        <v>5002</v>
      </c>
      <c r="B5010" s="10">
        <f t="shared" ca="1" si="78"/>
        <v>6.4357672924620316E-2</v>
      </c>
      <c r="C5010" s="10">
        <f ca="1">NPV(B5010,Project_FCF!C18:J18)+Project_FCF!B18</f>
        <v>1078.5628906531263</v>
      </c>
      <c r="D5010" s="4"/>
      <c r="E5010" s="4"/>
    </row>
    <row r="5011" spans="1:5" x14ac:dyDescent="0.3">
      <c r="A5011" s="9">
        <v>5003</v>
      </c>
      <c r="B5011" s="10">
        <f t="shared" ca="1" si="78"/>
        <v>7.2285368435513059E-2</v>
      </c>
      <c r="C5011" s="10">
        <f ca="1">NPV(B5011,Project_FCF!C18:J18)+Project_FCF!B18</f>
        <v>1005.3050005899483</v>
      </c>
      <c r="D5011" s="4"/>
      <c r="E5011" s="4"/>
    </row>
    <row r="5012" spans="1:5" x14ac:dyDescent="0.3">
      <c r="A5012" s="9">
        <v>5004</v>
      </c>
      <c r="B5012" s="10">
        <f t="shared" ca="1" si="78"/>
        <v>7.2457622471548661E-2</v>
      </c>
      <c r="C5012" s="10">
        <f ca="1">NPV(B5012,Project_FCF!C18:J18)+Project_FCF!B18</f>
        <v>1003.7644491650699</v>
      </c>
      <c r="D5012" s="4"/>
      <c r="E5012" s="4"/>
    </row>
    <row r="5013" spans="1:5" x14ac:dyDescent="0.3">
      <c r="A5013" s="9">
        <v>5005</v>
      </c>
      <c r="B5013" s="10">
        <f t="shared" ca="1" si="78"/>
        <v>6.4141249968459602E-2</v>
      </c>
      <c r="C5013" s="10">
        <f ca="1">NPV(B5013,Project_FCF!C18:J18)+Project_FCF!B18</f>
        <v>1080.6291482650938</v>
      </c>
      <c r="D5013" s="4"/>
      <c r="E5013" s="4"/>
    </row>
    <row r="5014" spans="1:5" x14ac:dyDescent="0.3">
      <c r="A5014" s="9">
        <v>5006</v>
      </c>
      <c r="B5014" s="10">
        <f t="shared" ca="1" si="78"/>
        <v>9.5047321133049617E-2</v>
      </c>
      <c r="C5014" s="10">
        <f ca="1">NPV(B5014,Project_FCF!C18:J18)+Project_FCF!B18</f>
        <v>818.9502609102999</v>
      </c>
      <c r="D5014" s="4"/>
      <c r="E5014" s="4"/>
    </row>
    <row r="5015" spans="1:5" x14ac:dyDescent="0.3">
      <c r="A5015" s="9">
        <v>5007</v>
      </c>
      <c r="B5015" s="10">
        <f t="shared" ca="1" si="78"/>
        <v>8.7956188033745858E-2</v>
      </c>
      <c r="C5015" s="10">
        <f ca="1">NPV(B5015,Project_FCF!C18:J18)+Project_FCF!B18</f>
        <v>873.4555337304364</v>
      </c>
      <c r="D5015" s="4"/>
      <c r="E5015" s="4"/>
    </row>
    <row r="5016" spans="1:5" x14ac:dyDescent="0.3">
      <c r="A5016" s="9">
        <v>5008</v>
      </c>
      <c r="B5016" s="10">
        <f t="shared" ca="1" si="78"/>
        <v>7.8590006573929033E-2</v>
      </c>
      <c r="C5016" s="10">
        <f ca="1">NPV(B5016,Project_FCF!C18:J18)+Project_FCF!B18</f>
        <v>950.27842187160877</v>
      </c>
      <c r="D5016" s="4"/>
      <c r="E5016" s="4"/>
    </row>
    <row r="5017" spans="1:5" x14ac:dyDescent="0.3">
      <c r="A5017" s="9">
        <v>5009</v>
      </c>
      <c r="B5017" s="10">
        <f t="shared" ca="1" si="78"/>
        <v>7.8780131788053653E-2</v>
      </c>
      <c r="C5017" s="10">
        <f ca="1">NPV(B5017,Project_FCF!C18:J18)+Project_FCF!B18</f>
        <v>948.66159642262141</v>
      </c>
      <c r="D5017" s="4"/>
      <c r="E5017" s="4"/>
    </row>
    <row r="5018" spans="1:5" x14ac:dyDescent="0.3">
      <c r="A5018" s="9">
        <v>5010</v>
      </c>
      <c r="B5018" s="10">
        <f t="shared" ca="1" si="78"/>
        <v>0.10013746623214598</v>
      </c>
      <c r="C5018" s="10">
        <f ca="1">NPV(B5018,Project_FCF!C18:J18)+Project_FCF!B18</f>
        <v>781.64735488168162</v>
      </c>
      <c r="D5018" s="4"/>
      <c r="E5018" s="4"/>
    </row>
    <row r="5019" spans="1:5" x14ac:dyDescent="0.3">
      <c r="A5019" s="9">
        <v>5011</v>
      </c>
      <c r="B5019" s="10">
        <f t="shared" ca="1" si="78"/>
        <v>9.8372951661869948E-2</v>
      </c>
      <c r="C5019" s="10">
        <f ca="1">NPV(B5019,Project_FCF!C18:J18)+Project_FCF!B18</f>
        <v>794.41136759007577</v>
      </c>
      <c r="D5019" s="4"/>
      <c r="E5019" s="4"/>
    </row>
    <row r="5020" spans="1:5" x14ac:dyDescent="0.3">
      <c r="A5020" s="9">
        <v>5012</v>
      </c>
      <c r="B5020" s="10">
        <f t="shared" ca="1" si="78"/>
        <v>7.6574947582219485E-2</v>
      </c>
      <c r="C5020" s="10">
        <f ca="1">NPV(B5020,Project_FCF!C18:J18)+Project_FCF!B18</f>
        <v>967.56572595880721</v>
      </c>
      <c r="D5020" s="4"/>
      <c r="E5020" s="4"/>
    </row>
    <row r="5021" spans="1:5" x14ac:dyDescent="0.3">
      <c r="A5021" s="9">
        <v>5013</v>
      </c>
      <c r="B5021" s="10">
        <f t="shared" ca="1" si="78"/>
        <v>6.7867073786686022E-2</v>
      </c>
      <c r="C5021" s="10">
        <f ca="1">NPV(B5021,Project_FCF!C18:J18)+Project_FCF!B18</f>
        <v>1045.5563393831035</v>
      </c>
      <c r="D5021" s="4"/>
      <c r="E5021" s="4"/>
    </row>
    <row r="5022" spans="1:5" x14ac:dyDescent="0.3">
      <c r="A5022" s="9">
        <v>5014</v>
      </c>
      <c r="B5022" s="10">
        <f t="shared" ca="1" si="78"/>
        <v>7.5262163078584979E-2</v>
      </c>
      <c r="C5022" s="10">
        <f ca="1">NPV(B5022,Project_FCF!C18:J18)+Project_FCF!B18</f>
        <v>978.978455146751</v>
      </c>
      <c r="D5022" s="4"/>
      <c r="E5022" s="4"/>
    </row>
    <row r="5023" spans="1:5" x14ac:dyDescent="0.3">
      <c r="A5023" s="9">
        <v>5015</v>
      </c>
      <c r="B5023" s="10">
        <f t="shared" ca="1" si="78"/>
        <v>7.7117630803419809E-2</v>
      </c>
      <c r="C5023" s="10">
        <f ca="1">NPV(B5023,Project_FCF!C18:J18)+Project_FCF!B18</f>
        <v>962.88268464567136</v>
      </c>
      <c r="D5023" s="4"/>
      <c r="E5023" s="4"/>
    </row>
    <row r="5024" spans="1:5" x14ac:dyDescent="0.3">
      <c r="A5024" s="9">
        <v>5016</v>
      </c>
      <c r="B5024" s="10">
        <f t="shared" ca="1" si="78"/>
        <v>8.0363493475837544E-2</v>
      </c>
      <c r="C5024" s="10">
        <f ca="1">NPV(B5024,Project_FCF!C18:J18)+Project_FCF!B18</f>
        <v>935.2911696722806</v>
      </c>
      <c r="D5024" s="4"/>
      <c r="E5024" s="4"/>
    </row>
    <row r="5025" spans="1:5" x14ac:dyDescent="0.3">
      <c r="A5025" s="9">
        <v>5017</v>
      </c>
      <c r="B5025" s="10">
        <f t="shared" ca="1" si="78"/>
        <v>8.5176361667606559E-2</v>
      </c>
      <c r="C5025" s="10">
        <f ca="1">NPV(B5025,Project_FCF!C18:J18)+Project_FCF!B18</f>
        <v>895.66530924682365</v>
      </c>
      <c r="D5025" s="4"/>
      <c r="E5025" s="4"/>
    </row>
    <row r="5026" spans="1:5" x14ac:dyDescent="0.3">
      <c r="A5026" s="9">
        <v>5018</v>
      </c>
      <c r="B5026" s="10">
        <f t="shared" ca="1" si="78"/>
        <v>6.7778903602385643E-2</v>
      </c>
      <c r="C5026" s="10">
        <f ca="1">NPV(B5026,Project_FCF!C18:J18)+Project_FCF!B18</f>
        <v>1046.3742158022019</v>
      </c>
      <c r="D5026" s="4"/>
      <c r="E5026" s="4"/>
    </row>
    <row r="5027" spans="1:5" x14ac:dyDescent="0.3">
      <c r="A5027" s="9">
        <v>5019</v>
      </c>
      <c r="B5027" s="10">
        <f t="shared" ca="1" si="78"/>
        <v>8.3078623149137887E-2</v>
      </c>
      <c r="C5027" s="10">
        <f ca="1">NPV(B5027,Project_FCF!C18:J18)+Project_FCF!B18</f>
        <v>912.75116843993601</v>
      </c>
      <c r="D5027" s="4"/>
      <c r="E5027" s="4"/>
    </row>
    <row r="5028" spans="1:5" x14ac:dyDescent="0.3">
      <c r="A5028" s="9">
        <v>5020</v>
      </c>
      <c r="B5028" s="10">
        <f t="shared" ca="1" si="78"/>
        <v>9.9213545633658196E-2</v>
      </c>
      <c r="C5028" s="10">
        <f ca="1">NPV(B5028,Project_FCF!C18:J18)+Project_FCF!B18</f>
        <v>788.30889092923871</v>
      </c>
      <c r="D5028" s="4"/>
      <c r="E5028" s="4"/>
    </row>
    <row r="5029" spans="1:5" x14ac:dyDescent="0.3">
      <c r="A5029" s="9">
        <v>5021</v>
      </c>
      <c r="B5029" s="10">
        <f t="shared" ca="1" si="78"/>
        <v>8.82252004917915E-2</v>
      </c>
      <c r="C5029" s="10">
        <f ca="1">NPV(B5029,Project_FCF!C18:J18)+Project_FCF!B18</f>
        <v>871.33193377819316</v>
      </c>
      <c r="D5029" s="4"/>
      <c r="E5029" s="4"/>
    </row>
    <row r="5030" spans="1:5" x14ac:dyDescent="0.3">
      <c r="A5030" s="9">
        <v>5022</v>
      </c>
      <c r="B5030" s="10">
        <f t="shared" ca="1" si="78"/>
        <v>7.5008287331375684E-2</v>
      </c>
      <c r="C5030" s="10">
        <f ca="1">NPV(B5030,Project_FCF!C18:J18)+Project_FCF!B18</f>
        <v>981.19936125919435</v>
      </c>
      <c r="D5030" s="4"/>
      <c r="E5030" s="4"/>
    </row>
    <row r="5031" spans="1:5" x14ac:dyDescent="0.3">
      <c r="A5031" s="9">
        <v>5023</v>
      </c>
      <c r="B5031" s="10">
        <f t="shared" ca="1" si="78"/>
        <v>7.0078693430076097E-2</v>
      </c>
      <c r="C5031" s="10">
        <f ca="1">NPV(B5031,Project_FCF!C18:J18)+Project_FCF!B18</f>
        <v>1025.2296754694514</v>
      </c>
      <c r="D5031" s="4"/>
      <c r="E5031" s="4"/>
    </row>
    <row r="5032" spans="1:5" x14ac:dyDescent="0.3">
      <c r="A5032" s="9">
        <v>5024</v>
      </c>
      <c r="B5032" s="10">
        <f t="shared" ca="1" si="78"/>
        <v>9.2403459020296203E-2</v>
      </c>
      <c r="C5032" s="10">
        <f ca="1">NPV(B5032,Project_FCF!C18:J18)+Project_FCF!B18</f>
        <v>838.91856754676201</v>
      </c>
      <c r="D5032" s="4"/>
      <c r="E5032" s="4"/>
    </row>
    <row r="5033" spans="1:5" x14ac:dyDescent="0.3">
      <c r="A5033" s="9">
        <v>5025</v>
      </c>
      <c r="B5033" s="10">
        <f t="shared" ca="1" si="78"/>
        <v>7.4828222293592039E-2</v>
      </c>
      <c r="C5033" s="10">
        <f ca="1">NPV(B5033,Project_FCF!C18:J18)+Project_FCF!B18</f>
        <v>982.77730235195145</v>
      </c>
      <c r="D5033" s="4"/>
      <c r="E5033" s="4"/>
    </row>
    <row r="5034" spans="1:5" x14ac:dyDescent="0.3">
      <c r="A5034" s="9">
        <v>5026</v>
      </c>
      <c r="B5034" s="10">
        <f t="shared" ca="1" si="78"/>
        <v>7.986055577518944E-2</v>
      </c>
      <c r="C5034" s="10">
        <f ca="1">NPV(B5034,Project_FCF!C18:J18)+Project_FCF!B18</f>
        <v>939.51992696092657</v>
      </c>
      <c r="D5034" s="4"/>
      <c r="E5034" s="4"/>
    </row>
    <row r="5035" spans="1:5" x14ac:dyDescent="0.3">
      <c r="A5035" s="9">
        <v>5027</v>
      </c>
      <c r="B5035" s="10">
        <f t="shared" ca="1" si="78"/>
        <v>0.10099386523689377</v>
      </c>
      <c r="C5035" s="10">
        <f ca="1">NPV(B5035,Project_FCF!C18:J18)+Project_FCF!B18</f>
        <v>775.51522120333379</v>
      </c>
      <c r="D5035" s="4"/>
      <c r="E5035" s="4"/>
    </row>
    <row r="5036" spans="1:5" x14ac:dyDescent="0.3">
      <c r="A5036" s="9">
        <v>5028</v>
      </c>
      <c r="B5036" s="10">
        <f t="shared" ca="1" si="78"/>
        <v>9.1928641728778307E-2</v>
      </c>
      <c r="C5036" s="10">
        <f ca="1">NPV(B5036,Project_FCF!C18:J18)+Project_FCF!B18</f>
        <v>842.54871205958375</v>
      </c>
      <c r="D5036" s="4"/>
      <c r="E5036" s="4"/>
    </row>
    <row r="5037" spans="1:5" x14ac:dyDescent="0.3">
      <c r="A5037" s="9">
        <v>5029</v>
      </c>
      <c r="B5037" s="10">
        <f t="shared" ca="1" si="78"/>
        <v>6.5437417592840025E-2</v>
      </c>
      <c r="C5037" s="10">
        <f ca="1">NPV(B5037,Project_FCF!C18:J18)+Project_FCF!B18</f>
        <v>1068.3080157590741</v>
      </c>
      <c r="D5037" s="4"/>
      <c r="E5037" s="4"/>
    </row>
    <row r="5038" spans="1:5" x14ac:dyDescent="0.3">
      <c r="A5038" s="9">
        <v>5030</v>
      </c>
      <c r="B5038" s="10">
        <f t="shared" ca="1" si="78"/>
        <v>8.7090679086152437E-2</v>
      </c>
      <c r="C5038" s="10">
        <f ca="1">NPV(B5038,Project_FCF!C18:J18)+Project_FCF!B18</f>
        <v>880.31851530070844</v>
      </c>
      <c r="D5038" s="4"/>
      <c r="E5038" s="4"/>
    </row>
    <row r="5039" spans="1:5" x14ac:dyDescent="0.3">
      <c r="A5039" s="9">
        <v>5031</v>
      </c>
      <c r="B5039" s="10">
        <f t="shared" ca="1" si="78"/>
        <v>7.4822860394401058E-2</v>
      </c>
      <c r="C5039" s="10">
        <f ca="1">NPV(B5039,Project_FCF!C18:J18)+Project_FCF!B18</f>
        <v>982.82432440354523</v>
      </c>
      <c r="D5039" s="4"/>
      <c r="E5039" s="4"/>
    </row>
    <row r="5040" spans="1:5" x14ac:dyDescent="0.3">
      <c r="A5040" s="9">
        <v>5032</v>
      </c>
      <c r="B5040" s="10">
        <f t="shared" ca="1" si="78"/>
        <v>8.2254575302821126E-2</v>
      </c>
      <c r="C5040" s="10">
        <f ca="1">NPV(B5040,Project_FCF!C18:J18)+Project_FCF!B18</f>
        <v>919.54091410266847</v>
      </c>
      <c r="D5040" s="4"/>
      <c r="E5040" s="4"/>
    </row>
    <row r="5041" spans="1:5" x14ac:dyDescent="0.3">
      <c r="A5041" s="9">
        <v>5033</v>
      </c>
      <c r="B5041" s="10">
        <f t="shared" ca="1" si="78"/>
        <v>9.5010069286717347E-2</v>
      </c>
      <c r="C5041" s="10">
        <f ca="1">NPV(B5041,Project_FCF!C18:J18)+Project_FCF!B18</f>
        <v>819.22875475931846</v>
      </c>
      <c r="D5041" s="4"/>
      <c r="E5041" s="4"/>
    </row>
    <row r="5042" spans="1:5" x14ac:dyDescent="0.3">
      <c r="A5042" s="9">
        <v>5034</v>
      </c>
      <c r="B5042" s="10">
        <f t="shared" ca="1" si="78"/>
        <v>8.2993466511842251E-2</v>
      </c>
      <c r="C5042" s="10">
        <f ca="1">NPV(B5042,Project_FCF!C18:J18)+Project_FCF!B18</f>
        <v>913.45076610728688</v>
      </c>
      <c r="D5042" s="4"/>
      <c r="E5042" s="4"/>
    </row>
    <row r="5043" spans="1:5" x14ac:dyDescent="0.3">
      <c r="A5043" s="9">
        <v>5035</v>
      </c>
      <c r="B5043" s="10">
        <f t="shared" ca="1" si="78"/>
        <v>9.1999687303586847E-2</v>
      </c>
      <c r="C5043" s="10">
        <f ca="1">NPV(B5043,Project_FCF!C18:J18)+Project_FCF!B18</f>
        <v>842.00468383449743</v>
      </c>
      <c r="D5043" s="4"/>
      <c r="E5043" s="4"/>
    </row>
    <row r="5044" spans="1:5" x14ac:dyDescent="0.3">
      <c r="A5044" s="9">
        <v>5036</v>
      </c>
      <c r="B5044" s="10">
        <f t="shared" ca="1" si="78"/>
        <v>7.7435744976768986E-2</v>
      </c>
      <c r="C5044" s="10">
        <f ca="1">NPV(B5044,Project_FCF!C18:J18)+Project_FCF!B18</f>
        <v>960.14694315610222</v>
      </c>
      <c r="D5044" s="4"/>
      <c r="E5044" s="4"/>
    </row>
    <row r="5045" spans="1:5" x14ac:dyDescent="0.3">
      <c r="A5045" s="9">
        <v>5037</v>
      </c>
      <c r="B5045" s="10">
        <f t="shared" ca="1" si="78"/>
        <v>7.5965600138961226E-2</v>
      </c>
      <c r="C5045" s="10">
        <f ca="1">NPV(B5045,Project_FCF!C18:J18)+Project_FCF!B18</f>
        <v>972.84824367657438</v>
      </c>
      <c r="D5045" s="4"/>
      <c r="E5045" s="4"/>
    </row>
    <row r="5046" spans="1:5" x14ac:dyDescent="0.3">
      <c r="A5046" s="9">
        <v>5038</v>
      </c>
      <c r="B5046" s="10">
        <f t="shared" ca="1" si="78"/>
        <v>6.4402300458163655E-2</v>
      </c>
      <c r="C5046" s="10">
        <f ca="1">NPV(B5046,Project_FCF!C18:J18)+Project_FCF!B18</f>
        <v>1078.1372667777837</v>
      </c>
      <c r="D5046" s="4"/>
      <c r="E5046" s="4"/>
    </row>
    <row r="5047" spans="1:5" x14ac:dyDescent="0.3">
      <c r="A5047" s="9">
        <v>5039</v>
      </c>
      <c r="B5047" s="10">
        <f t="shared" ca="1" si="78"/>
        <v>8.461923943802746E-2</v>
      </c>
      <c r="C5047" s="10">
        <f ca="1">NPV(B5047,Project_FCF!C18:J18)+Project_FCF!B18</f>
        <v>900.17541493969702</v>
      </c>
      <c r="D5047" s="4"/>
      <c r="E5047" s="4"/>
    </row>
    <row r="5048" spans="1:5" x14ac:dyDescent="0.3">
      <c r="A5048" s="9">
        <v>5040</v>
      </c>
      <c r="B5048" s="10">
        <f t="shared" ca="1" si="78"/>
        <v>6.758398176852104E-2</v>
      </c>
      <c r="C5048" s="10">
        <f ca="1">NPV(B5048,Project_FCF!C18:J18)+Project_FCF!B18</f>
        <v>1048.1843936993857</v>
      </c>
      <c r="D5048" s="4"/>
      <c r="E5048" s="4"/>
    </row>
    <row r="5049" spans="1:5" x14ac:dyDescent="0.3">
      <c r="A5049" s="9">
        <v>5041</v>
      </c>
      <c r="B5049" s="10">
        <f t="shared" ca="1" si="78"/>
        <v>7.020880130204675E-2</v>
      </c>
      <c r="C5049" s="10">
        <f ca="1">NPV(B5049,Project_FCF!C18:J18)+Project_FCF!B18</f>
        <v>1024.0450857866949</v>
      </c>
      <c r="D5049" s="4"/>
      <c r="E5049" s="4"/>
    </row>
    <row r="5050" spans="1:5" x14ac:dyDescent="0.3">
      <c r="A5050" s="9">
        <v>5042</v>
      </c>
      <c r="B5050" s="10">
        <f t="shared" ca="1" si="78"/>
        <v>8.9904643138954576E-2</v>
      </c>
      <c r="C5050" s="10">
        <f ca="1">NPV(B5050,Project_FCF!C18:J18)+Project_FCF!B18</f>
        <v>858.1754506227096</v>
      </c>
      <c r="D5050" s="4"/>
      <c r="E5050" s="4"/>
    </row>
    <row r="5051" spans="1:5" x14ac:dyDescent="0.3">
      <c r="A5051" s="9">
        <v>5043</v>
      </c>
      <c r="B5051" s="10">
        <f t="shared" ca="1" si="78"/>
        <v>6.5611990450766225E-2</v>
      </c>
      <c r="C5051" s="10">
        <f ca="1">NPV(B5051,Project_FCF!C18:J18)+Project_FCF!B18</f>
        <v>1066.6583874835831</v>
      </c>
      <c r="D5051" s="4"/>
      <c r="E5051" s="4"/>
    </row>
    <row r="5052" spans="1:5" x14ac:dyDescent="0.3">
      <c r="A5052" s="9">
        <v>5044</v>
      </c>
      <c r="B5052" s="10">
        <f t="shared" ca="1" si="78"/>
        <v>7.2285565805241717E-2</v>
      </c>
      <c r="C5052" s="10">
        <f ca="1">NPV(B5052,Project_FCF!C18:J18)+Project_FCF!B18</f>
        <v>1005.3032342002589</v>
      </c>
      <c r="D5052" s="4"/>
      <c r="E5052" s="4"/>
    </row>
    <row r="5053" spans="1:5" x14ac:dyDescent="0.3">
      <c r="A5053" s="9">
        <v>5045</v>
      </c>
      <c r="B5053" s="10">
        <f t="shared" ca="1" si="78"/>
        <v>9.2650636903537989E-2</v>
      </c>
      <c r="C5053" s="10">
        <f ca="1">NPV(B5053,Project_FCF!C18:J18)+Project_FCF!B18</f>
        <v>837.03414539913524</v>
      </c>
      <c r="D5053" s="4"/>
      <c r="E5053" s="4"/>
    </row>
    <row r="5054" spans="1:5" x14ac:dyDescent="0.3">
      <c r="A5054" s="9">
        <v>5046</v>
      </c>
      <c r="B5054" s="10">
        <f t="shared" ca="1" si="78"/>
        <v>7.9943902707376766E-2</v>
      </c>
      <c r="C5054" s="10">
        <f ca="1">NPV(B5054,Project_FCF!C18:J18)+Project_FCF!B18</f>
        <v>938.81796836566014</v>
      </c>
      <c r="D5054" s="4"/>
      <c r="E5054" s="4"/>
    </row>
    <row r="5055" spans="1:5" x14ac:dyDescent="0.3">
      <c r="A5055" s="9">
        <v>5047</v>
      </c>
      <c r="B5055" s="10">
        <f t="shared" ca="1" si="78"/>
        <v>8.6574438619129473E-2</v>
      </c>
      <c r="C5055" s="10">
        <f ca="1">NPV(B5055,Project_FCF!C18:J18)+Project_FCF!B18</f>
        <v>884.43434292728966</v>
      </c>
      <c r="D5055" s="4"/>
      <c r="E5055" s="4"/>
    </row>
    <row r="5056" spans="1:5" x14ac:dyDescent="0.3">
      <c r="A5056" s="9">
        <v>5048</v>
      </c>
      <c r="B5056" s="10">
        <f t="shared" ca="1" si="78"/>
        <v>6.7534806585035814E-2</v>
      </c>
      <c r="C5056" s="10">
        <f ca="1">NPV(B5056,Project_FCF!C18:J18)+Project_FCF!B18</f>
        <v>1048.6415170506834</v>
      </c>
      <c r="D5056" s="4"/>
      <c r="E5056" s="4"/>
    </row>
    <row r="5057" spans="1:5" x14ac:dyDescent="0.3">
      <c r="A5057" s="9">
        <v>5049</v>
      </c>
      <c r="B5057" s="10">
        <f t="shared" ca="1" si="78"/>
        <v>0.1016315718466286</v>
      </c>
      <c r="C5057" s="10">
        <f ca="1">NPV(B5057,Project_FCF!C18:J18)+Project_FCF!B18</f>
        <v>770.97541788798617</v>
      </c>
      <c r="D5057" s="4"/>
      <c r="E5057" s="4"/>
    </row>
    <row r="5058" spans="1:5" x14ac:dyDescent="0.3">
      <c r="A5058" s="9">
        <v>5050</v>
      </c>
      <c r="B5058" s="10">
        <f t="shared" ca="1" si="78"/>
        <v>7.7567390854963267E-2</v>
      </c>
      <c r="C5058" s="10">
        <f ca="1">NPV(B5058,Project_FCF!C18:J18)+Project_FCF!B18</f>
        <v>959.01683158526453</v>
      </c>
      <c r="D5058" s="4"/>
      <c r="E5058" s="4"/>
    </row>
    <row r="5059" spans="1:5" x14ac:dyDescent="0.3">
      <c r="A5059" s="9">
        <v>5051</v>
      </c>
      <c r="B5059" s="10">
        <f t="shared" ca="1" si="78"/>
        <v>7.5041104517823518E-2</v>
      </c>
      <c r="C5059" s="10">
        <f ca="1">NPV(B5059,Project_FCF!C18:J18)+Project_FCF!B18</f>
        <v>980.91202294715276</v>
      </c>
      <c r="D5059" s="4"/>
      <c r="E5059" s="4"/>
    </row>
    <row r="5060" spans="1:5" x14ac:dyDescent="0.3">
      <c r="A5060" s="9">
        <v>5052</v>
      </c>
      <c r="B5060" s="10">
        <f t="shared" ca="1" si="78"/>
        <v>8.0613826341765421E-2</v>
      </c>
      <c r="C5060" s="10">
        <f ca="1">NPV(B5060,Project_FCF!C18:J18)+Project_FCF!B18</f>
        <v>933.19262841932186</v>
      </c>
      <c r="D5060" s="4"/>
      <c r="E5060" s="4"/>
    </row>
    <row r="5061" spans="1:5" x14ac:dyDescent="0.3">
      <c r="A5061" s="9">
        <v>5053</v>
      </c>
      <c r="B5061" s="10">
        <f t="shared" ca="1" si="78"/>
        <v>8.1178642183390076E-2</v>
      </c>
      <c r="C5061" s="10">
        <f ca="1">NPV(B5061,Project_FCF!C18:J18)+Project_FCF!B18</f>
        <v>928.47306226908404</v>
      </c>
      <c r="D5061" s="4"/>
      <c r="E5061" s="4"/>
    </row>
    <row r="5062" spans="1:5" x14ac:dyDescent="0.3">
      <c r="A5062" s="9">
        <v>5054</v>
      </c>
      <c r="B5062" s="10">
        <f t="shared" ca="1" si="78"/>
        <v>9.8261502735103728E-2</v>
      </c>
      <c r="C5062" s="10">
        <f ca="1">NPV(B5062,Project_FCF!C18:J18)+Project_FCF!B18</f>
        <v>795.22345744103131</v>
      </c>
      <c r="D5062" s="4"/>
      <c r="E5062" s="4"/>
    </row>
    <row r="5063" spans="1:5" x14ac:dyDescent="0.3">
      <c r="A5063" s="9">
        <v>5055</v>
      </c>
      <c r="B5063" s="10">
        <f t="shared" ca="1" si="78"/>
        <v>8.6779942794755482E-2</v>
      </c>
      <c r="C5063" s="10">
        <f ca="1">NPV(B5063,Project_FCF!C18:J18)+Project_FCF!B18</f>
        <v>882.79391377206753</v>
      </c>
      <c r="D5063" s="4"/>
      <c r="E5063" s="4"/>
    </row>
    <row r="5064" spans="1:5" x14ac:dyDescent="0.3">
      <c r="A5064" s="9">
        <v>5056</v>
      </c>
      <c r="B5064" s="10">
        <f t="shared" ca="1" si="78"/>
        <v>9.656352252209624E-2</v>
      </c>
      <c r="C5064" s="10">
        <f ca="1">NPV(B5064,Project_FCF!C18:J18)+Project_FCF!B18</f>
        <v>807.68366007634518</v>
      </c>
      <c r="D5064" s="4"/>
      <c r="E5064" s="4"/>
    </row>
    <row r="5065" spans="1:5" x14ac:dyDescent="0.3">
      <c r="A5065" s="9">
        <v>5057</v>
      </c>
      <c r="B5065" s="10">
        <f t="shared" ref="B5065:B5128" ca="1" si="79">$B$4+RAND()*($B$5-$B$4)</f>
        <v>0.10292690518288401</v>
      </c>
      <c r="C5065" s="10">
        <f ca="1">NPV(B5065,Project_FCF!C18:J18)+Project_FCF!B18</f>
        <v>761.82284257096535</v>
      </c>
      <c r="D5065" s="4"/>
      <c r="E5065" s="4"/>
    </row>
    <row r="5066" spans="1:5" x14ac:dyDescent="0.3">
      <c r="A5066" s="9">
        <v>5058</v>
      </c>
      <c r="B5066" s="10">
        <f t="shared" ca="1" si="79"/>
        <v>7.2078431577492233E-2</v>
      </c>
      <c r="C5066" s="10">
        <f ca="1">NPV(B5066,Project_FCF!C18:J18)+Project_FCF!B18</f>
        <v>1007.158549916604</v>
      </c>
      <c r="D5066" s="4"/>
      <c r="E5066" s="4"/>
    </row>
    <row r="5067" spans="1:5" x14ac:dyDescent="0.3">
      <c r="A5067" s="9">
        <v>5059</v>
      </c>
      <c r="B5067" s="10">
        <f t="shared" ca="1" si="79"/>
        <v>7.767189595338668E-2</v>
      </c>
      <c r="C5067" s="10">
        <f ca="1">NPV(B5067,Project_FCF!C18:J18)+Project_FCF!B18</f>
        <v>958.12055268556901</v>
      </c>
      <c r="D5067" s="4"/>
      <c r="E5067" s="4"/>
    </row>
    <row r="5068" spans="1:5" x14ac:dyDescent="0.3">
      <c r="A5068" s="9">
        <v>5060</v>
      </c>
      <c r="B5068" s="10">
        <f t="shared" ca="1" si="79"/>
        <v>6.7114833441709043E-2</v>
      </c>
      <c r="C5068" s="10">
        <f ca="1">NPV(B5068,Project_FCF!C18:J18)+Project_FCF!B18</f>
        <v>1052.552891800879</v>
      </c>
      <c r="D5068" s="4"/>
      <c r="E5068" s="4"/>
    </row>
    <row r="5069" spans="1:5" x14ac:dyDescent="0.3">
      <c r="A5069" s="9">
        <v>5061</v>
      </c>
      <c r="B5069" s="10">
        <f t="shared" ca="1" si="79"/>
        <v>8.3318179932093131E-2</v>
      </c>
      <c r="C5069" s="10">
        <f ca="1">NPV(B5069,Project_FCF!C18:J18)+Project_FCF!B18</f>
        <v>910.78563573763927</v>
      </c>
      <c r="D5069" s="4"/>
      <c r="E5069" s="4"/>
    </row>
    <row r="5070" spans="1:5" x14ac:dyDescent="0.3">
      <c r="A5070" s="9">
        <v>5062</v>
      </c>
      <c r="B5070" s="10">
        <f t="shared" ca="1" si="79"/>
        <v>8.4717929355087929E-2</v>
      </c>
      <c r="C5070" s="10">
        <f ca="1">NPV(B5070,Project_FCF!C18:J18)+Project_FCF!B18</f>
        <v>899.37503692427777</v>
      </c>
      <c r="D5070" s="4"/>
      <c r="E5070" s="4"/>
    </row>
    <row r="5071" spans="1:5" x14ac:dyDescent="0.3">
      <c r="A5071" s="9">
        <v>5063</v>
      </c>
      <c r="B5071" s="10">
        <f t="shared" ca="1" si="79"/>
        <v>9.9756461112412043E-2</v>
      </c>
      <c r="C5071" s="10">
        <f ca="1">NPV(B5071,Project_FCF!C18:J18)+Project_FCF!B18</f>
        <v>784.38863386570119</v>
      </c>
      <c r="D5071" s="4"/>
      <c r="E5071" s="4"/>
    </row>
    <row r="5072" spans="1:5" x14ac:dyDescent="0.3">
      <c r="A5072" s="9">
        <v>5064</v>
      </c>
      <c r="B5072" s="10">
        <f t="shared" ca="1" si="79"/>
        <v>8.4509410183687156E-2</v>
      </c>
      <c r="C5072" s="10">
        <f ca="1">NPV(B5072,Project_FCF!C18:J18)+Project_FCF!B18</f>
        <v>901.06686746826699</v>
      </c>
      <c r="D5072" s="4"/>
      <c r="E5072" s="4"/>
    </row>
    <row r="5073" spans="1:5" x14ac:dyDescent="0.3">
      <c r="A5073" s="9">
        <v>5065</v>
      </c>
      <c r="B5073" s="10">
        <f t="shared" ca="1" si="79"/>
        <v>7.1113872552496252E-2</v>
      </c>
      <c r="C5073" s="10">
        <f ca="1">NPV(B5073,Project_FCF!C18:J18)+Project_FCF!B18</f>
        <v>1015.8388471886051</v>
      </c>
      <c r="D5073" s="4"/>
      <c r="E5073" s="4"/>
    </row>
    <row r="5074" spans="1:5" x14ac:dyDescent="0.3">
      <c r="A5074" s="9">
        <v>5066</v>
      </c>
      <c r="B5074" s="10">
        <f t="shared" ca="1" si="79"/>
        <v>7.3487876733054847E-2</v>
      </c>
      <c r="C5074" s="10">
        <f ca="1">NPV(B5074,Project_FCF!C18:J18)+Project_FCF!B18</f>
        <v>994.59460238003112</v>
      </c>
      <c r="D5074" s="4"/>
      <c r="E5074" s="4"/>
    </row>
    <row r="5075" spans="1:5" x14ac:dyDescent="0.3">
      <c r="A5075" s="9">
        <v>5067</v>
      </c>
      <c r="B5075" s="10">
        <f t="shared" ca="1" si="79"/>
        <v>9.1045010285906058E-2</v>
      </c>
      <c r="C5075" s="10">
        <f ca="1">NPV(B5075,Project_FCF!C18:J18)+Project_FCF!B18</f>
        <v>849.34046956277575</v>
      </c>
      <c r="D5075" s="4"/>
      <c r="E5075" s="4"/>
    </row>
    <row r="5076" spans="1:5" x14ac:dyDescent="0.3">
      <c r="A5076" s="9">
        <v>5068</v>
      </c>
      <c r="B5076" s="10">
        <f t="shared" ca="1" si="79"/>
        <v>6.9681424196538305E-2</v>
      </c>
      <c r="C5076" s="10">
        <f ca="1">NPV(B5076,Project_FCF!C18:J18)+Project_FCF!B18</f>
        <v>1028.8543496365799</v>
      </c>
      <c r="D5076" s="4"/>
      <c r="E5076" s="4"/>
    </row>
    <row r="5077" spans="1:5" x14ac:dyDescent="0.3">
      <c r="A5077" s="9">
        <v>5069</v>
      </c>
      <c r="B5077" s="10">
        <f t="shared" ca="1" si="79"/>
        <v>9.5324558894230749E-2</v>
      </c>
      <c r="C5077" s="10">
        <f ca="1">NPV(B5077,Project_FCF!C18:J18)+Project_FCF!B18</f>
        <v>816.88018283154224</v>
      </c>
      <c r="D5077" s="4"/>
      <c r="E5077" s="4"/>
    </row>
    <row r="5078" spans="1:5" x14ac:dyDescent="0.3">
      <c r="A5078" s="9">
        <v>5070</v>
      </c>
      <c r="B5078" s="10">
        <f t="shared" ca="1" si="79"/>
        <v>9.5936395546513939E-2</v>
      </c>
      <c r="C5078" s="10">
        <f ca="1">NPV(B5078,Project_FCF!C18:J18)+Project_FCF!B18</f>
        <v>812.32755327655059</v>
      </c>
      <c r="D5078" s="4"/>
      <c r="E5078" s="4"/>
    </row>
    <row r="5079" spans="1:5" x14ac:dyDescent="0.3">
      <c r="A5079" s="9">
        <v>5071</v>
      </c>
      <c r="B5079" s="10">
        <f t="shared" ca="1" si="79"/>
        <v>9.3054231092092307E-2</v>
      </c>
      <c r="C5079" s="10">
        <f ca="1">NPV(B5079,Project_FCF!C18:J18)+Project_FCF!B18</f>
        <v>833.96507645946031</v>
      </c>
      <c r="D5079" s="4"/>
      <c r="E5079" s="4"/>
    </row>
    <row r="5080" spans="1:5" x14ac:dyDescent="0.3">
      <c r="A5080" s="9">
        <v>5072</v>
      </c>
      <c r="B5080" s="10">
        <f t="shared" ca="1" si="79"/>
        <v>8.225847833808704E-2</v>
      </c>
      <c r="C5080" s="10">
        <f ca="1">NPV(B5080,Project_FCF!C18:J18)+Project_FCF!B18</f>
        <v>919.50865046488707</v>
      </c>
      <c r="D5080" s="4"/>
      <c r="E5080" s="4"/>
    </row>
    <row r="5081" spans="1:5" x14ac:dyDescent="0.3">
      <c r="A5081" s="9">
        <v>5073</v>
      </c>
      <c r="B5081" s="10">
        <f t="shared" ca="1" si="79"/>
        <v>6.6514138733658315E-2</v>
      </c>
      <c r="C5081" s="10">
        <f ca="1">NPV(B5081,Project_FCF!C18:J18)+Project_FCF!B18</f>
        <v>1058.1704453970419</v>
      </c>
      <c r="D5081" s="4"/>
      <c r="E5081" s="4"/>
    </row>
    <row r="5082" spans="1:5" x14ac:dyDescent="0.3">
      <c r="A5082" s="9">
        <v>5074</v>
      </c>
      <c r="B5082" s="10">
        <f t="shared" ca="1" si="79"/>
        <v>9.1393241952696005E-2</v>
      </c>
      <c r="C5082" s="10">
        <f ca="1">NPV(B5082,Project_FCF!C18:J18)+Project_FCF!B18</f>
        <v>846.65827372387594</v>
      </c>
      <c r="D5082" s="4"/>
      <c r="E5082" s="4"/>
    </row>
    <row r="5083" spans="1:5" x14ac:dyDescent="0.3">
      <c r="A5083" s="9">
        <v>5075</v>
      </c>
      <c r="B5083" s="10">
        <f t="shared" ca="1" si="79"/>
        <v>7.0951714076512448E-2</v>
      </c>
      <c r="C5083" s="10">
        <f ca="1">NPV(B5083,Project_FCF!C18:J18)+Project_FCF!B18</f>
        <v>1017.3047523983316</v>
      </c>
      <c r="D5083" s="4"/>
      <c r="E5083" s="4"/>
    </row>
    <row r="5084" spans="1:5" x14ac:dyDescent="0.3">
      <c r="A5084" s="9">
        <v>5076</v>
      </c>
      <c r="B5084" s="10">
        <f t="shared" ca="1" si="79"/>
        <v>9.983138355031633E-2</v>
      </c>
      <c r="C5084" s="10">
        <f ca="1">NPV(B5084,Project_FCF!C18:J18)+Project_FCF!B18</f>
        <v>783.84893590503361</v>
      </c>
      <c r="D5084" s="4"/>
      <c r="E5084" s="4"/>
    </row>
    <row r="5085" spans="1:5" x14ac:dyDescent="0.3">
      <c r="A5085" s="9">
        <v>5077</v>
      </c>
      <c r="B5085" s="10">
        <f t="shared" ca="1" si="79"/>
        <v>9.3729695175141653E-2</v>
      </c>
      <c r="C5085" s="10">
        <f ca="1">NPV(B5085,Project_FCF!C18:J18)+Project_FCF!B18</f>
        <v>828.85026387731637</v>
      </c>
      <c r="D5085" s="4"/>
      <c r="E5085" s="4"/>
    </row>
    <row r="5086" spans="1:5" x14ac:dyDescent="0.3">
      <c r="A5086" s="9">
        <v>5078</v>
      </c>
      <c r="B5086" s="10">
        <f t="shared" ca="1" si="79"/>
        <v>6.9367494053998502E-2</v>
      </c>
      <c r="C5086" s="10">
        <f ca="1">NPV(B5086,Project_FCF!C18:J18)+Project_FCF!B18</f>
        <v>1031.7268320165078</v>
      </c>
      <c r="D5086" s="4"/>
      <c r="E5086" s="4"/>
    </row>
    <row r="5087" spans="1:5" x14ac:dyDescent="0.3">
      <c r="A5087" s="9">
        <v>5079</v>
      </c>
      <c r="B5087" s="10">
        <f t="shared" ca="1" si="79"/>
        <v>9.2867739434252097E-2</v>
      </c>
      <c r="C5087" s="10">
        <f ca="1">NPV(B5087,Project_FCF!C18:J18)+Project_FCF!B18</f>
        <v>835.38201749375844</v>
      </c>
      <c r="D5087" s="4"/>
      <c r="E5087" s="4"/>
    </row>
    <row r="5088" spans="1:5" x14ac:dyDescent="0.3">
      <c r="A5088" s="9">
        <v>5080</v>
      </c>
      <c r="B5088" s="10">
        <f t="shared" ca="1" si="79"/>
        <v>7.1269146565247354E-2</v>
      </c>
      <c r="C5088" s="10">
        <f ca="1">NPV(B5088,Project_FCF!C18:J18)+Project_FCF!B18</f>
        <v>1014.4369627035699</v>
      </c>
      <c r="D5088" s="4"/>
      <c r="E5088" s="4"/>
    </row>
    <row r="5089" spans="1:5" x14ac:dyDescent="0.3">
      <c r="A5089" s="9">
        <v>5081</v>
      </c>
      <c r="B5089" s="10">
        <f t="shared" ca="1" si="79"/>
        <v>8.4637564879410959E-2</v>
      </c>
      <c r="C5089" s="10">
        <f ca="1">NPV(B5089,Project_FCF!C18:J18)+Project_FCF!B18</f>
        <v>900.02674789843104</v>
      </c>
      <c r="D5089" s="4"/>
      <c r="E5089" s="4"/>
    </row>
    <row r="5090" spans="1:5" x14ac:dyDescent="0.3">
      <c r="A5090" s="9">
        <v>5082</v>
      </c>
      <c r="B5090" s="10">
        <f t="shared" ca="1" si="79"/>
        <v>8.6866168489942802E-2</v>
      </c>
      <c r="C5090" s="10">
        <f ca="1">NPV(B5090,Project_FCF!C18:J18)+Project_FCF!B18</f>
        <v>882.1064116507232</v>
      </c>
      <c r="D5090" s="4"/>
      <c r="E5090" s="4"/>
    </row>
    <row r="5091" spans="1:5" x14ac:dyDescent="0.3">
      <c r="A5091" s="9">
        <v>5083</v>
      </c>
      <c r="B5091" s="10">
        <f t="shared" ca="1" si="79"/>
        <v>7.4988495470796362E-2</v>
      </c>
      <c r="C5091" s="10">
        <f ca="1">NPV(B5091,Project_FCF!C18:J18)+Project_FCF!B18</f>
        <v>981.37268978314796</v>
      </c>
      <c r="D5091" s="4"/>
      <c r="E5091" s="4"/>
    </row>
    <row r="5092" spans="1:5" x14ac:dyDescent="0.3">
      <c r="A5092" s="9">
        <v>5084</v>
      </c>
      <c r="B5092" s="10">
        <f t="shared" ca="1" si="79"/>
        <v>9.5995197508031538E-2</v>
      </c>
      <c r="C5092" s="10">
        <f ca="1">NPV(B5092,Project_FCF!C18:J18)+Project_FCF!B18</f>
        <v>811.89115680526129</v>
      </c>
      <c r="D5092" s="4"/>
      <c r="E5092" s="4"/>
    </row>
    <row r="5093" spans="1:5" x14ac:dyDescent="0.3">
      <c r="A5093" s="9">
        <v>5085</v>
      </c>
      <c r="B5093" s="10">
        <f t="shared" ca="1" si="79"/>
        <v>7.4813612273064711E-2</v>
      </c>
      <c r="C5093" s="10">
        <f ca="1">NPV(B5093,Project_FCF!C18:J18)+Project_FCF!B18</f>
        <v>982.9054320477735</v>
      </c>
      <c r="D5093" s="4"/>
      <c r="E5093" s="4"/>
    </row>
    <row r="5094" spans="1:5" x14ac:dyDescent="0.3">
      <c r="A5094" s="9">
        <v>5086</v>
      </c>
      <c r="B5094" s="10">
        <f t="shared" ca="1" si="79"/>
        <v>6.9111822142482432E-2</v>
      </c>
      <c r="C5094" s="10">
        <f ca="1">NPV(B5094,Project_FCF!C18:J18)+Project_FCF!B18</f>
        <v>1034.0716066890002</v>
      </c>
      <c r="D5094" s="4"/>
      <c r="E5094" s="4"/>
    </row>
    <row r="5095" spans="1:5" x14ac:dyDescent="0.3">
      <c r="A5095" s="9">
        <v>5087</v>
      </c>
      <c r="B5095" s="10">
        <f t="shared" ca="1" si="79"/>
        <v>7.2322684626806522E-2</v>
      </c>
      <c r="C5095" s="10">
        <f ca="1">NPV(B5095,Project_FCF!C18:J18)+Project_FCF!B18</f>
        <v>1004.9710834328105</v>
      </c>
      <c r="D5095" s="4"/>
      <c r="E5095" s="4"/>
    </row>
    <row r="5096" spans="1:5" x14ac:dyDescent="0.3">
      <c r="A5096" s="9">
        <v>5088</v>
      </c>
      <c r="B5096" s="10">
        <f t="shared" ca="1" si="79"/>
        <v>6.7880513308532509E-2</v>
      </c>
      <c r="C5096" s="10">
        <f ca="1">NPV(B5096,Project_FCF!C18:J18)+Project_FCF!B18</f>
        <v>1045.4317238527524</v>
      </c>
      <c r="D5096" s="4"/>
      <c r="E5096" s="4"/>
    </row>
    <row r="5097" spans="1:5" x14ac:dyDescent="0.3">
      <c r="A5097" s="9">
        <v>5089</v>
      </c>
      <c r="B5097" s="10">
        <f t="shared" ca="1" si="79"/>
        <v>7.9824828073487647E-2</v>
      </c>
      <c r="C5097" s="10">
        <f ca="1">NPV(B5097,Project_FCF!C18:J18)+Project_FCF!B18</f>
        <v>939.82097259726311</v>
      </c>
      <c r="D5097" s="4"/>
      <c r="E5097" s="4"/>
    </row>
    <row r="5098" spans="1:5" x14ac:dyDescent="0.3">
      <c r="A5098" s="9">
        <v>5090</v>
      </c>
      <c r="B5098" s="10">
        <f t="shared" ca="1" si="79"/>
        <v>0.100412271320238</v>
      </c>
      <c r="C5098" s="10">
        <f ca="1">NPV(B5098,Project_FCF!C18:J18)+Project_FCF!B18</f>
        <v>779.67520245437822</v>
      </c>
      <c r="D5098" s="4"/>
      <c r="E5098" s="4"/>
    </row>
    <row r="5099" spans="1:5" x14ac:dyDescent="0.3">
      <c r="A5099" s="9">
        <v>5091</v>
      </c>
      <c r="B5099" s="10">
        <f t="shared" ca="1" si="79"/>
        <v>9.3012686922063839E-2</v>
      </c>
      <c r="C5099" s="10">
        <f ca="1">NPV(B5099,Project_FCF!C18:J18)+Project_FCF!B18</f>
        <v>834.28054491231933</v>
      </c>
      <c r="D5099" s="4"/>
      <c r="E5099" s="4"/>
    </row>
    <row r="5100" spans="1:5" x14ac:dyDescent="0.3">
      <c r="A5100" s="9">
        <v>5092</v>
      </c>
      <c r="B5100" s="10">
        <f t="shared" ca="1" si="79"/>
        <v>8.2580111276363805E-2</v>
      </c>
      <c r="C5100" s="10">
        <f ca="1">NPV(B5100,Project_FCF!C18:J18)+Project_FCF!B18</f>
        <v>916.8533632180704</v>
      </c>
      <c r="D5100" s="4"/>
      <c r="E5100" s="4"/>
    </row>
    <row r="5101" spans="1:5" x14ac:dyDescent="0.3">
      <c r="A5101" s="9">
        <v>5093</v>
      </c>
      <c r="B5101" s="10">
        <f t="shared" ca="1" si="79"/>
        <v>8.4818251401838685E-2</v>
      </c>
      <c r="C5101" s="10">
        <f ca="1">NPV(B5101,Project_FCF!C18:J18)+Project_FCF!B18</f>
        <v>898.56206174327758</v>
      </c>
      <c r="D5101" s="4"/>
      <c r="E5101" s="4"/>
    </row>
    <row r="5102" spans="1:5" x14ac:dyDescent="0.3">
      <c r="A5102" s="9">
        <v>5094</v>
      </c>
      <c r="B5102" s="10">
        <f t="shared" ca="1" si="79"/>
        <v>8.795319764991788E-2</v>
      </c>
      <c r="C5102" s="10">
        <f ca="1">NPV(B5102,Project_FCF!C18:J18)+Project_FCF!B18</f>
        <v>873.47916527932534</v>
      </c>
      <c r="D5102" s="4"/>
      <c r="E5102" s="4"/>
    </row>
    <row r="5103" spans="1:5" x14ac:dyDescent="0.3">
      <c r="A5103" s="9">
        <v>5095</v>
      </c>
      <c r="B5103" s="10">
        <f t="shared" ca="1" si="79"/>
        <v>8.545123389114688E-2</v>
      </c>
      <c r="C5103" s="10">
        <f ca="1">NPV(B5103,Project_FCF!C18:J18)+Project_FCF!B18</f>
        <v>893.44742001002442</v>
      </c>
      <c r="D5103" s="4"/>
      <c r="E5103" s="4"/>
    </row>
    <row r="5104" spans="1:5" x14ac:dyDescent="0.3">
      <c r="A5104" s="9">
        <v>5096</v>
      </c>
      <c r="B5104" s="10">
        <f t="shared" ca="1" si="79"/>
        <v>0.10129461847651809</v>
      </c>
      <c r="C5104" s="10">
        <f ca="1">NPV(B5104,Project_FCF!C18:J18)+Project_FCF!B18</f>
        <v>773.3713734634598</v>
      </c>
      <c r="D5104" s="4"/>
      <c r="E5104" s="4"/>
    </row>
    <row r="5105" spans="1:5" x14ac:dyDescent="0.3">
      <c r="A5105" s="9">
        <v>5097</v>
      </c>
      <c r="B5105" s="10">
        <f t="shared" ca="1" si="79"/>
        <v>7.0819793166404632E-2</v>
      </c>
      <c r="C5105" s="10">
        <f ca="1">NPV(B5105,Project_FCF!C18:J18)+Project_FCF!B18</f>
        <v>1018.4987186687997</v>
      </c>
      <c r="D5105" s="4"/>
      <c r="E5105" s="4"/>
    </row>
    <row r="5106" spans="1:5" x14ac:dyDescent="0.3">
      <c r="A5106" s="9">
        <v>5098</v>
      </c>
      <c r="B5106" s="10">
        <f t="shared" ca="1" si="79"/>
        <v>6.9384909800285999E-2</v>
      </c>
      <c r="C5106" s="10">
        <f ca="1">NPV(B5106,Project_FCF!C18:J18)+Project_FCF!B18</f>
        <v>1031.5672868672341</v>
      </c>
      <c r="D5106" s="4"/>
      <c r="E5106" s="4"/>
    </row>
    <row r="5107" spans="1:5" x14ac:dyDescent="0.3">
      <c r="A5107" s="9">
        <v>5099</v>
      </c>
      <c r="B5107" s="10">
        <f t="shared" ca="1" si="79"/>
        <v>8.9188995376753913E-2</v>
      </c>
      <c r="C5107" s="10">
        <f ca="1">NPV(B5107,Project_FCF!C18:J18)+Project_FCF!B18</f>
        <v>863.76048114383048</v>
      </c>
      <c r="D5107" s="4"/>
      <c r="E5107" s="4"/>
    </row>
    <row r="5108" spans="1:5" x14ac:dyDescent="0.3">
      <c r="A5108" s="9">
        <v>5100</v>
      </c>
      <c r="B5108" s="10">
        <f t="shared" ca="1" si="79"/>
        <v>7.1450707360589574E-2</v>
      </c>
      <c r="C5108" s="10">
        <f ca="1">NPV(B5108,Project_FCF!C18:J18)+Project_FCF!B18</f>
        <v>1012.7999611946675</v>
      </c>
      <c r="D5108" s="4"/>
      <c r="E5108" s="4"/>
    </row>
    <row r="5109" spans="1:5" x14ac:dyDescent="0.3">
      <c r="A5109" s="9">
        <v>5101</v>
      </c>
      <c r="B5109" s="10">
        <f t="shared" ca="1" si="79"/>
        <v>9.8373262852856191E-2</v>
      </c>
      <c r="C5109" s="10">
        <f ca="1">NPV(B5109,Project_FCF!C18:J18)+Project_FCF!B18</f>
        <v>794.40910103519627</v>
      </c>
      <c r="D5109" s="4"/>
      <c r="E5109" s="4"/>
    </row>
    <row r="5110" spans="1:5" x14ac:dyDescent="0.3">
      <c r="A5110" s="9">
        <v>5102</v>
      </c>
      <c r="B5110" s="10">
        <f t="shared" ca="1" si="79"/>
        <v>7.6253747847806919E-2</v>
      </c>
      <c r="C5110" s="10">
        <f ca="1">NPV(B5110,Project_FCF!C18:J18)+Project_FCF!B18</f>
        <v>970.34705178043623</v>
      </c>
      <c r="D5110" s="4"/>
      <c r="E5110" s="4"/>
    </row>
    <row r="5111" spans="1:5" x14ac:dyDescent="0.3">
      <c r="A5111" s="9">
        <v>5103</v>
      </c>
      <c r="B5111" s="10">
        <f t="shared" ca="1" si="79"/>
        <v>7.5018363999651436E-2</v>
      </c>
      <c r="C5111" s="10">
        <f ca="1">NPV(B5111,Project_FCF!C18:J18)+Project_FCF!B18</f>
        <v>981.11112469594514</v>
      </c>
      <c r="D5111" s="4"/>
      <c r="E5111" s="4"/>
    </row>
    <row r="5112" spans="1:5" x14ac:dyDescent="0.3">
      <c r="A5112" s="9">
        <v>5104</v>
      </c>
      <c r="B5112" s="10">
        <f t="shared" ca="1" si="79"/>
        <v>0.10190862419391583</v>
      </c>
      <c r="C5112" s="10">
        <f ca="1">NPV(B5112,Project_FCF!C18:J18)+Project_FCF!B18</f>
        <v>769.01008400499359</v>
      </c>
      <c r="D5112" s="4"/>
      <c r="E5112" s="4"/>
    </row>
    <row r="5113" spans="1:5" x14ac:dyDescent="0.3">
      <c r="A5113" s="9">
        <v>5105</v>
      </c>
      <c r="B5113" s="10">
        <f t="shared" ca="1" si="79"/>
        <v>0.10087343978995703</v>
      </c>
      <c r="C5113" s="10">
        <f ca="1">NPV(B5113,Project_FCF!C18:J18)+Project_FCF!B18</f>
        <v>776.37504961288437</v>
      </c>
      <c r="D5113" s="4"/>
      <c r="E5113" s="4"/>
    </row>
    <row r="5114" spans="1:5" x14ac:dyDescent="0.3">
      <c r="A5114" s="9">
        <v>5106</v>
      </c>
      <c r="B5114" s="10">
        <f t="shared" ca="1" si="79"/>
        <v>9.4462168550738537E-2</v>
      </c>
      <c r="C5114" s="10">
        <f ca="1">NPV(B5114,Project_FCF!C18:J18)+Project_FCF!B18</f>
        <v>823.33422646776899</v>
      </c>
      <c r="D5114" s="4"/>
      <c r="E5114" s="4"/>
    </row>
    <row r="5115" spans="1:5" x14ac:dyDescent="0.3">
      <c r="A5115" s="9">
        <v>5107</v>
      </c>
      <c r="B5115" s="10">
        <f t="shared" ca="1" si="79"/>
        <v>8.3579799398499077E-2</v>
      </c>
      <c r="C5115" s="10">
        <f ca="1">NPV(B5115,Project_FCF!C18:J18)+Project_FCF!B18</f>
        <v>908.64333394562391</v>
      </c>
      <c r="D5115" s="4"/>
      <c r="E5115" s="4"/>
    </row>
    <row r="5116" spans="1:5" x14ac:dyDescent="0.3">
      <c r="A5116" s="9">
        <v>5108</v>
      </c>
      <c r="B5116" s="10">
        <f t="shared" ca="1" si="79"/>
        <v>7.8521982058905315E-2</v>
      </c>
      <c r="C5116" s="10">
        <f ca="1">NPV(B5116,Project_FCF!C18:J18)+Project_FCF!B18</f>
        <v>950.85749673365308</v>
      </c>
      <c r="D5116" s="4"/>
      <c r="E5116" s="4"/>
    </row>
    <row r="5117" spans="1:5" x14ac:dyDescent="0.3">
      <c r="A5117" s="9">
        <v>5109</v>
      </c>
      <c r="B5117" s="10">
        <f t="shared" ca="1" si="79"/>
        <v>6.8921323070464668E-2</v>
      </c>
      <c r="C5117" s="10">
        <f ca="1">NPV(B5117,Project_FCF!C18:J18)+Project_FCF!B18</f>
        <v>1035.8218143137419</v>
      </c>
      <c r="D5117" s="4"/>
      <c r="E5117" s="4"/>
    </row>
    <row r="5118" spans="1:5" x14ac:dyDescent="0.3">
      <c r="A5118" s="9">
        <v>5110</v>
      </c>
      <c r="B5118" s="10">
        <f t="shared" ca="1" si="79"/>
        <v>7.1657022844056006E-2</v>
      </c>
      <c r="C5118" s="10">
        <f ca="1">NPV(B5118,Project_FCF!C18:J18)+Project_FCF!B18</f>
        <v>1010.942654423329</v>
      </c>
      <c r="D5118" s="4"/>
      <c r="E5118" s="4"/>
    </row>
    <row r="5119" spans="1:5" x14ac:dyDescent="0.3">
      <c r="A5119" s="9">
        <v>5111</v>
      </c>
      <c r="B5119" s="10">
        <f t="shared" ca="1" si="79"/>
        <v>6.5978242991673583E-2</v>
      </c>
      <c r="C5119" s="10">
        <f ca="1">NPV(B5119,Project_FCF!C18:J18)+Project_FCF!B18</f>
        <v>1063.2050205126934</v>
      </c>
      <c r="D5119" s="4"/>
      <c r="E5119" s="4"/>
    </row>
    <row r="5120" spans="1:5" x14ac:dyDescent="0.3">
      <c r="A5120" s="9">
        <v>5112</v>
      </c>
      <c r="B5120" s="10">
        <f t="shared" ca="1" si="79"/>
        <v>7.4125708741509061E-2</v>
      </c>
      <c r="C5120" s="10">
        <f ca="1">NPV(B5120,Project_FCF!C18:J18)+Project_FCF!B18</f>
        <v>988.95529844352359</v>
      </c>
      <c r="D5120" s="4"/>
      <c r="E5120" s="4"/>
    </row>
    <row r="5121" spans="1:5" x14ac:dyDescent="0.3">
      <c r="A5121" s="9">
        <v>5113</v>
      </c>
      <c r="B5121" s="10">
        <f t="shared" ca="1" si="79"/>
        <v>9.6770386997590163E-2</v>
      </c>
      <c r="C5121" s="10">
        <f ca="1">NPV(B5121,Project_FCF!C18:J18)+Project_FCF!B18</f>
        <v>806.15679960155967</v>
      </c>
      <c r="D5121" s="4"/>
      <c r="E5121" s="4"/>
    </row>
    <row r="5122" spans="1:5" x14ac:dyDescent="0.3">
      <c r="A5122" s="9">
        <v>5114</v>
      </c>
      <c r="B5122" s="10">
        <f t="shared" ca="1" si="79"/>
        <v>8.0075034223420882E-2</v>
      </c>
      <c r="C5122" s="10">
        <f ca="1">NPV(B5122,Project_FCF!C18:J18)+Project_FCF!B18</f>
        <v>937.71450209908926</v>
      </c>
      <c r="D5122" s="4"/>
      <c r="E5122" s="4"/>
    </row>
    <row r="5123" spans="1:5" x14ac:dyDescent="0.3">
      <c r="A5123" s="9">
        <v>5115</v>
      </c>
      <c r="B5123" s="10">
        <f t="shared" ca="1" si="79"/>
        <v>8.374329434217441E-2</v>
      </c>
      <c r="C5123" s="10">
        <f ca="1">NPV(B5123,Project_FCF!C18:J18)+Project_FCF!B18</f>
        <v>907.30678602150442</v>
      </c>
      <c r="D5123" s="4"/>
      <c r="E5123" s="4"/>
    </row>
    <row r="5124" spans="1:5" x14ac:dyDescent="0.3">
      <c r="A5124" s="9">
        <v>5116</v>
      </c>
      <c r="B5124" s="10">
        <f t="shared" ca="1" si="79"/>
        <v>6.8864326082769198E-2</v>
      </c>
      <c r="C5124" s="10">
        <f ca="1">NPV(B5124,Project_FCF!C18:J18)+Project_FCF!B18</f>
        <v>1036.3459944682475</v>
      </c>
      <c r="D5124" s="4"/>
      <c r="E5124" s="4"/>
    </row>
    <row r="5125" spans="1:5" x14ac:dyDescent="0.3">
      <c r="A5125" s="9">
        <v>5117</v>
      </c>
      <c r="B5125" s="10">
        <f t="shared" ca="1" si="79"/>
        <v>7.3533851752872109E-2</v>
      </c>
      <c r="C5125" s="10">
        <f ca="1">NPV(B5125,Project_FCF!C18:J18)+Project_FCF!B18</f>
        <v>994.18715794701438</v>
      </c>
      <c r="D5125" s="4"/>
      <c r="E5125" s="4"/>
    </row>
    <row r="5126" spans="1:5" x14ac:dyDescent="0.3">
      <c r="A5126" s="9">
        <v>5118</v>
      </c>
      <c r="B5126" s="10">
        <f t="shared" ca="1" si="79"/>
        <v>8.1314999206071367E-2</v>
      </c>
      <c r="C5126" s="10">
        <f ca="1">NPV(B5126,Project_FCF!C18:J18)+Project_FCF!B18</f>
        <v>927.33683690087219</v>
      </c>
      <c r="D5126" s="4"/>
      <c r="E5126" s="4"/>
    </row>
    <row r="5127" spans="1:5" x14ac:dyDescent="0.3">
      <c r="A5127" s="9">
        <v>5119</v>
      </c>
      <c r="B5127" s="10">
        <f t="shared" ca="1" si="79"/>
        <v>8.5393403768517881E-2</v>
      </c>
      <c r="C5127" s="10">
        <f ca="1">NPV(B5127,Project_FCF!C18:J18)+Project_FCF!B18</f>
        <v>893.91363998942825</v>
      </c>
      <c r="D5127" s="4"/>
      <c r="E5127" s="4"/>
    </row>
    <row r="5128" spans="1:5" x14ac:dyDescent="0.3">
      <c r="A5128" s="9">
        <v>5120</v>
      </c>
      <c r="B5128" s="10">
        <f t="shared" ca="1" si="79"/>
        <v>8.7161167708593862E-2</v>
      </c>
      <c r="C5128" s="10">
        <f ca="1">NPV(B5128,Project_FCF!C18:J18)+Project_FCF!B18</f>
        <v>879.7578294687678</v>
      </c>
      <c r="D5128" s="4"/>
      <c r="E5128" s="4"/>
    </row>
    <row r="5129" spans="1:5" x14ac:dyDescent="0.3">
      <c r="A5129" s="9">
        <v>5121</v>
      </c>
      <c r="B5129" s="10">
        <f t="shared" ref="B5129:B5192" ca="1" si="80">$B$4+RAND()*($B$5-$B$4)</f>
        <v>8.5796815271225263E-2</v>
      </c>
      <c r="C5129" s="10">
        <f ca="1">NPV(B5129,Project_FCF!C18:J18)+Project_FCF!B18</f>
        <v>890.66581356567576</v>
      </c>
      <c r="D5129" s="4"/>
      <c r="E5129" s="4"/>
    </row>
    <row r="5130" spans="1:5" x14ac:dyDescent="0.3">
      <c r="A5130" s="9">
        <v>5122</v>
      </c>
      <c r="B5130" s="10">
        <f t="shared" ca="1" si="80"/>
        <v>6.5054603699686867E-2</v>
      </c>
      <c r="C5130" s="10">
        <f ca="1">NPV(B5130,Project_FCF!C18:J18)+Project_FCF!B18</f>
        <v>1071.9335661560106</v>
      </c>
      <c r="D5130" s="4"/>
      <c r="E5130" s="4"/>
    </row>
    <row r="5131" spans="1:5" x14ac:dyDescent="0.3">
      <c r="A5131" s="9">
        <v>5123</v>
      </c>
      <c r="B5131" s="10">
        <f t="shared" ca="1" si="80"/>
        <v>6.9146076088274916E-2</v>
      </c>
      <c r="C5131" s="10">
        <f ca="1">NPV(B5131,Project_FCF!C18:J18)+Project_FCF!B18</f>
        <v>1033.7571831816917</v>
      </c>
      <c r="D5131" s="4"/>
      <c r="E5131" s="4"/>
    </row>
    <row r="5132" spans="1:5" x14ac:dyDescent="0.3">
      <c r="A5132" s="9">
        <v>5124</v>
      </c>
      <c r="B5132" s="10">
        <f t="shared" ca="1" si="80"/>
        <v>9.4603099059699491E-2</v>
      </c>
      <c r="C5132" s="10">
        <f ca="1">NPV(B5132,Project_FCF!C18:J18)+Project_FCF!B18</f>
        <v>822.27654070636572</v>
      </c>
      <c r="D5132" s="4"/>
      <c r="E5132" s="4"/>
    </row>
    <row r="5133" spans="1:5" x14ac:dyDescent="0.3">
      <c r="A5133" s="9">
        <v>5125</v>
      </c>
      <c r="B5133" s="10">
        <f t="shared" ca="1" si="80"/>
        <v>8.2259458770378477E-2</v>
      </c>
      <c r="C5133" s="10">
        <f ca="1">NPV(B5133,Project_FCF!C18:J18)+Project_FCF!B18</f>
        <v>919.50054607990523</v>
      </c>
      <c r="D5133" s="4"/>
      <c r="E5133" s="4"/>
    </row>
    <row r="5134" spans="1:5" x14ac:dyDescent="0.3">
      <c r="A5134" s="9">
        <v>5126</v>
      </c>
      <c r="B5134" s="10">
        <f t="shared" ca="1" si="80"/>
        <v>9.9662379861988032E-2</v>
      </c>
      <c r="C5134" s="10">
        <f ca="1">NPV(B5134,Project_FCF!C18:J18)+Project_FCF!B18</f>
        <v>785.06678618751812</v>
      </c>
      <c r="D5134" s="4"/>
      <c r="E5134" s="4"/>
    </row>
    <row r="5135" spans="1:5" x14ac:dyDescent="0.3">
      <c r="A5135" s="9">
        <v>5127</v>
      </c>
      <c r="B5135" s="10">
        <f t="shared" ca="1" si="80"/>
        <v>0.10081841564734531</v>
      </c>
      <c r="C5135" s="10">
        <f ca="1">NPV(B5135,Project_FCF!C18:J18)+Project_FCF!B18</f>
        <v>776.76818542066985</v>
      </c>
      <c r="D5135" s="4"/>
      <c r="E5135" s="4"/>
    </row>
    <row r="5136" spans="1:5" x14ac:dyDescent="0.3">
      <c r="A5136" s="9">
        <v>5128</v>
      </c>
      <c r="B5136" s="10">
        <f t="shared" ca="1" si="80"/>
        <v>7.8195897441997037E-2</v>
      </c>
      <c r="C5136" s="10">
        <f ca="1">NPV(B5136,Project_FCF!C18:J18)+Project_FCF!B18</f>
        <v>953.63772549893656</v>
      </c>
      <c r="D5136" s="4"/>
      <c r="E5136" s="4"/>
    </row>
    <row r="5137" spans="1:5" x14ac:dyDescent="0.3">
      <c r="A5137" s="9">
        <v>5129</v>
      </c>
      <c r="B5137" s="10">
        <f t="shared" ca="1" si="80"/>
        <v>9.796754860021456E-2</v>
      </c>
      <c r="C5137" s="10">
        <f ca="1">NPV(B5137,Project_FCF!C18:J18)+Project_FCF!B18</f>
        <v>797.36878369464557</v>
      </c>
      <c r="D5137" s="4"/>
      <c r="E5137" s="4"/>
    </row>
    <row r="5138" spans="1:5" x14ac:dyDescent="0.3">
      <c r="A5138" s="9">
        <v>5130</v>
      </c>
      <c r="B5138" s="10">
        <f t="shared" ca="1" si="80"/>
        <v>8.6848372060424492E-2</v>
      </c>
      <c r="C5138" s="10">
        <f ca="1">NPV(B5138,Project_FCF!C18:J18)+Project_FCF!B18</f>
        <v>882.24826940075809</v>
      </c>
      <c r="D5138" s="4"/>
      <c r="E5138" s="4"/>
    </row>
    <row r="5139" spans="1:5" x14ac:dyDescent="0.3">
      <c r="A5139" s="9">
        <v>5131</v>
      </c>
      <c r="B5139" s="10">
        <f t="shared" ca="1" si="80"/>
        <v>9.2534845558759002E-2</v>
      </c>
      <c r="C5139" s="10">
        <f ca="1">NPV(B5139,Project_FCF!C18:J18)+Project_FCF!B18</f>
        <v>837.91645520374118</v>
      </c>
      <c r="D5139" s="4"/>
      <c r="E5139" s="4"/>
    </row>
    <row r="5140" spans="1:5" x14ac:dyDescent="0.3">
      <c r="A5140" s="9">
        <v>5132</v>
      </c>
      <c r="B5140" s="10">
        <f t="shared" ca="1" si="80"/>
        <v>9.8898477822184278E-2</v>
      </c>
      <c r="C5140" s="10">
        <f ca="1">NPV(B5140,Project_FCF!C18:J18)+Project_FCF!B18</f>
        <v>790.59151930326925</v>
      </c>
      <c r="D5140" s="4"/>
      <c r="E5140" s="4"/>
    </row>
    <row r="5141" spans="1:5" x14ac:dyDescent="0.3">
      <c r="A5141" s="9">
        <v>5133</v>
      </c>
      <c r="B5141" s="10">
        <f t="shared" ca="1" si="80"/>
        <v>8.9201776797228599E-2</v>
      </c>
      <c r="C5141" s="10">
        <f ca="1">NPV(B5141,Project_FCF!C18:J18)+Project_FCF!B18</f>
        <v>863.66045705463785</v>
      </c>
      <c r="D5141" s="4"/>
      <c r="E5141" s="4"/>
    </row>
    <row r="5142" spans="1:5" x14ac:dyDescent="0.3">
      <c r="A5142" s="9">
        <v>5134</v>
      </c>
      <c r="B5142" s="10">
        <f t="shared" ca="1" si="80"/>
        <v>9.7830611316936447E-2</v>
      </c>
      <c r="C5142" s="10">
        <f ca="1">NPV(B5142,Project_FCF!C18:J18)+Project_FCF!B18</f>
        <v>798.3698530078907</v>
      </c>
      <c r="D5142" s="4"/>
      <c r="E5142" s="4"/>
    </row>
    <row r="5143" spans="1:5" x14ac:dyDescent="0.3">
      <c r="A5143" s="9">
        <v>5135</v>
      </c>
      <c r="B5143" s="10">
        <f t="shared" ca="1" si="80"/>
        <v>6.7888192589032281E-2</v>
      </c>
      <c r="C5143" s="10">
        <f ca="1">NPV(B5143,Project_FCF!C18:J18)+Project_FCF!B18</f>
        <v>1045.3605251669944</v>
      </c>
      <c r="D5143" s="4"/>
      <c r="E5143" s="4"/>
    </row>
    <row r="5144" spans="1:5" x14ac:dyDescent="0.3">
      <c r="A5144" s="9">
        <v>5136</v>
      </c>
      <c r="B5144" s="10">
        <f t="shared" ca="1" si="80"/>
        <v>7.6054809677779445E-2</v>
      </c>
      <c r="C5144" s="10">
        <f ca="1">NPV(B5144,Project_FCF!C18:J18)+Project_FCF!B18</f>
        <v>972.07326883166843</v>
      </c>
      <c r="D5144" s="4"/>
      <c r="E5144" s="4"/>
    </row>
    <row r="5145" spans="1:5" x14ac:dyDescent="0.3">
      <c r="A5145" s="9">
        <v>5137</v>
      </c>
      <c r="B5145" s="10">
        <f t="shared" ca="1" si="80"/>
        <v>8.8065006150802566E-2</v>
      </c>
      <c r="C5145" s="10">
        <f ca="1">NPV(B5145,Project_FCF!C18:J18)+Project_FCF!B18</f>
        <v>872.59597548220881</v>
      </c>
      <c r="D5145" s="4"/>
      <c r="E5145" s="4"/>
    </row>
    <row r="5146" spans="1:5" x14ac:dyDescent="0.3">
      <c r="A5146" s="9">
        <v>5138</v>
      </c>
      <c r="B5146" s="10">
        <f t="shared" ca="1" si="80"/>
        <v>7.0184251947165863E-2</v>
      </c>
      <c r="C5146" s="10">
        <f ca="1">NPV(B5146,Project_FCF!C18:J18)+Project_FCF!B18</f>
        <v>1024.2685049521424</v>
      </c>
      <c r="D5146" s="4"/>
      <c r="E5146" s="4"/>
    </row>
    <row r="5147" spans="1:5" x14ac:dyDescent="0.3">
      <c r="A5147" s="9">
        <v>5139</v>
      </c>
      <c r="B5147" s="10">
        <f t="shared" ca="1" si="80"/>
        <v>9.4805407751554938E-2</v>
      </c>
      <c r="C5147" s="10">
        <f ca="1">NPV(B5147,Project_FCF!C18:J18)+Project_FCF!B18</f>
        <v>820.76024618612769</v>
      </c>
      <c r="D5147" s="4"/>
      <c r="E5147" s="4"/>
    </row>
    <row r="5148" spans="1:5" x14ac:dyDescent="0.3">
      <c r="A5148" s="9">
        <v>5140</v>
      </c>
      <c r="B5148" s="10">
        <f t="shared" ca="1" si="80"/>
        <v>9.9724286791226358E-2</v>
      </c>
      <c r="C5148" s="10">
        <f ca="1">NPV(B5148,Project_FCF!C18:J18)+Project_FCF!B18</f>
        <v>784.62049558316517</v>
      </c>
      <c r="D5148" s="4"/>
      <c r="E5148" s="4"/>
    </row>
    <row r="5149" spans="1:5" x14ac:dyDescent="0.3">
      <c r="A5149" s="9">
        <v>5141</v>
      </c>
      <c r="B5149" s="10">
        <f t="shared" ca="1" si="80"/>
        <v>0.10235818183769341</v>
      </c>
      <c r="C5149" s="10">
        <f ca="1">NPV(B5149,Project_FCF!C18:J18)+Project_FCF!B18</f>
        <v>765.8300161542245</v>
      </c>
      <c r="D5149" s="4"/>
      <c r="E5149" s="4"/>
    </row>
    <row r="5150" spans="1:5" x14ac:dyDescent="0.3">
      <c r="A5150" s="9">
        <v>5142</v>
      </c>
      <c r="B5150" s="10">
        <f t="shared" ca="1" si="80"/>
        <v>7.3205870250228511E-2</v>
      </c>
      <c r="C5150" s="10">
        <f ca="1">NPV(B5150,Project_FCF!C18:J18)+Project_FCF!B18</f>
        <v>997.09710974321661</v>
      </c>
      <c r="D5150" s="4"/>
      <c r="E5150" s="4"/>
    </row>
    <row r="5151" spans="1:5" x14ac:dyDescent="0.3">
      <c r="A5151" s="9">
        <v>5143</v>
      </c>
      <c r="B5151" s="10">
        <f t="shared" ca="1" si="80"/>
        <v>9.3927601222764279E-2</v>
      </c>
      <c r="C5151" s="10">
        <f ca="1">NPV(B5151,Project_FCF!C18:J18)+Project_FCF!B18</f>
        <v>827.35677546025363</v>
      </c>
      <c r="D5151" s="4"/>
      <c r="E5151" s="4"/>
    </row>
    <row r="5152" spans="1:5" x14ac:dyDescent="0.3">
      <c r="A5152" s="9">
        <v>5144</v>
      </c>
      <c r="B5152" s="10">
        <f t="shared" ca="1" si="80"/>
        <v>9.2652083366055751E-2</v>
      </c>
      <c r="C5152" s="10">
        <f ca="1">NPV(B5152,Project_FCF!C18:J18)+Project_FCF!B18</f>
        <v>837.02312866837588</v>
      </c>
      <c r="D5152" s="4"/>
      <c r="E5152" s="4"/>
    </row>
    <row r="5153" spans="1:5" x14ac:dyDescent="0.3">
      <c r="A5153" s="9">
        <v>5145</v>
      </c>
      <c r="B5153" s="10">
        <f t="shared" ca="1" si="80"/>
        <v>7.378911080166542E-2</v>
      </c>
      <c r="C5153" s="10">
        <f ca="1">NPV(B5153,Project_FCF!C18:J18)+Project_FCF!B18</f>
        <v>991.92769857702547</v>
      </c>
      <c r="D5153" s="4"/>
      <c r="E5153" s="4"/>
    </row>
    <row r="5154" spans="1:5" x14ac:dyDescent="0.3">
      <c r="A5154" s="9">
        <v>5146</v>
      </c>
      <c r="B5154" s="10">
        <f t="shared" ca="1" si="80"/>
        <v>6.8413956499546347E-2</v>
      </c>
      <c r="C5154" s="10">
        <f ca="1">NPV(B5154,Project_FCF!C18:J18)+Project_FCF!B18</f>
        <v>1040.4963355133164</v>
      </c>
      <c r="D5154" s="4"/>
      <c r="E5154" s="4"/>
    </row>
    <row r="5155" spans="1:5" x14ac:dyDescent="0.3">
      <c r="A5155" s="9">
        <v>5147</v>
      </c>
      <c r="B5155" s="10">
        <f t="shared" ca="1" si="80"/>
        <v>7.6966874785995315E-2</v>
      </c>
      <c r="C5155" s="10">
        <f ca="1">NPV(B5155,Project_FCF!C18:J18)+Project_FCF!B18</f>
        <v>964.18159063174676</v>
      </c>
      <c r="D5155" s="4"/>
      <c r="E5155" s="4"/>
    </row>
    <row r="5156" spans="1:5" x14ac:dyDescent="0.3">
      <c r="A5156" s="9">
        <v>5148</v>
      </c>
      <c r="B5156" s="10">
        <f t="shared" ca="1" si="80"/>
        <v>7.6728322388372378E-2</v>
      </c>
      <c r="C5156" s="10">
        <f ca="1">NPV(B5156,Project_FCF!C18:J18)+Project_FCF!B18</f>
        <v>966.24013645319383</v>
      </c>
      <c r="D5156" s="4"/>
      <c r="E5156" s="4"/>
    </row>
    <row r="5157" spans="1:5" x14ac:dyDescent="0.3">
      <c r="A5157" s="9">
        <v>5149</v>
      </c>
      <c r="B5157" s="10">
        <f t="shared" ca="1" si="80"/>
        <v>0.10103881630136177</v>
      </c>
      <c r="C5157" s="10">
        <f ca="1">NPV(B5157,Project_FCF!C18:J18)+Project_FCF!B18</f>
        <v>775.19448004817787</v>
      </c>
      <c r="D5157" s="4"/>
      <c r="E5157" s="4"/>
    </row>
    <row r="5158" spans="1:5" x14ac:dyDescent="0.3">
      <c r="A5158" s="9">
        <v>5150</v>
      </c>
      <c r="B5158" s="10">
        <f t="shared" ca="1" si="80"/>
        <v>8.0463966689223995E-2</v>
      </c>
      <c r="C5158" s="10">
        <f ca="1">NPV(B5158,Project_FCF!C18:J18)+Project_FCF!B18</f>
        <v>934.44840137971119</v>
      </c>
      <c r="D5158" s="4"/>
      <c r="E5158" s="4"/>
    </row>
    <row r="5159" spans="1:5" x14ac:dyDescent="0.3">
      <c r="A5159" s="9">
        <v>5151</v>
      </c>
      <c r="B5159" s="10">
        <f t="shared" ca="1" si="80"/>
        <v>8.1583603983972283E-2</v>
      </c>
      <c r="C5159" s="10">
        <f ca="1">NPV(B5159,Project_FCF!C18:J18)+Project_FCF!B18</f>
        <v>925.10221838725602</v>
      </c>
      <c r="D5159" s="4"/>
      <c r="E5159" s="4"/>
    </row>
    <row r="5160" spans="1:5" x14ac:dyDescent="0.3">
      <c r="A5160" s="9">
        <v>5152</v>
      </c>
      <c r="B5160" s="10">
        <f t="shared" ca="1" si="80"/>
        <v>6.4982603304784406E-2</v>
      </c>
      <c r="C5160" s="10">
        <f ca="1">NPV(B5160,Project_FCF!C18:J18)+Project_FCF!B18</f>
        <v>1072.6167194294869</v>
      </c>
      <c r="D5160" s="4"/>
      <c r="E5160" s="4"/>
    </row>
    <row r="5161" spans="1:5" x14ac:dyDescent="0.3">
      <c r="A5161" s="9">
        <v>5153</v>
      </c>
      <c r="B5161" s="10">
        <f t="shared" ca="1" si="80"/>
        <v>7.0528839347461972E-2</v>
      </c>
      <c r="C5161" s="10">
        <f ca="1">NPV(B5161,Project_FCF!C18:J18)+Project_FCF!B18</f>
        <v>1021.1365026932301</v>
      </c>
      <c r="D5161" s="4"/>
      <c r="E5161" s="4"/>
    </row>
    <row r="5162" spans="1:5" x14ac:dyDescent="0.3">
      <c r="A5162" s="9">
        <v>5154</v>
      </c>
      <c r="B5162" s="10">
        <f t="shared" ca="1" si="80"/>
        <v>0.10367230110180232</v>
      </c>
      <c r="C5162" s="10">
        <f ca="1">NPV(B5162,Project_FCF!C18:J18)+Project_FCF!B18</f>
        <v>756.59751211243656</v>
      </c>
      <c r="D5162" s="4"/>
      <c r="E5162" s="4"/>
    </row>
    <row r="5163" spans="1:5" x14ac:dyDescent="0.3">
      <c r="A5163" s="9">
        <v>5155</v>
      </c>
      <c r="B5163" s="10">
        <f t="shared" ca="1" si="80"/>
        <v>9.6411941255991604E-2</v>
      </c>
      <c r="C5163" s="10">
        <f ca="1">NPV(B5163,Project_FCF!C18:J18)+Project_FCF!B18</f>
        <v>808.80404203470516</v>
      </c>
      <c r="D5163" s="4"/>
      <c r="E5163" s="4"/>
    </row>
    <row r="5164" spans="1:5" x14ac:dyDescent="0.3">
      <c r="A5164" s="9">
        <v>5156</v>
      </c>
      <c r="B5164" s="10">
        <f t="shared" ca="1" si="80"/>
        <v>7.3581627052636281E-2</v>
      </c>
      <c r="C5164" s="10">
        <f ca="1">NPV(B5164,Project_FCF!C18:J18)+Project_FCF!B18</f>
        <v>993.763917603952</v>
      </c>
      <c r="D5164" s="4"/>
      <c r="E5164" s="4"/>
    </row>
    <row r="5165" spans="1:5" x14ac:dyDescent="0.3">
      <c r="A5165" s="9">
        <v>5157</v>
      </c>
      <c r="B5165" s="10">
        <f t="shared" ca="1" si="80"/>
        <v>6.5933589795778888E-2</v>
      </c>
      <c r="C5165" s="10">
        <f ca="1">NPV(B5165,Project_FCF!C18:J18)+Project_FCF!B18</f>
        <v>1063.6255061894649</v>
      </c>
      <c r="D5165" s="4"/>
      <c r="E5165" s="4"/>
    </row>
    <row r="5166" spans="1:5" x14ac:dyDescent="0.3">
      <c r="A5166" s="9">
        <v>5158</v>
      </c>
      <c r="B5166" s="10">
        <f t="shared" ca="1" si="80"/>
        <v>7.0608201326362627E-2</v>
      </c>
      <c r="C5166" s="10">
        <f ca="1">NPV(B5166,Project_FCF!C18:J18)+Project_FCF!B18</f>
        <v>1020.4163970388242</v>
      </c>
      <c r="D5166" s="4"/>
      <c r="E5166" s="4"/>
    </row>
    <row r="5167" spans="1:5" x14ac:dyDescent="0.3">
      <c r="A5167" s="9">
        <v>5159</v>
      </c>
      <c r="B5167" s="10">
        <f t="shared" ca="1" si="80"/>
        <v>7.0454716052148439E-2</v>
      </c>
      <c r="C5167" s="10">
        <f ca="1">NPV(B5167,Project_FCF!C18:J18)+Project_FCF!B18</f>
        <v>1021.8094884923014</v>
      </c>
      <c r="D5167" s="4"/>
      <c r="E5167" s="4"/>
    </row>
    <row r="5168" spans="1:5" x14ac:dyDescent="0.3">
      <c r="A5168" s="9">
        <v>5160</v>
      </c>
      <c r="B5168" s="10">
        <f t="shared" ca="1" si="80"/>
        <v>0.10337519156307079</v>
      </c>
      <c r="C5168" s="10">
        <f ca="1">NPV(B5168,Project_FCF!C18:J18)+Project_FCF!B18</f>
        <v>758.67667737478268</v>
      </c>
      <c r="D5168" s="4"/>
      <c r="E5168" s="4"/>
    </row>
    <row r="5169" spans="1:5" x14ac:dyDescent="0.3">
      <c r="A5169" s="9">
        <v>5161</v>
      </c>
      <c r="B5169" s="10">
        <f t="shared" ca="1" si="80"/>
        <v>8.7109602612782222E-2</v>
      </c>
      <c r="C5169" s="10">
        <f ca="1">NPV(B5169,Project_FCF!C18:J18)+Project_FCF!B18</f>
        <v>880.16796179455218</v>
      </c>
      <c r="D5169" s="4"/>
      <c r="E5169" s="4"/>
    </row>
    <row r="5170" spans="1:5" x14ac:dyDescent="0.3">
      <c r="A5170" s="9">
        <v>5162</v>
      </c>
      <c r="B5170" s="10">
        <f t="shared" ca="1" si="80"/>
        <v>8.2213784340920221E-2</v>
      </c>
      <c r="C5170" s="10">
        <f ca="1">NPV(B5170,Project_FCF!C18:J18)+Project_FCF!B18</f>
        <v>919.8781639011404</v>
      </c>
      <c r="D5170" s="4"/>
      <c r="E5170" s="4"/>
    </row>
    <row r="5171" spans="1:5" x14ac:dyDescent="0.3">
      <c r="A5171" s="9">
        <v>5163</v>
      </c>
      <c r="B5171" s="10">
        <f t="shared" ca="1" si="80"/>
        <v>7.8216945631207679E-2</v>
      </c>
      <c r="C5171" s="10">
        <f ca="1">NPV(B5171,Project_FCF!C18:J18)+Project_FCF!B18</f>
        <v>953.45804875107797</v>
      </c>
      <c r="D5171" s="4"/>
      <c r="E5171" s="4"/>
    </row>
    <row r="5172" spans="1:5" x14ac:dyDescent="0.3">
      <c r="A5172" s="9">
        <v>5164</v>
      </c>
      <c r="B5172" s="10">
        <f t="shared" ca="1" si="80"/>
        <v>6.7327748970283582E-2</v>
      </c>
      <c r="C5172" s="10">
        <f ca="1">NPV(B5172,Project_FCF!C18:J18)+Project_FCF!B18</f>
        <v>1050.5682727404073</v>
      </c>
      <c r="D5172" s="4"/>
      <c r="E5172" s="4"/>
    </row>
    <row r="5173" spans="1:5" x14ac:dyDescent="0.3">
      <c r="A5173" s="9">
        <v>5165</v>
      </c>
      <c r="B5173" s="10">
        <f t="shared" ca="1" si="80"/>
        <v>8.2181394691438536E-2</v>
      </c>
      <c r="C5173" s="10">
        <f ca="1">NPV(B5173,Project_FCF!C18:J18)+Project_FCF!B18</f>
        <v>920.14603132714524</v>
      </c>
      <c r="D5173" s="4"/>
      <c r="E5173" s="4"/>
    </row>
    <row r="5174" spans="1:5" x14ac:dyDescent="0.3">
      <c r="A5174" s="9">
        <v>5166</v>
      </c>
      <c r="B5174" s="10">
        <f t="shared" ca="1" si="80"/>
        <v>9.6155753596821408E-2</v>
      </c>
      <c r="C5174" s="10">
        <f ca="1">NPV(B5174,Project_FCF!C18:J18)+Project_FCF!B18</f>
        <v>810.70061559168494</v>
      </c>
      <c r="D5174" s="4"/>
      <c r="E5174" s="4"/>
    </row>
    <row r="5175" spans="1:5" x14ac:dyDescent="0.3">
      <c r="A5175" s="9">
        <v>5167</v>
      </c>
      <c r="B5175" s="10">
        <f t="shared" ca="1" si="80"/>
        <v>8.0065523901632824E-2</v>
      </c>
      <c r="C5175" s="10">
        <f ca="1">NPV(B5175,Project_FCF!C18:J18)+Project_FCF!B18</f>
        <v>937.7944924178264</v>
      </c>
      <c r="D5175" s="4"/>
      <c r="E5175" s="4"/>
    </row>
    <row r="5176" spans="1:5" x14ac:dyDescent="0.3">
      <c r="A5176" s="9">
        <v>5168</v>
      </c>
      <c r="B5176" s="10">
        <f t="shared" ca="1" si="80"/>
        <v>8.0182920205938479E-2</v>
      </c>
      <c r="C5176" s="10">
        <f ca="1">NPV(B5176,Project_FCF!C18:J18)+Project_FCF!B18</f>
        <v>936.80750727335953</v>
      </c>
      <c r="D5176" s="4"/>
      <c r="E5176" s="4"/>
    </row>
    <row r="5177" spans="1:5" x14ac:dyDescent="0.3">
      <c r="A5177" s="9">
        <v>5169</v>
      </c>
      <c r="B5177" s="10">
        <f t="shared" ca="1" si="80"/>
        <v>8.6563738433554999E-2</v>
      </c>
      <c r="C5177" s="10">
        <f ca="1">NPV(B5177,Project_FCF!C18:J18)+Project_FCF!B18</f>
        <v>884.51982957379391</v>
      </c>
      <c r="D5177" s="4"/>
      <c r="E5177" s="4"/>
    </row>
    <row r="5178" spans="1:5" x14ac:dyDescent="0.3">
      <c r="A5178" s="9">
        <v>5170</v>
      </c>
      <c r="B5178" s="10">
        <f t="shared" ca="1" si="80"/>
        <v>9.0257305761704015E-2</v>
      </c>
      <c r="C5178" s="10">
        <f ca="1">NPV(B5178,Project_FCF!C18:J18)+Project_FCF!B18</f>
        <v>855.43474571609454</v>
      </c>
      <c r="D5178" s="4"/>
      <c r="E5178" s="4"/>
    </row>
    <row r="5179" spans="1:5" x14ac:dyDescent="0.3">
      <c r="A5179" s="9">
        <v>5171</v>
      </c>
      <c r="B5179" s="10">
        <f t="shared" ca="1" si="80"/>
        <v>6.7654568680411489E-2</v>
      </c>
      <c r="C5179" s="10">
        <f ca="1">NPV(B5179,Project_FCF!C18:J18)+Project_FCF!B18</f>
        <v>1047.5285471389543</v>
      </c>
      <c r="D5179" s="4"/>
      <c r="E5179" s="4"/>
    </row>
    <row r="5180" spans="1:5" x14ac:dyDescent="0.3">
      <c r="A5180" s="9">
        <v>5172</v>
      </c>
      <c r="B5180" s="10">
        <f t="shared" ca="1" si="80"/>
        <v>9.4748766624594374E-2</v>
      </c>
      <c r="C5180" s="10">
        <f ca="1">NPV(B5180,Project_FCF!C18:J18)+Project_FCF!B18</f>
        <v>821.18452722857614</v>
      </c>
      <c r="D5180" s="4"/>
      <c r="E5180" s="4"/>
    </row>
    <row r="5181" spans="1:5" x14ac:dyDescent="0.3">
      <c r="A5181" s="9">
        <v>5173</v>
      </c>
      <c r="B5181" s="10">
        <f t="shared" ca="1" si="80"/>
        <v>8.3278757211303775E-2</v>
      </c>
      <c r="C5181" s="10">
        <f ca="1">NPV(B5181,Project_FCF!C18:J18)+Project_FCF!B18</f>
        <v>911.10883799525845</v>
      </c>
      <c r="D5181" s="4"/>
      <c r="E5181" s="4"/>
    </row>
    <row r="5182" spans="1:5" x14ac:dyDescent="0.3">
      <c r="A5182" s="9">
        <v>5174</v>
      </c>
      <c r="B5182" s="10">
        <f t="shared" ca="1" si="80"/>
        <v>8.4401322557143485E-2</v>
      </c>
      <c r="C5182" s="10">
        <f ca="1">NPV(B5182,Project_FCF!C18:J18)+Project_FCF!B18</f>
        <v>901.94493951516733</v>
      </c>
      <c r="D5182" s="4"/>
      <c r="E5182" s="4"/>
    </row>
    <row r="5183" spans="1:5" x14ac:dyDescent="0.3">
      <c r="A5183" s="9">
        <v>5175</v>
      </c>
      <c r="B5183" s="10">
        <f t="shared" ca="1" si="80"/>
        <v>7.8893573109727347E-2</v>
      </c>
      <c r="C5183" s="10">
        <f ca="1">NPV(B5183,Project_FCF!C18:J18)+Project_FCF!B18</f>
        <v>947.69805492303794</v>
      </c>
      <c r="D5183" s="4"/>
      <c r="E5183" s="4"/>
    </row>
    <row r="5184" spans="1:5" x14ac:dyDescent="0.3">
      <c r="A5184" s="9">
        <v>5176</v>
      </c>
      <c r="B5184" s="10">
        <f t="shared" ca="1" si="80"/>
        <v>0.10255560223569007</v>
      </c>
      <c r="C5184" s="10">
        <f ca="1">NPV(B5184,Project_FCF!C18:J18)+Project_FCF!B18</f>
        <v>764.43700797070233</v>
      </c>
      <c r="D5184" s="4"/>
      <c r="E5184" s="4"/>
    </row>
    <row r="5185" spans="1:5" x14ac:dyDescent="0.3">
      <c r="A5185" s="9">
        <v>5177</v>
      </c>
      <c r="B5185" s="10">
        <f t="shared" ca="1" si="80"/>
        <v>6.6087378305498823E-2</v>
      </c>
      <c r="C5185" s="10">
        <f ca="1">NPV(B5185,Project_FCF!C18:J18)+Project_FCF!B18</f>
        <v>1062.1779632351204</v>
      </c>
      <c r="D5185" s="4"/>
      <c r="E5185" s="4"/>
    </row>
    <row r="5186" spans="1:5" x14ac:dyDescent="0.3">
      <c r="A5186" s="9">
        <v>5178</v>
      </c>
      <c r="B5186" s="10">
        <f t="shared" ca="1" si="80"/>
        <v>7.9960101330052089E-2</v>
      </c>
      <c r="C5186" s="10">
        <f ca="1">NPV(B5186,Project_FCF!C18:J18)+Project_FCF!B18</f>
        <v>938.68159540602892</v>
      </c>
      <c r="D5186" s="4"/>
      <c r="E5186" s="4"/>
    </row>
    <row r="5187" spans="1:5" x14ac:dyDescent="0.3">
      <c r="A5187" s="9">
        <v>5179</v>
      </c>
      <c r="B5187" s="10">
        <f t="shared" ca="1" si="80"/>
        <v>9.107105146257724E-2</v>
      </c>
      <c r="C5187" s="10">
        <f ca="1">NPV(B5187,Project_FCF!C18:J18)+Project_FCF!B18</f>
        <v>849.13963814696058</v>
      </c>
      <c r="D5187" s="4"/>
      <c r="E5187" s="4"/>
    </row>
    <row r="5188" spans="1:5" x14ac:dyDescent="0.3">
      <c r="A5188" s="9">
        <v>5180</v>
      </c>
      <c r="B5188" s="10">
        <f t="shared" ca="1" si="80"/>
        <v>8.3589243089563475E-2</v>
      </c>
      <c r="C5188" s="10">
        <f ca="1">NPV(B5188,Project_FCF!C18:J18)+Project_FCF!B18</f>
        <v>908.56608606337272</v>
      </c>
      <c r="D5188" s="4"/>
      <c r="E5188" s="4"/>
    </row>
    <row r="5189" spans="1:5" x14ac:dyDescent="0.3">
      <c r="A5189" s="9">
        <v>5181</v>
      </c>
      <c r="B5189" s="10">
        <f t="shared" ca="1" si="80"/>
        <v>0.10398405731802768</v>
      </c>
      <c r="C5189" s="10">
        <f ca="1">NPV(B5189,Project_FCF!C18:J18)+Project_FCF!B18</f>
        <v>754.4209849973804</v>
      </c>
      <c r="D5189" s="4"/>
      <c r="E5189" s="4"/>
    </row>
    <row r="5190" spans="1:5" x14ac:dyDescent="0.3">
      <c r="A5190" s="9">
        <v>5182</v>
      </c>
      <c r="B5190" s="10">
        <f t="shared" ca="1" si="80"/>
        <v>8.5114301217678434E-2</v>
      </c>
      <c r="C5190" s="10">
        <f ca="1">NPV(B5190,Project_FCF!C18:J18)+Project_FCF!B18</f>
        <v>896.16672920062183</v>
      </c>
      <c r="D5190" s="4"/>
      <c r="E5190" s="4"/>
    </row>
    <row r="5191" spans="1:5" x14ac:dyDescent="0.3">
      <c r="A5191" s="9">
        <v>5183</v>
      </c>
      <c r="B5191" s="10">
        <f t="shared" ca="1" si="80"/>
        <v>8.6826226707110155E-2</v>
      </c>
      <c r="C5191" s="10">
        <f ca="1">NPV(B5191,Project_FCF!C18:J18)+Project_FCF!B18</f>
        <v>882.42482080490163</v>
      </c>
      <c r="D5191" s="4"/>
      <c r="E5191" s="4"/>
    </row>
    <row r="5192" spans="1:5" x14ac:dyDescent="0.3">
      <c r="A5192" s="9">
        <v>5184</v>
      </c>
      <c r="B5192" s="10">
        <f t="shared" ca="1" si="80"/>
        <v>9.0151002708349262E-2</v>
      </c>
      <c r="C5192" s="10">
        <f ca="1">NPV(B5192,Project_FCF!C18:J18)+Project_FCF!B18</f>
        <v>856.26007682929389</v>
      </c>
      <c r="D5192" s="4"/>
      <c r="E5192" s="4"/>
    </row>
    <row r="5193" spans="1:5" x14ac:dyDescent="0.3">
      <c r="A5193" s="9">
        <v>5185</v>
      </c>
      <c r="B5193" s="10">
        <f t="shared" ref="B5193:B5256" ca="1" si="81">$B$4+RAND()*($B$5-$B$4)</f>
        <v>7.5642682907978848E-2</v>
      </c>
      <c r="C5193" s="10">
        <f ca="1">NPV(B5193,Project_FCF!C18:J18)+Project_FCF!B18</f>
        <v>975.65808369744423</v>
      </c>
      <c r="D5193" s="4"/>
      <c r="E5193" s="4"/>
    </row>
    <row r="5194" spans="1:5" x14ac:dyDescent="0.3">
      <c r="A5194" s="9">
        <v>5186</v>
      </c>
      <c r="B5194" s="10">
        <f t="shared" ca="1" si="81"/>
        <v>8.0121111091253583E-2</v>
      </c>
      <c r="C5194" s="10">
        <f ca="1">NPV(B5194,Project_FCF!C18:J18)+Project_FCF!B18</f>
        <v>937.32703992631832</v>
      </c>
      <c r="D5194" s="4"/>
      <c r="E5194" s="4"/>
    </row>
    <row r="5195" spans="1:5" x14ac:dyDescent="0.3">
      <c r="A5195" s="9">
        <v>5187</v>
      </c>
      <c r="B5195" s="10">
        <f t="shared" ca="1" si="81"/>
        <v>7.5375482586181819E-2</v>
      </c>
      <c r="C5195" s="10">
        <f ca="1">NPV(B5195,Project_FCF!C18:J18)+Project_FCF!B18</f>
        <v>977.9885877421184</v>
      </c>
      <c r="D5195" s="4"/>
      <c r="E5195" s="4"/>
    </row>
    <row r="5196" spans="1:5" x14ac:dyDescent="0.3">
      <c r="A5196" s="9">
        <v>5188</v>
      </c>
      <c r="B5196" s="10">
        <f t="shared" ca="1" si="81"/>
        <v>7.3627628297201084E-2</v>
      </c>
      <c r="C5196" s="10">
        <f ca="1">NPV(B5196,Project_FCF!C18:J18)+Project_FCF!B18</f>
        <v>993.35654637344646</v>
      </c>
      <c r="D5196" s="4"/>
      <c r="E5196" s="4"/>
    </row>
    <row r="5197" spans="1:5" x14ac:dyDescent="0.3">
      <c r="A5197" s="9">
        <v>5189</v>
      </c>
      <c r="B5197" s="10">
        <f t="shared" ca="1" si="81"/>
        <v>9.8277467512537825E-2</v>
      </c>
      <c r="C5197" s="10">
        <f ca="1">NPV(B5197,Project_FCF!C18:J18)+Project_FCF!B18</f>
        <v>795.10708437289395</v>
      </c>
      <c r="D5197" s="4"/>
      <c r="E5197" s="4"/>
    </row>
    <row r="5198" spans="1:5" x14ac:dyDescent="0.3">
      <c r="A5198" s="9">
        <v>5190</v>
      </c>
      <c r="B5198" s="10">
        <f t="shared" ca="1" si="81"/>
        <v>8.2916730945617564E-2</v>
      </c>
      <c r="C5198" s="10">
        <f ca="1">NPV(B5198,Project_FCF!C18:J18)+Project_FCF!B18</f>
        <v>914.08158522127019</v>
      </c>
      <c r="D5198" s="4"/>
      <c r="E5198" s="4"/>
    </row>
    <row r="5199" spans="1:5" x14ac:dyDescent="0.3">
      <c r="A5199" s="9">
        <v>5191</v>
      </c>
      <c r="B5199" s="10">
        <f t="shared" ca="1" si="81"/>
        <v>8.1818290304909766E-2</v>
      </c>
      <c r="C5199" s="10">
        <f ca="1">NPV(B5199,Project_FCF!C18:J18)+Project_FCF!B18</f>
        <v>923.15367126168508</v>
      </c>
      <c r="D5199" s="4"/>
      <c r="E5199" s="4"/>
    </row>
    <row r="5200" spans="1:5" x14ac:dyDescent="0.3">
      <c r="A5200" s="9">
        <v>5192</v>
      </c>
      <c r="B5200" s="10">
        <f t="shared" ca="1" si="81"/>
        <v>7.3372070855997146E-2</v>
      </c>
      <c r="C5200" s="10">
        <f ca="1">NPV(B5200,Project_FCF!C18:J18)+Project_FCF!B18</f>
        <v>995.62157314422348</v>
      </c>
      <c r="D5200" s="4"/>
      <c r="E5200" s="4"/>
    </row>
    <row r="5201" spans="1:5" x14ac:dyDescent="0.3">
      <c r="A5201" s="9">
        <v>5193</v>
      </c>
      <c r="B5201" s="10">
        <f t="shared" ca="1" si="81"/>
        <v>0.10281986516710401</v>
      </c>
      <c r="C5201" s="10">
        <f ca="1">NPV(B5201,Project_FCF!C18:J18)+Project_FCF!B18</f>
        <v>762.57568839730857</v>
      </c>
      <c r="D5201" s="4"/>
      <c r="E5201" s="4"/>
    </row>
    <row r="5202" spans="1:5" x14ac:dyDescent="0.3">
      <c r="A5202" s="9">
        <v>5194</v>
      </c>
      <c r="B5202" s="10">
        <f t="shared" ca="1" si="81"/>
        <v>9.718975752590811E-2</v>
      </c>
      <c r="C5202" s="10">
        <f ca="1">NPV(B5202,Project_FCF!C18:J18)+Project_FCF!B18</f>
        <v>803.0689863687237</v>
      </c>
      <c r="D5202" s="4"/>
      <c r="E5202" s="4"/>
    </row>
    <row r="5203" spans="1:5" x14ac:dyDescent="0.3">
      <c r="A5203" s="9">
        <v>5195</v>
      </c>
      <c r="B5203" s="10">
        <f t="shared" ca="1" si="81"/>
        <v>0.10255265296607879</v>
      </c>
      <c r="C5203" s="10">
        <f ca="1">NPV(B5203,Project_FCF!C18:J18)+Project_FCF!B18</f>
        <v>764.45780248423648</v>
      </c>
      <c r="D5203" s="4"/>
      <c r="E5203" s="4"/>
    </row>
    <row r="5204" spans="1:5" x14ac:dyDescent="0.3">
      <c r="A5204" s="9">
        <v>5196</v>
      </c>
      <c r="B5204" s="10">
        <f t="shared" ca="1" si="81"/>
        <v>6.479353234819514E-2</v>
      </c>
      <c r="C5204" s="10">
        <f ca="1">NPV(B5204,Project_FCF!C18:J18)+Project_FCF!B18</f>
        <v>1074.4125519802626</v>
      </c>
      <c r="D5204" s="4"/>
      <c r="E5204" s="4"/>
    </row>
    <row r="5205" spans="1:5" x14ac:dyDescent="0.3">
      <c r="A5205" s="9">
        <v>5197</v>
      </c>
      <c r="B5205" s="10">
        <f t="shared" ca="1" si="81"/>
        <v>0.10073497826151812</v>
      </c>
      <c r="C5205" s="10">
        <f ca="1">NPV(B5205,Project_FCF!C18:J18)+Project_FCF!B18</f>
        <v>777.36464837911535</v>
      </c>
      <c r="D5205" s="4"/>
      <c r="E5205" s="4"/>
    </row>
    <row r="5206" spans="1:5" x14ac:dyDescent="0.3">
      <c r="A5206" s="9">
        <v>5198</v>
      </c>
      <c r="B5206" s="10">
        <f t="shared" ca="1" si="81"/>
        <v>7.8720079565446716E-2</v>
      </c>
      <c r="C5206" s="10">
        <f ca="1">NPV(B5206,Project_FCF!C18:J18)+Project_FCF!B18</f>
        <v>949.17201658805243</v>
      </c>
      <c r="D5206" s="4"/>
      <c r="E5206" s="4"/>
    </row>
    <row r="5207" spans="1:5" x14ac:dyDescent="0.3">
      <c r="A5207" s="9">
        <v>5199</v>
      </c>
      <c r="B5207" s="10">
        <f t="shared" ca="1" si="81"/>
        <v>9.886977171625444E-2</v>
      </c>
      <c r="C5207" s="10">
        <f ca="1">NPV(B5207,Project_FCF!C18:J18)+Project_FCF!B18</f>
        <v>790.79976984664268</v>
      </c>
      <c r="D5207" s="4"/>
      <c r="E5207" s="4"/>
    </row>
    <row r="5208" spans="1:5" x14ac:dyDescent="0.3">
      <c r="A5208" s="9">
        <v>5200</v>
      </c>
      <c r="B5208" s="10">
        <f t="shared" ca="1" si="81"/>
        <v>9.907956542686043E-2</v>
      </c>
      <c r="C5208" s="10">
        <f ca="1">NPV(B5208,Project_FCF!C18:J18)+Project_FCF!B18</f>
        <v>789.27887770298344</v>
      </c>
      <c r="D5208" s="4"/>
      <c r="E5208" s="4"/>
    </row>
    <row r="5209" spans="1:5" x14ac:dyDescent="0.3">
      <c r="A5209" s="9">
        <v>5201</v>
      </c>
      <c r="B5209" s="10">
        <f t="shared" ca="1" si="81"/>
        <v>9.51529759079007E-2</v>
      </c>
      <c r="C5209" s="10">
        <f ca="1">NPV(B5209,Project_FCF!C18:J18)+Project_FCF!B18</f>
        <v>818.16082935453642</v>
      </c>
      <c r="D5209" s="4"/>
      <c r="E5209" s="4"/>
    </row>
    <row r="5210" spans="1:5" x14ac:dyDescent="0.3">
      <c r="A5210" s="9">
        <v>5202</v>
      </c>
      <c r="B5210" s="10">
        <f t="shared" ca="1" si="81"/>
        <v>9.9200754484385534E-2</v>
      </c>
      <c r="C5210" s="10">
        <f ca="1">NPV(B5210,Project_FCF!C18:J18)+Project_FCF!B18</f>
        <v>788.40145234952752</v>
      </c>
      <c r="D5210" s="4"/>
      <c r="E5210" s="4"/>
    </row>
    <row r="5211" spans="1:5" x14ac:dyDescent="0.3">
      <c r="A5211" s="9">
        <v>5203</v>
      </c>
      <c r="B5211" s="10">
        <f t="shared" ca="1" si="81"/>
        <v>6.8552453460353421E-2</v>
      </c>
      <c r="C5211" s="10">
        <f ca="1">NPV(B5211,Project_FCF!C18:J18)+Project_FCF!B18</f>
        <v>1039.2184282319595</v>
      </c>
      <c r="D5211" s="4"/>
      <c r="E5211" s="4"/>
    </row>
    <row r="5212" spans="1:5" x14ac:dyDescent="0.3">
      <c r="A5212" s="9">
        <v>5204</v>
      </c>
      <c r="B5212" s="10">
        <f t="shared" ca="1" si="81"/>
        <v>8.2348049307036042E-2</v>
      </c>
      <c r="C5212" s="10">
        <f ca="1">NPV(B5212,Project_FCF!C18:J18)+Project_FCF!B18</f>
        <v>918.76850457355408</v>
      </c>
      <c r="D5212" s="4"/>
      <c r="E5212" s="4"/>
    </row>
    <row r="5213" spans="1:5" x14ac:dyDescent="0.3">
      <c r="A5213" s="9">
        <v>5205</v>
      </c>
      <c r="B5213" s="10">
        <f t="shared" ca="1" si="81"/>
        <v>8.8988063077459101E-2</v>
      </c>
      <c r="C5213" s="10">
        <f ca="1">NPV(B5213,Project_FCF!C18:J18)+Project_FCF!B18</f>
        <v>865.33424737179416</v>
      </c>
      <c r="D5213" s="4"/>
      <c r="E5213" s="4"/>
    </row>
    <row r="5214" spans="1:5" x14ac:dyDescent="0.3">
      <c r="A5214" s="9">
        <v>5206</v>
      </c>
      <c r="B5214" s="10">
        <f t="shared" ca="1" si="81"/>
        <v>9.4636454626683408E-2</v>
      </c>
      <c r="C5214" s="10">
        <f ca="1">NPV(B5214,Project_FCF!C18:J18)+Project_FCF!B18</f>
        <v>822.0263771276077</v>
      </c>
      <c r="D5214" s="4"/>
      <c r="E5214" s="4"/>
    </row>
    <row r="5215" spans="1:5" x14ac:dyDescent="0.3">
      <c r="A5215" s="9">
        <v>5207</v>
      </c>
      <c r="B5215" s="10">
        <f t="shared" ca="1" si="81"/>
        <v>6.4388102750833509E-2</v>
      </c>
      <c r="C5215" s="10">
        <f ca="1">NPV(B5215,Project_FCF!C18:J18)+Project_FCF!B18</f>
        <v>1078.2726571967135</v>
      </c>
      <c r="D5215" s="4"/>
      <c r="E5215" s="4"/>
    </row>
    <row r="5216" spans="1:5" x14ac:dyDescent="0.3">
      <c r="A5216" s="9">
        <v>5208</v>
      </c>
      <c r="B5216" s="10">
        <f t="shared" ca="1" si="81"/>
        <v>8.6050836772225775E-2</v>
      </c>
      <c r="C5216" s="10">
        <f ca="1">NPV(B5216,Project_FCF!C18:J18)+Project_FCF!B18</f>
        <v>888.62601097637912</v>
      </c>
      <c r="D5216" s="4"/>
      <c r="E5216" s="4"/>
    </row>
    <row r="5217" spans="1:5" x14ac:dyDescent="0.3">
      <c r="A5217" s="9">
        <v>5209</v>
      </c>
      <c r="B5217" s="10">
        <f t="shared" ca="1" si="81"/>
        <v>9.6727945323102194E-2</v>
      </c>
      <c r="C5217" s="10">
        <f ca="1">NPV(B5217,Project_FCF!C18:J18)+Project_FCF!B18</f>
        <v>806.46985948685847</v>
      </c>
      <c r="D5217" s="4"/>
      <c r="E5217" s="4"/>
    </row>
    <row r="5218" spans="1:5" x14ac:dyDescent="0.3">
      <c r="A5218" s="9">
        <v>5210</v>
      </c>
      <c r="B5218" s="10">
        <f t="shared" ca="1" si="81"/>
        <v>9.7190364856943087E-2</v>
      </c>
      <c r="C5218" s="10">
        <f ca="1">NPV(B5218,Project_FCF!C18:J18)+Project_FCF!B18</f>
        <v>803.06452192483539</v>
      </c>
      <c r="D5218" s="4"/>
      <c r="E5218" s="4"/>
    </row>
    <row r="5219" spans="1:5" x14ac:dyDescent="0.3">
      <c r="A5219" s="9">
        <v>5211</v>
      </c>
      <c r="B5219" s="10">
        <f t="shared" ca="1" si="81"/>
        <v>8.5735327130522371E-2</v>
      </c>
      <c r="C5219" s="10">
        <f ca="1">NPV(B5219,Project_FCF!C18:J18)+Project_FCF!B18</f>
        <v>891.16018074701265</v>
      </c>
      <c r="D5219" s="4"/>
      <c r="E5219" s="4"/>
    </row>
    <row r="5220" spans="1:5" x14ac:dyDescent="0.3">
      <c r="A5220" s="9">
        <v>5212</v>
      </c>
      <c r="B5220" s="10">
        <f t="shared" ca="1" si="81"/>
        <v>6.7977103001991543E-2</v>
      </c>
      <c r="C5220" s="10">
        <f ca="1">NPV(B5220,Project_FCF!C18:J18)+Project_FCF!B18</f>
        <v>1044.5365098352713</v>
      </c>
      <c r="D5220" s="4"/>
      <c r="E5220" s="4"/>
    </row>
    <row r="5221" spans="1:5" x14ac:dyDescent="0.3">
      <c r="A5221" s="9">
        <v>5213</v>
      </c>
      <c r="B5221" s="10">
        <f t="shared" ca="1" si="81"/>
        <v>8.355202802703092E-2</v>
      </c>
      <c r="C5221" s="10">
        <f ca="1">NPV(B5221,Project_FCF!C18:J18)+Project_FCF!B18</f>
        <v>908.87053276590564</v>
      </c>
      <c r="D5221" s="4"/>
      <c r="E5221" s="4"/>
    </row>
    <row r="5222" spans="1:5" x14ac:dyDescent="0.3">
      <c r="A5222" s="9">
        <v>5214</v>
      </c>
      <c r="B5222" s="10">
        <f t="shared" ca="1" si="81"/>
        <v>7.6288906920823477E-2</v>
      </c>
      <c r="C5222" s="10">
        <f ca="1">NPV(B5222,Project_FCF!C18:J18)+Project_FCF!B18</f>
        <v>970.0422557878494</v>
      </c>
      <c r="D5222" s="4"/>
      <c r="E5222" s="4"/>
    </row>
    <row r="5223" spans="1:5" x14ac:dyDescent="0.3">
      <c r="A5223" s="9">
        <v>5215</v>
      </c>
      <c r="B5223" s="10">
        <f t="shared" ca="1" si="81"/>
        <v>7.4713981061877446E-2</v>
      </c>
      <c r="C5223" s="10">
        <f ca="1">NPV(B5223,Project_FCF!C18:J18)+Project_FCF!B18</f>
        <v>983.77959527809185</v>
      </c>
      <c r="D5223" s="4"/>
      <c r="E5223" s="4"/>
    </row>
    <row r="5224" spans="1:5" x14ac:dyDescent="0.3">
      <c r="A5224" s="9">
        <v>5216</v>
      </c>
      <c r="B5224" s="10">
        <f t="shared" ca="1" si="81"/>
        <v>0.10176263918373282</v>
      </c>
      <c r="C5224" s="10">
        <f ca="1">NPV(B5224,Project_FCF!C18:J18)+Project_FCF!B18</f>
        <v>770.04513546211615</v>
      </c>
      <c r="D5224" s="4"/>
      <c r="E5224" s="4"/>
    </row>
    <row r="5225" spans="1:5" x14ac:dyDescent="0.3">
      <c r="A5225" s="9">
        <v>5217</v>
      </c>
      <c r="B5225" s="10">
        <f t="shared" ca="1" si="81"/>
        <v>6.5755397145075306E-2</v>
      </c>
      <c r="C5225" s="10">
        <f ca="1">NPV(B5225,Project_FCF!C18:J18)+Project_FCF!B18</f>
        <v>1065.305001396154</v>
      </c>
      <c r="D5225" s="4"/>
      <c r="E5225" s="4"/>
    </row>
    <row r="5226" spans="1:5" x14ac:dyDescent="0.3">
      <c r="A5226" s="9">
        <v>5218</v>
      </c>
      <c r="B5226" s="10">
        <f t="shared" ca="1" si="81"/>
        <v>9.2796281670558645E-2</v>
      </c>
      <c r="C5226" s="10">
        <f ca="1">NPV(B5226,Project_FCF!C18:J18)+Project_FCF!B18</f>
        <v>835.92549357000803</v>
      </c>
      <c r="D5226" s="4"/>
      <c r="E5226" s="4"/>
    </row>
    <row r="5227" spans="1:5" x14ac:dyDescent="0.3">
      <c r="A5227" s="9">
        <v>5219</v>
      </c>
      <c r="B5227" s="10">
        <f t="shared" ca="1" si="81"/>
        <v>6.5836621239042631E-2</v>
      </c>
      <c r="C5227" s="10">
        <f ca="1">NPV(B5227,Project_FCF!C18:J18)+Project_FCF!B18</f>
        <v>1064.5391514903204</v>
      </c>
      <c r="D5227" s="4"/>
      <c r="E5227" s="4"/>
    </row>
    <row r="5228" spans="1:5" x14ac:dyDescent="0.3">
      <c r="A5228" s="9">
        <v>5220</v>
      </c>
      <c r="B5228" s="10">
        <f t="shared" ca="1" si="81"/>
        <v>6.9074779590080737E-2</v>
      </c>
      <c r="C5228" s="10">
        <f ca="1">NPV(B5228,Project_FCF!C18:J18)+Project_FCF!B18</f>
        <v>1034.4117247806109</v>
      </c>
      <c r="D5228" s="4"/>
      <c r="E5228" s="4"/>
    </row>
    <row r="5229" spans="1:5" x14ac:dyDescent="0.3">
      <c r="A5229" s="9">
        <v>5221</v>
      </c>
      <c r="B5229" s="10">
        <f t="shared" ca="1" si="81"/>
        <v>9.9955940640333807E-2</v>
      </c>
      <c r="C5229" s="10">
        <f ca="1">NPV(B5229,Project_FCF!C18:J18)+Project_FCF!B18</f>
        <v>782.95239390685902</v>
      </c>
      <c r="D5229" s="4"/>
      <c r="E5229" s="4"/>
    </row>
    <row r="5230" spans="1:5" x14ac:dyDescent="0.3">
      <c r="A5230" s="9">
        <v>5222</v>
      </c>
      <c r="B5230" s="10">
        <f t="shared" ca="1" si="81"/>
        <v>8.9654111892348898E-2</v>
      </c>
      <c r="C5230" s="10">
        <f ca="1">NPV(B5230,Project_FCF!C18:J18)+Project_FCF!B18</f>
        <v>860.12706400071829</v>
      </c>
      <c r="D5230" s="4"/>
      <c r="E5230" s="4"/>
    </row>
    <row r="5231" spans="1:5" x14ac:dyDescent="0.3">
      <c r="A5231" s="9">
        <v>5223</v>
      </c>
      <c r="B5231" s="10">
        <f t="shared" ca="1" si="81"/>
        <v>9.8073728070815491E-2</v>
      </c>
      <c r="C5231" s="10">
        <f ca="1">NPV(B5231,Project_FCF!C18:J18)+Project_FCF!B18</f>
        <v>796.59330156974602</v>
      </c>
      <c r="D5231" s="4"/>
      <c r="E5231" s="4"/>
    </row>
    <row r="5232" spans="1:5" x14ac:dyDescent="0.3">
      <c r="A5232" s="9">
        <v>5224</v>
      </c>
      <c r="B5232" s="10">
        <f t="shared" ca="1" si="81"/>
        <v>0.10117268902090161</v>
      </c>
      <c r="C5232" s="10">
        <f ca="1">NPV(B5232,Project_FCF!C18:J18)+Project_FCF!B18</f>
        <v>774.2399153432309</v>
      </c>
      <c r="D5232" s="4"/>
      <c r="E5232" s="4"/>
    </row>
    <row r="5233" spans="1:5" x14ac:dyDescent="0.3">
      <c r="A5233" s="9">
        <v>5225</v>
      </c>
      <c r="B5233" s="10">
        <f t="shared" ca="1" si="81"/>
        <v>8.2507935241338357E-2</v>
      </c>
      <c r="C5233" s="10">
        <f ca="1">NPV(B5233,Project_FCF!C18:J18)+Project_FCF!B18</f>
        <v>917.44863435622506</v>
      </c>
      <c r="D5233" s="4"/>
      <c r="E5233" s="4"/>
    </row>
    <row r="5234" spans="1:5" x14ac:dyDescent="0.3">
      <c r="A5234" s="9">
        <v>5226</v>
      </c>
      <c r="B5234" s="10">
        <f t="shared" ca="1" si="81"/>
        <v>6.7274499000652535E-2</v>
      </c>
      <c r="C5234" s="10">
        <f ca="1">NPV(B5234,Project_FCF!C18:J18)+Project_FCF!B18</f>
        <v>1051.0643049912615</v>
      </c>
      <c r="D5234" s="4"/>
      <c r="E5234" s="4"/>
    </row>
    <row r="5235" spans="1:5" x14ac:dyDescent="0.3">
      <c r="A5235" s="9">
        <v>5227</v>
      </c>
      <c r="B5235" s="10">
        <f t="shared" ca="1" si="81"/>
        <v>9.2654346750661781E-2</v>
      </c>
      <c r="C5235" s="10">
        <f ca="1">NPV(B5235,Project_FCF!C18:J18)+Project_FCF!B18</f>
        <v>837.00589024278975</v>
      </c>
      <c r="D5235" s="4"/>
      <c r="E5235" s="4"/>
    </row>
    <row r="5236" spans="1:5" x14ac:dyDescent="0.3">
      <c r="A5236" s="9">
        <v>5228</v>
      </c>
      <c r="B5236" s="10">
        <f t="shared" ca="1" si="81"/>
        <v>9.724989061066136E-2</v>
      </c>
      <c r="C5236" s="10">
        <f ca="1">NPV(B5236,Project_FCF!C18:J18)+Project_FCF!B18</f>
        <v>802.62705521182284</v>
      </c>
      <c r="D5236" s="4"/>
      <c r="E5236" s="4"/>
    </row>
    <row r="5237" spans="1:5" x14ac:dyDescent="0.3">
      <c r="A5237" s="9">
        <v>5229</v>
      </c>
      <c r="B5237" s="10">
        <f t="shared" ca="1" si="81"/>
        <v>0.10334520844102336</v>
      </c>
      <c r="C5237" s="10">
        <f ca="1">NPV(B5237,Project_FCF!C18:J18)+Project_FCF!B18</f>
        <v>758.88676434688523</v>
      </c>
      <c r="D5237" s="4"/>
      <c r="E5237" s="4"/>
    </row>
    <row r="5238" spans="1:5" x14ac:dyDescent="0.3">
      <c r="A5238" s="9">
        <v>5230</v>
      </c>
      <c r="B5238" s="10">
        <f t="shared" ca="1" si="81"/>
        <v>6.5984969042320429E-2</v>
      </c>
      <c r="C5238" s="10">
        <f ca="1">NPV(B5238,Project_FCF!C18:J18)+Project_FCF!B18</f>
        <v>1063.1416964436712</v>
      </c>
      <c r="D5238" s="4"/>
      <c r="E5238" s="4"/>
    </row>
    <row r="5239" spans="1:5" x14ac:dyDescent="0.3">
      <c r="A5239" s="9">
        <v>5231</v>
      </c>
      <c r="B5239" s="10">
        <f t="shared" ca="1" si="81"/>
        <v>9.2642689303399015E-2</v>
      </c>
      <c r="C5239" s="10">
        <f ca="1">NPV(B5239,Project_FCF!C18:J18)+Project_FCF!B18</f>
        <v>837.09467914379638</v>
      </c>
      <c r="D5239" s="4"/>
      <c r="E5239" s="4"/>
    </row>
    <row r="5240" spans="1:5" x14ac:dyDescent="0.3">
      <c r="A5240" s="9">
        <v>5232</v>
      </c>
      <c r="B5240" s="10">
        <f t="shared" ca="1" si="81"/>
        <v>8.0682913495625494E-2</v>
      </c>
      <c r="C5240" s="10">
        <f ca="1">NPV(B5240,Project_FCF!C18:J18)+Project_FCF!B18</f>
        <v>932.61420438697451</v>
      </c>
      <c r="D5240" s="4"/>
      <c r="E5240" s="4"/>
    </row>
    <row r="5241" spans="1:5" x14ac:dyDescent="0.3">
      <c r="A5241" s="9">
        <v>5233</v>
      </c>
      <c r="B5241" s="10">
        <f t="shared" ca="1" si="81"/>
        <v>7.7688515235776787E-2</v>
      </c>
      <c r="C5241" s="10">
        <f ca="1">NPV(B5241,Project_FCF!C18:J18)+Project_FCF!B18</f>
        <v>957.97808757528833</v>
      </c>
      <c r="D5241" s="4"/>
      <c r="E5241" s="4"/>
    </row>
    <row r="5242" spans="1:5" x14ac:dyDescent="0.3">
      <c r="A5242" s="9">
        <v>5234</v>
      </c>
      <c r="B5242" s="10">
        <f t="shared" ca="1" si="81"/>
        <v>9.9262168650769131E-2</v>
      </c>
      <c r="C5242" s="10">
        <f ca="1">NPV(B5242,Project_FCF!C18:J18)+Project_FCF!B18</f>
        <v>787.95712107561849</v>
      </c>
      <c r="D5242" s="4"/>
      <c r="E5242" s="4"/>
    </row>
    <row r="5243" spans="1:5" x14ac:dyDescent="0.3">
      <c r="A5243" s="9">
        <v>5235</v>
      </c>
      <c r="B5243" s="10">
        <f t="shared" ca="1" si="81"/>
        <v>6.5096103428676014E-2</v>
      </c>
      <c r="C5243" s="10">
        <f ca="1">NPV(B5243,Project_FCF!C18:J18)+Project_FCF!B18</f>
        <v>1071.5399892865255</v>
      </c>
      <c r="D5243" s="4"/>
      <c r="E5243" s="4"/>
    </row>
    <row r="5244" spans="1:5" x14ac:dyDescent="0.3">
      <c r="A5244" s="9">
        <v>5236</v>
      </c>
      <c r="B5244" s="10">
        <f t="shared" ca="1" si="81"/>
        <v>6.4839591384626902E-2</v>
      </c>
      <c r="C5244" s="10">
        <f ca="1">NPV(B5244,Project_FCF!C18:J18)+Project_FCF!B18</f>
        <v>1073.974821718157</v>
      </c>
      <c r="D5244" s="4"/>
      <c r="E5244" s="4"/>
    </row>
    <row r="5245" spans="1:5" x14ac:dyDescent="0.3">
      <c r="A5245" s="9">
        <v>5237</v>
      </c>
      <c r="B5245" s="10">
        <f t="shared" ca="1" si="81"/>
        <v>9.3496867956920762E-2</v>
      </c>
      <c r="C5245" s="10">
        <f ca="1">NPV(B5245,Project_FCF!C18:J18)+Project_FCF!B18</f>
        <v>830.61024671086898</v>
      </c>
      <c r="D5245" s="4"/>
      <c r="E5245" s="4"/>
    </row>
    <row r="5246" spans="1:5" x14ac:dyDescent="0.3">
      <c r="A5246" s="9">
        <v>5238</v>
      </c>
      <c r="B5246" s="10">
        <f t="shared" ca="1" si="81"/>
        <v>9.6265950969911918E-2</v>
      </c>
      <c r="C5246" s="10">
        <f ca="1">NPV(B5246,Project_FCF!C18:J18)+Project_FCF!B18</f>
        <v>809.88435272709216</v>
      </c>
      <c r="D5246" s="4"/>
      <c r="E5246" s="4"/>
    </row>
    <row r="5247" spans="1:5" x14ac:dyDescent="0.3">
      <c r="A5247" s="9">
        <v>5239</v>
      </c>
      <c r="B5247" s="10">
        <f t="shared" ca="1" si="81"/>
        <v>8.675553519554971E-2</v>
      </c>
      <c r="C5247" s="10">
        <f ca="1">NPV(B5247,Project_FCF!C18:J18)+Project_FCF!B18</f>
        <v>882.98860742297052</v>
      </c>
      <c r="D5247" s="4"/>
      <c r="E5247" s="4"/>
    </row>
    <row r="5248" spans="1:5" x14ac:dyDescent="0.3">
      <c r="A5248" s="9">
        <v>5240</v>
      </c>
      <c r="B5248" s="10">
        <f t="shared" ca="1" si="81"/>
        <v>0.10023701317777711</v>
      </c>
      <c r="C5248" s="10">
        <f ca="1">NPV(B5248,Project_FCF!C18:J18)+Project_FCF!B18</f>
        <v>780.93246481475694</v>
      </c>
      <c r="D5248" s="4"/>
      <c r="E5248" s="4"/>
    </row>
    <row r="5249" spans="1:5" x14ac:dyDescent="0.3">
      <c r="A5249" s="9">
        <v>5241</v>
      </c>
      <c r="B5249" s="10">
        <f t="shared" ca="1" si="81"/>
        <v>9.8333641171979125E-2</v>
      </c>
      <c r="C5249" s="10">
        <f ca="1">NPV(B5249,Project_FCF!C18:J18)+Project_FCF!B18</f>
        <v>794.69772911923178</v>
      </c>
      <c r="D5249" s="4"/>
      <c r="E5249" s="4"/>
    </row>
    <row r="5250" spans="1:5" x14ac:dyDescent="0.3">
      <c r="A5250" s="9">
        <v>5242</v>
      </c>
      <c r="B5250" s="10">
        <f t="shared" ca="1" si="81"/>
        <v>6.8658448920510248E-2</v>
      </c>
      <c r="C5250" s="10">
        <f ca="1">NPV(B5250,Project_FCF!C18:J18)+Project_FCF!B18</f>
        <v>1038.2413723595332</v>
      </c>
      <c r="D5250" s="4"/>
      <c r="E5250" s="4"/>
    </row>
    <row r="5251" spans="1:5" x14ac:dyDescent="0.3">
      <c r="A5251" s="9">
        <v>5243</v>
      </c>
      <c r="B5251" s="10">
        <f t="shared" ca="1" si="81"/>
        <v>8.4910620945500309E-2</v>
      </c>
      <c r="C5251" s="10">
        <f ca="1">NPV(B5251,Project_FCF!C18:J18)+Project_FCF!B18</f>
        <v>897.81410046508131</v>
      </c>
      <c r="D5251" s="4"/>
      <c r="E5251" s="4"/>
    </row>
    <row r="5252" spans="1:5" x14ac:dyDescent="0.3">
      <c r="A5252" s="9">
        <v>5244</v>
      </c>
      <c r="B5252" s="10">
        <f t="shared" ca="1" si="81"/>
        <v>9.2135174476061024E-2</v>
      </c>
      <c r="C5252" s="10">
        <f ca="1">NPV(B5252,Project_FCF!C18:J18)+Project_FCF!B18</f>
        <v>840.96803653159054</v>
      </c>
      <c r="D5252" s="4"/>
      <c r="E5252" s="4"/>
    </row>
    <row r="5253" spans="1:5" x14ac:dyDescent="0.3">
      <c r="A5253" s="9">
        <v>5245</v>
      </c>
      <c r="B5253" s="10">
        <f t="shared" ca="1" si="81"/>
        <v>7.4399452520098538E-2</v>
      </c>
      <c r="C5253" s="10">
        <f ca="1">NPV(B5253,Project_FCF!C18:J18)+Project_FCF!B18</f>
        <v>986.54383521464501</v>
      </c>
      <c r="D5253" s="4"/>
      <c r="E5253" s="4"/>
    </row>
    <row r="5254" spans="1:5" x14ac:dyDescent="0.3">
      <c r="A5254" s="9">
        <v>5246</v>
      </c>
      <c r="B5254" s="10">
        <f t="shared" ca="1" si="81"/>
        <v>7.2290827908932209E-2</v>
      </c>
      <c r="C5254" s="10">
        <f ca="1">NPV(B5254,Project_FCF!C18:J18)+Project_FCF!B18</f>
        <v>1005.2561412516025</v>
      </c>
      <c r="D5254" s="4"/>
      <c r="E5254" s="4"/>
    </row>
    <row r="5255" spans="1:5" x14ac:dyDescent="0.3">
      <c r="A5255" s="9">
        <v>5247</v>
      </c>
      <c r="B5255" s="10">
        <f t="shared" ca="1" si="81"/>
        <v>9.4776845799896592E-2</v>
      </c>
      <c r="C5255" s="10">
        <f ca="1">NPV(B5255,Project_FCF!C18:J18)+Project_FCF!B18</f>
        <v>820.9741713942044</v>
      </c>
      <c r="D5255" s="4"/>
      <c r="E5255" s="4"/>
    </row>
    <row r="5256" spans="1:5" x14ac:dyDescent="0.3">
      <c r="A5256" s="9">
        <v>5248</v>
      </c>
      <c r="B5256" s="10">
        <f t="shared" ca="1" si="81"/>
        <v>6.4533231677596836E-2</v>
      </c>
      <c r="C5256" s="10">
        <f ca="1">NPV(B5256,Project_FCF!C18:J18)+Project_FCF!B18</f>
        <v>1076.8894283162635</v>
      </c>
      <c r="D5256" s="4"/>
      <c r="E5256" s="4"/>
    </row>
    <row r="5257" spans="1:5" x14ac:dyDescent="0.3">
      <c r="A5257" s="9">
        <v>5249</v>
      </c>
      <c r="B5257" s="10">
        <f t="shared" ref="B5257:B5320" ca="1" si="82">$B$4+RAND()*($B$5-$B$4)</f>
        <v>9.4681330566766128E-2</v>
      </c>
      <c r="C5257" s="10">
        <f ca="1">NPV(B5257,Project_FCF!C18:J18)+Project_FCF!B18</f>
        <v>821.68991474083418</v>
      </c>
      <c r="D5257" s="4"/>
      <c r="E5257" s="4"/>
    </row>
    <row r="5258" spans="1:5" x14ac:dyDescent="0.3">
      <c r="A5258" s="9">
        <v>5250</v>
      </c>
      <c r="B5258" s="10">
        <f t="shared" ca="1" si="82"/>
        <v>7.5841874671231019E-2</v>
      </c>
      <c r="C5258" s="10">
        <f ca="1">NPV(B5258,Project_FCF!C18:J18)+Project_FCF!B18</f>
        <v>973.92397614658466</v>
      </c>
      <c r="D5258" s="4"/>
      <c r="E5258" s="4"/>
    </row>
    <row r="5259" spans="1:5" x14ac:dyDescent="0.3">
      <c r="A5259" s="9">
        <v>5251</v>
      </c>
      <c r="B5259" s="10">
        <f t="shared" ca="1" si="82"/>
        <v>8.3901026147247801E-2</v>
      </c>
      <c r="C5259" s="10">
        <f ca="1">NPV(B5259,Project_FCF!C18:J18)+Project_FCF!B18</f>
        <v>906.0189880520461</v>
      </c>
      <c r="D5259" s="4"/>
      <c r="E5259" s="4"/>
    </row>
    <row r="5260" spans="1:5" x14ac:dyDescent="0.3">
      <c r="A5260" s="9">
        <v>5252</v>
      </c>
      <c r="B5260" s="10">
        <f t="shared" ca="1" si="82"/>
        <v>9.1181323789655738E-2</v>
      </c>
      <c r="C5260" s="10">
        <f ca="1">NPV(B5260,Project_FCF!C18:J18)+Project_FCF!B18</f>
        <v>848.28966476442497</v>
      </c>
      <c r="D5260" s="4"/>
      <c r="E5260" s="4"/>
    </row>
    <row r="5261" spans="1:5" x14ac:dyDescent="0.3">
      <c r="A5261" s="9">
        <v>5253</v>
      </c>
      <c r="B5261" s="10">
        <f t="shared" ca="1" si="82"/>
        <v>9.1526992038481386E-2</v>
      </c>
      <c r="C5261" s="10">
        <f ca="1">NPV(B5261,Project_FCF!C18:J18)+Project_FCF!B18</f>
        <v>845.63003229580909</v>
      </c>
      <c r="D5261" s="4"/>
      <c r="E5261" s="4"/>
    </row>
    <row r="5262" spans="1:5" x14ac:dyDescent="0.3">
      <c r="A5262" s="9">
        <v>5254</v>
      </c>
      <c r="B5262" s="10">
        <f t="shared" ca="1" si="82"/>
        <v>7.4574458534709856E-2</v>
      </c>
      <c r="C5262" s="10">
        <f ca="1">NPV(B5262,Project_FCF!C18:J18)+Project_FCF!B18</f>
        <v>985.00493441945127</v>
      </c>
      <c r="D5262" s="4"/>
      <c r="E5262" s="4"/>
    </row>
    <row r="5263" spans="1:5" x14ac:dyDescent="0.3">
      <c r="A5263" s="9">
        <v>5255</v>
      </c>
      <c r="B5263" s="10">
        <f t="shared" ca="1" si="82"/>
        <v>7.4283996312586142E-2</v>
      </c>
      <c r="C5263" s="10">
        <f ca="1">NPV(B5263,Project_FCF!C18:J18)+Project_FCF!B18</f>
        <v>987.560268568737</v>
      </c>
      <c r="D5263" s="4"/>
      <c r="E5263" s="4"/>
    </row>
    <row r="5264" spans="1:5" x14ac:dyDescent="0.3">
      <c r="A5264" s="9">
        <v>5256</v>
      </c>
      <c r="B5264" s="10">
        <f t="shared" ca="1" si="82"/>
        <v>7.9299419429278775E-2</v>
      </c>
      <c r="C5264" s="10">
        <f ca="1">NPV(B5264,Project_FCF!C18:J18)+Project_FCF!B18</f>
        <v>944.25800793535745</v>
      </c>
      <c r="D5264" s="4"/>
      <c r="E5264" s="4"/>
    </row>
    <row r="5265" spans="1:5" x14ac:dyDescent="0.3">
      <c r="A5265" s="9">
        <v>5257</v>
      </c>
      <c r="B5265" s="10">
        <f t="shared" ca="1" si="82"/>
        <v>7.6760099503440538E-2</v>
      </c>
      <c r="C5265" s="10">
        <f ca="1">NPV(B5265,Project_FCF!C18:J18)+Project_FCF!B18</f>
        <v>965.96569544825502</v>
      </c>
      <c r="D5265" s="4"/>
      <c r="E5265" s="4"/>
    </row>
    <row r="5266" spans="1:5" x14ac:dyDescent="0.3">
      <c r="A5266" s="9">
        <v>5258</v>
      </c>
      <c r="B5266" s="10">
        <f t="shared" ca="1" si="82"/>
        <v>7.5438368110456205E-2</v>
      </c>
      <c r="C5266" s="10">
        <f ca="1">NPV(B5266,Project_FCF!C18:J18)+Project_FCF!B18</f>
        <v>977.43965694865119</v>
      </c>
      <c r="D5266" s="4"/>
      <c r="E5266" s="4"/>
    </row>
    <row r="5267" spans="1:5" x14ac:dyDescent="0.3">
      <c r="A5267" s="9">
        <v>5259</v>
      </c>
      <c r="B5267" s="10">
        <f t="shared" ca="1" si="82"/>
        <v>8.2575519256061103E-2</v>
      </c>
      <c r="C5267" s="10">
        <f ca="1">NPV(B5267,Project_FCF!C18:J18)+Project_FCF!B18</f>
        <v>916.89122572501219</v>
      </c>
      <c r="D5267" s="4"/>
      <c r="E5267" s="4"/>
    </row>
    <row r="5268" spans="1:5" x14ac:dyDescent="0.3">
      <c r="A5268" s="9">
        <v>5260</v>
      </c>
      <c r="B5268" s="10">
        <f t="shared" ca="1" si="82"/>
        <v>7.3717579095024979E-2</v>
      </c>
      <c r="C5268" s="10">
        <f ca="1">NPV(B5268,Project_FCF!C18:J18)+Project_FCF!B18</f>
        <v>992.56040589613463</v>
      </c>
      <c r="D5268" s="4"/>
      <c r="E5268" s="4"/>
    </row>
    <row r="5269" spans="1:5" x14ac:dyDescent="0.3">
      <c r="A5269" s="9">
        <v>5261</v>
      </c>
      <c r="B5269" s="10">
        <f t="shared" ca="1" si="82"/>
        <v>9.3899325052532054E-2</v>
      </c>
      <c r="C5269" s="10">
        <f ca="1">NPV(B5269,Project_FCF!C18:J18)+Project_FCF!B18</f>
        <v>827.57001864329277</v>
      </c>
      <c r="D5269" s="4"/>
      <c r="E5269" s="4"/>
    </row>
    <row r="5270" spans="1:5" x14ac:dyDescent="0.3">
      <c r="A5270" s="9">
        <v>5262</v>
      </c>
      <c r="B5270" s="10">
        <f t="shared" ca="1" si="82"/>
        <v>7.3609825147264274E-2</v>
      </c>
      <c r="C5270" s="10">
        <f ca="1">NPV(B5270,Project_FCF!C18:J18)+Project_FCF!B18</f>
        <v>993.51418718053196</v>
      </c>
      <c r="D5270" s="4"/>
      <c r="E5270" s="4"/>
    </row>
    <row r="5271" spans="1:5" x14ac:dyDescent="0.3">
      <c r="A5271" s="9">
        <v>5263</v>
      </c>
      <c r="B5271" s="10">
        <f t="shared" ca="1" si="82"/>
        <v>0.10346382728136772</v>
      </c>
      <c r="C5271" s="10">
        <f ca="1">NPV(B5271,Project_FCF!C18:J18)+Project_FCF!B18</f>
        <v>758.0559061267079</v>
      </c>
      <c r="D5271" s="4"/>
      <c r="E5271" s="4"/>
    </row>
    <row r="5272" spans="1:5" x14ac:dyDescent="0.3">
      <c r="A5272" s="9">
        <v>5264</v>
      </c>
      <c r="B5272" s="10">
        <f t="shared" ca="1" si="82"/>
        <v>8.6780353303866978E-2</v>
      </c>
      <c r="C5272" s="10">
        <f ca="1">NPV(B5272,Project_FCF!C18:J18)+Project_FCF!B18</f>
        <v>882.79063955824108</v>
      </c>
      <c r="D5272" s="4"/>
      <c r="E5272" s="4"/>
    </row>
    <row r="5273" spans="1:5" x14ac:dyDescent="0.3">
      <c r="A5273" s="9">
        <v>5265</v>
      </c>
      <c r="B5273" s="10">
        <f t="shared" ca="1" si="82"/>
        <v>6.5809428454591673E-2</v>
      </c>
      <c r="C5273" s="10">
        <f ca="1">NPV(B5273,Project_FCF!C18:J18)+Project_FCF!B18</f>
        <v>1064.7954923419691</v>
      </c>
      <c r="D5273" s="4"/>
      <c r="E5273" s="4"/>
    </row>
    <row r="5274" spans="1:5" x14ac:dyDescent="0.3">
      <c r="A5274" s="9">
        <v>5266</v>
      </c>
      <c r="B5274" s="10">
        <f t="shared" ca="1" si="82"/>
        <v>0.10309915550218804</v>
      </c>
      <c r="C5274" s="10">
        <f ca="1">NPV(B5274,Project_FCF!C18:J18)+Project_FCF!B18</f>
        <v>760.61266221438382</v>
      </c>
      <c r="D5274" s="4"/>
      <c r="E5274" s="4"/>
    </row>
    <row r="5275" spans="1:5" x14ac:dyDescent="0.3">
      <c r="A5275" s="9">
        <v>5267</v>
      </c>
      <c r="B5275" s="10">
        <f t="shared" ca="1" si="82"/>
        <v>6.8340792335650824E-2</v>
      </c>
      <c r="C5275" s="10">
        <f ca="1">NPV(B5275,Project_FCF!C18:J18)+Project_FCF!B18</f>
        <v>1041.1719938908195</v>
      </c>
      <c r="D5275" s="4"/>
      <c r="E5275" s="4"/>
    </row>
    <row r="5276" spans="1:5" x14ac:dyDescent="0.3">
      <c r="A5276" s="9">
        <v>5268</v>
      </c>
      <c r="B5276" s="10">
        <f t="shared" ca="1" si="82"/>
        <v>8.0342496496615887E-2</v>
      </c>
      <c r="C5276" s="10">
        <f ca="1">NPV(B5276,Project_FCF!C18:J18)+Project_FCF!B18</f>
        <v>935.46737705641522</v>
      </c>
      <c r="D5276" s="4"/>
      <c r="E5276" s="4"/>
    </row>
    <row r="5277" spans="1:5" x14ac:dyDescent="0.3">
      <c r="A5277" s="9">
        <v>5269</v>
      </c>
      <c r="B5277" s="10">
        <f t="shared" ca="1" si="82"/>
        <v>0.10067388913725997</v>
      </c>
      <c r="C5277" s="10">
        <f ca="1">NPV(B5277,Project_FCF!C18:J18)+Project_FCF!B18</f>
        <v>777.80159702358378</v>
      </c>
      <c r="D5277" s="4"/>
      <c r="E5277" s="4"/>
    </row>
    <row r="5278" spans="1:5" x14ac:dyDescent="0.3">
      <c r="A5278" s="9">
        <v>5270</v>
      </c>
      <c r="B5278" s="10">
        <f t="shared" ca="1" si="82"/>
        <v>0.10154725203086833</v>
      </c>
      <c r="C5278" s="10">
        <f ca="1">NPV(B5278,Project_FCF!C18:J18)+Project_FCF!B18</f>
        <v>771.57439858287535</v>
      </c>
      <c r="D5278" s="4"/>
      <c r="E5278" s="4"/>
    </row>
    <row r="5279" spans="1:5" x14ac:dyDescent="0.3">
      <c r="A5279" s="9">
        <v>5271</v>
      </c>
      <c r="B5279" s="10">
        <f t="shared" ca="1" si="82"/>
        <v>7.1535728391800127E-2</v>
      </c>
      <c r="C5279" s="10">
        <f ca="1">NPV(B5279,Project_FCF!C18:J18)+Project_FCF!B18</f>
        <v>1012.0342072024973</v>
      </c>
      <c r="D5279" s="4"/>
      <c r="E5279" s="4"/>
    </row>
    <row r="5280" spans="1:5" x14ac:dyDescent="0.3">
      <c r="A5280" s="9">
        <v>5272</v>
      </c>
      <c r="B5280" s="10">
        <f t="shared" ca="1" si="82"/>
        <v>6.9983094573711643E-2</v>
      </c>
      <c r="C5280" s="10">
        <f ca="1">NPV(B5280,Project_FCF!C18:J18)+Project_FCF!B18</f>
        <v>1026.1008607834262</v>
      </c>
      <c r="D5280" s="4"/>
      <c r="E5280" s="4"/>
    </row>
    <row r="5281" spans="1:5" x14ac:dyDescent="0.3">
      <c r="A5281" s="9">
        <v>5273</v>
      </c>
      <c r="B5281" s="10">
        <f t="shared" ca="1" si="82"/>
        <v>7.6445313696554357E-2</v>
      </c>
      <c r="C5281" s="10">
        <f ca="1">NPV(B5281,Project_FCF!C18:J18)+Project_FCF!B18</f>
        <v>968.68739171933635</v>
      </c>
      <c r="D5281" s="4"/>
      <c r="E5281" s="4"/>
    </row>
    <row r="5282" spans="1:5" x14ac:dyDescent="0.3">
      <c r="A5282" s="9">
        <v>5274</v>
      </c>
      <c r="B5282" s="10">
        <f t="shared" ca="1" si="82"/>
        <v>0.10001670498543469</v>
      </c>
      <c r="C5282" s="10">
        <f ca="1">NPV(B5282,Project_FCF!C18:J18)+Project_FCF!B18</f>
        <v>782.51533676764097</v>
      </c>
      <c r="D5282" s="4"/>
      <c r="E5282" s="4"/>
    </row>
    <row r="5283" spans="1:5" x14ac:dyDescent="0.3">
      <c r="A5283" s="9">
        <v>5275</v>
      </c>
      <c r="B5283" s="10">
        <f t="shared" ca="1" si="82"/>
        <v>9.7486839318593976E-2</v>
      </c>
      <c r="C5283" s="10">
        <f ca="1">NPV(B5283,Project_FCF!C18:J18)+Project_FCF!B18</f>
        <v>800.88768224100863</v>
      </c>
      <c r="D5283" s="4"/>
      <c r="E5283" s="4"/>
    </row>
    <row r="5284" spans="1:5" x14ac:dyDescent="0.3">
      <c r="A5284" s="9">
        <v>5276</v>
      </c>
      <c r="B5284" s="10">
        <f t="shared" ca="1" si="82"/>
        <v>7.7608980935113064E-2</v>
      </c>
      <c r="C5284" s="10">
        <f ca="1">NPV(B5284,Project_FCF!C18:J18)+Project_FCF!B18</f>
        <v>958.66004852450942</v>
      </c>
      <c r="D5284" s="4"/>
      <c r="E5284" s="4"/>
    </row>
    <row r="5285" spans="1:5" x14ac:dyDescent="0.3">
      <c r="A5285" s="9">
        <v>5277</v>
      </c>
      <c r="B5285" s="10">
        <f t="shared" ca="1" si="82"/>
        <v>0.10280355235477451</v>
      </c>
      <c r="C5285" s="10">
        <f ca="1">NPV(B5285,Project_FCF!C18:J18)+Project_FCF!B18</f>
        <v>762.69047633250852</v>
      </c>
      <c r="D5285" s="4"/>
      <c r="E5285" s="4"/>
    </row>
    <row r="5286" spans="1:5" x14ac:dyDescent="0.3">
      <c r="A5286" s="9">
        <v>5278</v>
      </c>
      <c r="B5286" s="10">
        <f t="shared" ca="1" si="82"/>
        <v>8.5622892014413879E-2</v>
      </c>
      <c r="C5286" s="10">
        <f ca="1">NPV(B5286,Project_FCF!C18:J18)+Project_FCF!B18</f>
        <v>892.06478442070033</v>
      </c>
      <c r="D5286" s="4"/>
      <c r="E5286" s="4"/>
    </row>
    <row r="5287" spans="1:5" x14ac:dyDescent="0.3">
      <c r="A5287" s="9">
        <v>5279</v>
      </c>
      <c r="B5287" s="10">
        <f t="shared" ca="1" si="82"/>
        <v>8.9101647221916061E-2</v>
      </c>
      <c r="C5287" s="10">
        <f ca="1">NPV(B5287,Project_FCF!C18:J18)+Project_FCF!B18</f>
        <v>864.4443143752776</v>
      </c>
      <c r="D5287" s="4"/>
      <c r="E5287" s="4"/>
    </row>
    <row r="5288" spans="1:5" x14ac:dyDescent="0.3">
      <c r="A5288" s="9">
        <v>5280</v>
      </c>
      <c r="B5288" s="10">
        <f t="shared" ca="1" si="82"/>
        <v>9.3711608766389537E-2</v>
      </c>
      <c r="C5288" s="10">
        <f ca="1">NPV(B5288,Project_FCF!C18:J18)+Project_FCF!B18</f>
        <v>828.9868674516149</v>
      </c>
      <c r="D5288" s="4"/>
      <c r="E5288" s="4"/>
    </row>
    <row r="5289" spans="1:5" x14ac:dyDescent="0.3">
      <c r="A5289" s="9">
        <v>5281</v>
      </c>
      <c r="B5289" s="10">
        <f t="shared" ca="1" si="82"/>
        <v>0.10114848372553945</v>
      </c>
      <c r="C5289" s="10">
        <f ca="1">NPV(B5289,Project_FCF!C18:J18)+Project_FCF!B18</f>
        <v>774.41243508530852</v>
      </c>
      <c r="D5289" s="4"/>
      <c r="E5289" s="4"/>
    </row>
    <row r="5290" spans="1:5" x14ac:dyDescent="0.3">
      <c r="A5290" s="9">
        <v>5282</v>
      </c>
      <c r="B5290" s="10">
        <f t="shared" ca="1" si="82"/>
        <v>7.1791064675733096E-2</v>
      </c>
      <c r="C5290" s="10">
        <f ca="1">NPV(B5290,Project_FCF!C18:J18)+Project_FCF!B18</f>
        <v>1009.7376190874388</v>
      </c>
      <c r="D5290" s="4"/>
      <c r="E5290" s="4"/>
    </row>
    <row r="5291" spans="1:5" x14ac:dyDescent="0.3">
      <c r="A5291" s="9">
        <v>5283</v>
      </c>
      <c r="B5291" s="10">
        <f t="shared" ca="1" si="82"/>
        <v>0.10208673271794766</v>
      </c>
      <c r="C5291" s="10">
        <f ca="1">NPV(B5291,Project_FCF!C18:J18)+Project_FCF!B18</f>
        <v>767.74885898694561</v>
      </c>
      <c r="D5291" s="4"/>
      <c r="E5291" s="4"/>
    </row>
    <row r="5292" spans="1:5" x14ac:dyDescent="0.3">
      <c r="A5292" s="9">
        <v>5284</v>
      </c>
      <c r="B5292" s="10">
        <f t="shared" ca="1" si="82"/>
        <v>9.2023056542822612E-2</v>
      </c>
      <c r="C5292" s="10">
        <f ca="1">NPV(B5292,Project_FCF!C18:J18)+Project_FCF!B18</f>
        <v>841.82580117437692</v>
      </c>
      <c r="D5292" s="4"/>
      <c r="E5292" s="4"/>
    </row>
    <row r="5293" spans="1:5" x14ac:dyDescent="0.3">
      <c r="A5293" s="9">
        <v>5285</v>
      </c>
      <c r="B5293" s="10">
        <f t="shared" ca="1" si="82"/>
        <v>8.780549958289996E-2</v>
      </c>
      <c r="C5293" s="10">
        <f ca="1">NPV(B5293,Project_FCF!C18:J18)+Project_FCF!B18</f>
        <v>874.64704400201231</v>
      </c>
      <c r="D5293" s="4"/>
      <c r="E5293" s="4"/>
    </row>
    <row r="5294" spans="1:5" x14ac:dyDescent="0.3">
      <c r="A5294" s="9">
        <v>5286</v>
      </c>
      <c r="B5294" s="10">
        <f t="shared" ca="1" si="82"/>
        <v>9.5681679355720667E-2</v>
      </c>
      <c r="C5294" s="10">
        <f ca="1">NPV(B5294,Project_FCF!C18:J18)+Project_FCF!B18</f>
        <v>814.22023463439427</v>
      </c>
      <c r="D5294" s="4"/>
      <c r="E5294" s="4"/>
    </row>
    <row r="5295" spans="1:5" x14ac:dyDescent="0.3">
      <c r="A5295" s="9">
        <v>5287</v>
      </c>
      <c r="B5295" s="10">
        <f t="shared" ca="1" si="82"/>
        <v>8.2161746860808516E-2</v>
      </c>
      <c r="C5295" s="10">
        <f ca="1">NPV(B5295,Project_FCF!C18:J18)+Project_FCF!B18</f>
        <v>920.30855543588814</v>
      </c>
      <c r="D5295" s="4"/>
      <c r="E5295" s="4"/>
    </row>
    <row r="5296" spans="1:5" x14ac:dyDescent="0.3">
      <c r="A5296" s="9">
        <v>5288</v>
      </c>
      <c r="B5296" s="10">
        <f t="shared" ca="1" si="82"/>
        <v>6.4798890648702062E-2</v>
      </c>
      <c r="C5296" s="10">
        <f ca="1">NPV(B5296,Project_FCF!C18:J18)+Project_FCF!B18</f>
        <v>1074.3616200478407</v>
      </c>
      <c r="D5296" s="4"/>
      <c r="E5296" s="4"/>
    </row>
    <row r="5297" spans="1:5" x14ac:dyDescent="0.3">
      <c r="A5297" s="9">
        <v>5289</v>
      </c>
      <c r="B5297" s="10">
        <f t="shared" ca="1" si="82"/>
        <v>7.9732309526089923E-2</v>
      </c>
      <c r="C5297" s="10">
        <f ca="1">NPV(B5297,Project_FCF!C18:J18)+Project_FCF!B18</f>
        <v>940.60094150983537</v>
      </c>
      <c r="D5297" s="4"/>
      <c r="E5297" s="4"/>
    </row>
    <row r="5298" spans="1:5" x14ac:dyDescent="0.3">
      <c r="A5298" s="9">
        <v>5290</v>
      </c>
      <c r="B5298" s="10">
        <f t="shared" ca="1" si="82"/>
        <v>9.0808242341869738E-2</v>
      </c>
      <c r="C5298" s="10">
        <f ca="1">NPV(B5298,Project_FCF!C18:J18)+Project_FCF!B18</f>
        <v>851.16832517760963</v>
      </c>
      <c r="D5298" s="4"/>
      <c r="E5298" s="4"/>
    </row>
    <row r="5299" spans="1:5" x14ac:dyDescent="0.3">
      <c r="A5299" s="9">
        <v>5291</v>
      </c>
      <c r="B5299" s="10">
        <f t="shared" ca="1" si="82"/>
        <v>9.4384845119900501E-2</v>
      </c>
      <c r="C5299" s="10">
        <f ca="1">NPV(B5299,Project_FCF!C18:J18)+Project_FCF!B18</f>
        <v>823.91503538127449</v>
      </c>
      <c r="D5299" s="4"/>
      <c r="E5299" s="4"/>
    </row>
    <row r="5300" spans="1:5" x14ac:dyDescent="0.3">
      <c r="A5300" s="9">
        <v>5292</v>
      </c>
      <c r="B5300" s="10">
        <f t="shared" ca="1" si="82"/>
        <v>8.7430501638321417E-2</v>
      </c>
      <c r="C5300" s="10">
        <f ca="1">NPV(B5300,Project_FCF!C18:J18)+Project_FCF!B18</f>
        <v>877.6183396596241</v>
      </c>
      <c r="D5300" s="4"/>
      <c r="E5300" s="4"/>
    </row>
    <row r="5301" spans="1:5" x14ac:dyDescent="0.3">
      <c r="A5301" s="9">
        <v>5293</v>
      </c>
      <c r="B5301" s="10">
        <f t="shared" ca="1" si="82"/>
        <v>8.6007160383084993E-2</v>
      </c>
      <c r="C5301" s="10">
        <f ca="1">NPV(B5301,Project_FCF!C18:J18)+Project_FCF!B18</f>
        <v>888.97644308394933</v>
      </c>
      <c r="D5301" s="4"/>
      <c r="E5301" s="4"/>
    </row>
    <row r="5302" spans="1:5" x14ac:dyDescent="0.3">
      <c r="A5302" s="9">
        <v>5294</v>
      </c>
      <c r="B5302" s="10">
        <f t="shared" ca="1" si="82"/>
        <v>8.2151005834685403E-2</v>
      </c>
      <c r="C5302" s="10">
        <f ca="1">NPV(B5302,Project_FCF!C18:J18)+Project_FCF!B18</f>
        <v>920.39741439995942</v>
      </c>
      <c r="D5302" s="4"/>
      <c r="E5302" s="4"/>
    </row>
    <row r="5303" spans="1:5" x14ac:dyDescent="0.3">
      <c r="A5303" s="9">
        <v>5295</v>
      </c>
      <c r="B5303" s="10">
        <f t="shared" ca="1" si="82"/>
        <v>9.6498334953533299E-2</v>
      </c>
      <c r="C5303" s="10">
        <f ca="1">NPV(B5303,Project_FCF!C18:J18)+Project_FCF!B18</f>
        <v>808.16531830482904</v>
      </c>
      <c r="D5303" s="4"/>
      <c r="E5303" s="4"/>
    </row>
    <row r="5304" spans="1:5" x14ac:dyDescent="0.3">
      <c r="A5304" s="9">
        <v>5296</v>
      </c>
      <c r="B5304" s="10">
        <f t="shared" ca="1" si="82"/>
        <v>7.5773830815553958E-2</v>
      </c>
      <c r="C5304" s="10">
        <f ca="1">NPV(B5304,Project_FCF!C18:J18)+Project_FCF!B18</f>
        <v>974.51603693477409</v>
      </c>
      <c r="D5304" s="4"/>
      <c r="E5304" s="4"/>
    </row>
    <row r="5305" spans="1:5" x14ac:dyDescent="0.3">
      <c r="A5305" s="9">
        <v>5297</v>
      </c>
      <c r="B5305" s="10">
        <f t="shared" ca="1" si="82"/>
        <v>0.10058576026863905</v>
      </c>
      <c r="C5305" s="10">
        <f ca="1">NPV(B5305,Project_FCF!C18:J18)+Project_FCF!B18</f>
        <v>778.43231664143536</v>
      </c>
      <c r="D5305" s="4"/>
      <c r="E5305" s="4"/>
    </row>
    <row r="5306" spans="1:5" x14ac:dyDescent="0.3">
      <c r="A5306" s="9">
        <v>5298</v>
      </c>
      <c r="B5306" s="10">
        <f t="shared" ca="1" si="82"/>
        <v>9.2702635823894597E-2</v>
      </c>
      <c r="C5306" s="10">
        <f ca="1">NPV(B5306,Project_FCF!C18:J18)+Project_FCF!B18</f>
        <v>836.63818305372342</v>
      </c>
      <c r="D5306" s="4"/>
      <c r="E5306" s="4"/>
    </row>
    <row r="5307" spans="1:5" x14ac:dyDescent="0.3">
      <c r="A5307" s="9">
        <v>5299</v>
      </c>
      <c r="B5307" s="10">
        <f t="shared" ca="1" si="82"/>
        <v>6.7433848068676305E-2</v>
      </c>
      <c r="C5307" s="10">
        <f ca="1">NPV(B5307,Project_FCF!C18:J18)+Project_FCF!B18</f>
        <v>1049.5805760067503</v>
      </c>
      <c r="D5307" s="4"/>
      <c r="E5307" s="4"/>
    </row>
    <row r="5308" spans="1:5" x14ac:dyDescent="0.3">
      <c r="A5308" s="9">
        <v>5300</v>
      </c>
      <c r="B5308" s="10">
        <f t="shared" ca="1" si="82"/>
        <v>9.4827800733318313E-2</v>
      </c>
      <c r="C5308" s="10">
        <f ca="1">NPV(B5308,Project_FCF!C18:J18)+Project_FCF!B18</f>
        <v>820.59255913329866</v>
      </c>
      <c r="D5308" s="4"/>
      <c r="E5308" s="4"/>
    </row>
    <row r="5309" spans="1:5" x14ac:dyDescent="0.3">
      <c r="A5309" s="9">
        <v>5301</v>
      </c>
      <c r="B5309" s="10">
        <f t="shared" ca="1" si="82"/>
        <v>9.6579930838404021E-2</v>
      </c>
      <c r="C5309" s="10">
        <f ca="1">NPV(B5309,Project_FCF!C18:J18)+Project_FCF!B18</f>
        <v>807.56246080795768</v>
      </c>
      <c r="D5309" s="4"/>
      <c r="E5309" s="4"/>
    </row>
    <row r="5310" spans="1:5" x14ac:dyDescent="0.3">
      <c r="A5310" s="9">
        <v>5302</v>
      </c>
      <c r="B5310" s="10">
        <f t="shared" ca="1" si="82"/>
        <v>8.5284157907553088E-2</v>
      </c>
      <c r="C5310" s="10">
        <f ca="1">NPV(B5310,Project_FCF!C18:J18)+Project_FCF!B18</f>
        <v>894.79494904512285</v>
      </c>
      <c r="D5310" s="4"/>
      <c r="E5310" s="4"/>
    </row>
    <row r="5311" spans="1:5" x14ac:dyDescent="0.3">
      <c r="A5311" s="9">
        <v>5303</v>
      </c>
      <c r="B5311" s="10">
        <f t="shared" ca="1" si="82"/>
        <v>6.4971997022102754E-2</v>
      </c>
      <c r="C5311" s="10">
        <f ca="1">NPV(B5311,Project_FCF!C18:J18)+Project_FCF!B18</f>
        <v>1072.717387392883</v>
      </c>
      <c r="D5311" s="4"/>
      <c r="E5311" s="4"/>
    </row>
    <row r="5312" spans="1:5" x14ac:dyDescent="0.3">
      <c r="A5312" s="9">
        <v>5304</v>
      </c>
      <c r="B5312" s="10">
        <f t="shared" ca="1" si="82"/>
        <v>6.4569166460793942E-2</v>
      </c>
      <c r="C5312" s="10">
        <f ca="1">NPV(B5312,Project_FCF!C18:J18)+Project_FCF!B18</f>
        <v>1076.5471830289941</v>
      </c>
      <c r="D5312" s="4"/>
      <c r="E5312" s="4"/>
    </row>
    <row r="5313" spans="1:5" x14ac:dyDescent="0.3">
      <c r="A5313" s="9">
        <v>5305</v>
      </c>
      <c r="B5313" s="10">
        <f t="shared" ca="1" si="82"/>
        <v>7.4536377451104766E-2</v>
      </c>
      <c r="C5313" s="10">
        <f ca="1">NPV(B5313,Project_FCF!C18:J18)+Project_FCF!B18</f>
        <v>985.33961410486518</v>
      </c>
      <c r="D5313" s="4"/>
      <c r="E5313" s="4"/>
    </row>
    <row r="5314" spans="1:5" x14ac:dyDescent="0.3">
      <c r="A5314" s="9">
        <v>5306</v>
      </c>
      <c r="B5314" s="10">
        <f t="shared" ca="1" si="82"/>
        <v>9.9983614574445406E-2</v>
      </c>
      <c r="C5314" s="10">
        <f ca="1">NPV(B5314,Project_FCF!C18:J18)+Project_FCF!B18</f>
        <v>782.7533191739833</v>
      </c>
      <c r="D5314" s="4"/>
      <c r="E5314" s="4"/>
    </row>
    <row r="5315" spans="1:5" x14ac:dyDescent="0.3">
      <c r="A5315" s="9">
        <v>5307</v>
      </c>
      <c r="B5315" s="10">
        <f t="shared" ca="1" si="82"/>
        <v>7.8762569606349211E-2</v>
      </c>
      <c r="C5315" s="10">
        <f ca="1">NPV(B5315,Project_FCF!C18:J18)+Project_FCF!B18</f>
        <v>948.81084280810569</v>
      </c>
      <c r="D5315" s="4"/>
      <c r="E5315" s="4"/>
    </row>
    <row r="5316" spans="1:5" x14ac:dyDescent="0.3">
      <c r="A5316" s="9">
        <v>5308</v>
      </c>
      <c r="B5316" s="10">
        <f t="shared" ca="1" si="82"/>
        <v>8.5832442580683163E-2</v>
      </c>
      <c r="C5316" s="10">
        <f ca="1">NPV(B5316,Project_FCF!C18:J18)+Project_FCF!B18</f>
        <v>890.37947828827214</v>
      </c>
      <c r="D5316" s="4"/>
      <c r="E5316" s="4"/>
    </row>
    <row r="5317" spans="1:5" x14ac:dyDescent="0.3">
      <c r="A5317" s="9">
        <v>5309</v>
      </c>
      <c r="B5317" s="10">
        <f t="shared" ca="1" si="82"/>
        <v>0.10265915896333283</v>
      </c>
      <c r="C5317" s="10">
        <f ca="1">NPV(B5317,Project_FCF!C18:J18)+Project_FCF!B18</f>
        <v>763.70715836323075</v>
      </c>
      <c r="D5317" s="4"/>
      <c r="E5317" s="4"/>
    </row>
    <row r="5318" spans="1:5" x14ac:dyDescent="0.3">
      <c r="A5318" s="9">
        <v>5310</v>
      </c>
      <c r="B5318" s="10">
        <f t="shared" ca="1" si="82"/>
        <v>6.8016656548683385E-2</v>
      </c>
      <c r="C5318" s="10">
        <f ca="1">NPV(B5318,Project_FCF!C18:J18)+Project_FCF!B18</f>
        <v>1044.1701198366375</v>
      </c>
      <c r="D5318" s="4"/>
      <c r="E5318" s="4"/>
    </row>
    <row r="5319" spans="1:5" x14ac:dyDescent="0.3">
      <c r="A5319" s="9">
        <v>5311</v>
      </c>
      <c r="B5319" s="10">
        <f t="shared" ca="1" si="82"/>
        <v>9.2232950050888066E-2</v>
      </c>
      <c r="C5319" s="10">
        <f ca="1">NPV(B5319,Project_FCF!C18:J18)+Project_FCF!B18</f>
        <v>840.22061400821826</v>
      </c>
      <c r="D5319" s="4"/>
      <c r="E5319" s="4"/>
    </row>
    <row r="5320" spans="1:5" x14ac:dyDescent="0.3">
      <c r="A5320" s="9">
        <v>5312</v>
      </c>
      <c r="B5320" s="10">
        <f t="shared" ca="1" si="82"/>
        <v>8.3153549164074178E-2</v>
      </c>
      <c r="C5320" s="10">
        <f ca="1">NPV(B5320,Project_FCF!C18:J18)+Project_FCF!B18</f>
        <v>912.13600952543811</v>
      </c>
      <c r="D5320" s="4"/>
      <c r="E5320" s="4"/>
    </row>
    <row r="5321" spans="1:5" x14ac:dyDescent="0.3">
      <c r="A5321" s="9">
        <v>5313</v>
      </c>
      <c r="B5321" s="10">
        <f t="shared" ref="B5321:B5384" ca="1" si="83">$B$4+RAND()*($B$5-$B$4)</f>
        <v>9.7865487473938154E-2</v>
      </c>
      <c r="C5321" s="10">
        <f ca="1">NPV(B5321,Project_FCF!C18:J18)+Project_FCF!B18</f>
        <v>798.1147922295745</v>
      </c>
      <c r="D5321" s="4"/>
      <c r="E5321" s="4"/>
    </row>
    <row r="5322" spans="1:5" x14ac:dyDescent="0.3">
      <c r="A5322" s="9">
        <v>5314</v>
      </c>
      <c r="B5322" s="10">
        <f t="shared" ca="1" si="83"/>
        <v>6.6348409343617937E-2</v>
      </c>
      <c r="C5322" s="10">
        <f ca="1">NPV(B5322,Project_FCF!C18:J18)+Project_FCF!B18</f>
        <v>1059.7250993060866</v>
      </c>
      <c r="D5322" s="4"/>
      <c r="E5322" s="4"/>
    </row>
    <row r="5323" spans="1:5" x14ac:dyDescent="0.3">
      <c r="A5323" s="9">
        <v>5315</v>
      </c>
      <c r="B5323" s="10">
        <f t="shared" ca="1" si="83"/>
        <v>8.1832121871640295E-2</v>
      </c>
      <c r="C5323" s="10">
        <f ca="1">NPV(B5323,Project_FCF!C18:J18)+Project_FCF!B18</f>
        <v>923.03894399035653</v>
      </c>
      <c r="D5323" s="4"/>
      <c r="E5323" s="4"/>
    </row>
    <row r="5324" spans="1:5" x14ac:dyDescent="0.3">
      <c r="A5324" s="9">
        <v>5316</v>
      </c>
      <c r="B5324" s="10">
        <f t="shared" ca="1" si="83"/>
        <v>6.7306460964952561E-2</v>
      </c>
      <c r="C5324" s="10">
        <f ca="1">NPV(B5324,Project_FCF!C18:J18)+Project_FCF!B18</f>
        <v>1050.7665485018883</v>
      </c>
      <c r="D5324" s="4"/>
      <c r="E5324" s="4"/>
    </row>
    <row r="5325" spans="1:5" x14ac:dyDescent="0.3">
      <c r="A5325" s="9">
        <v>5317</v>
      </c>
      <c r="B5325" s="10">
        <f t="shared" ca="1" si="83"/>
        <v>8.3839867212178218E-2</v>
      </c>
      <c r="C5325" s="10">
        <f ca="1">NPV(B5325,Project_FCF!C18:J18)+Project_FCF!B18</f>
        <v>906.5181281887053</v>
      </c>
      <c r="D5325" s="4"/>
      <c r="E5325" s="4"/>
    </row>
    <row r="5326" spans="1:5" x14ac:dyDescent="0.3">
      <c r="A5326" s="9">
        <v>5318</v>
      </c>
      <c r="B5326" s="10">
        <f t="shared" ca="1" si="83"/>
        <v>8.0788015155873499E-2</v>
      </c>
      <c r="C5326" s="10">
        <f ca="1">NPV(B5326,Project_FCF!C18:J18)+Project_FCF!B18</f>
        <v>931.73486114920911</v>
      </c>
      <c r="D5326" s="4"/>
      <c r="E5326" s="4"/>
    </row>
    <row r="5327" spans="1:5" x14ac:dyDescent="0.3">
      <c r="A5327" s="9">
        <v>5319</v>
      </c>
      <c r="B5327" s="10">
        <f t="shared" ca="1" si="83"/>
        <v>6.8281269448225809E-2</v>
      </c>
      <c r="C5327" s="10">
        <f ca="1">NPV(B5327,Project_FCF!C18:J18)+Project_FCF!B18</f>
        <v>1041.7219708577522</v>
      </c>
      <c r="D5327" s="4"/>
      <c r="E5327" s="4"/>
    </row>
    <row r="5328" spans="1:5" x14ac:dyDescent="0.3">
      <c r="A5328" s="9">
        <v>5320</v>
      </c>
      <c r="B5328" s="10">
        <f t="shared" ca="1" si="83"/>
        <v>7.2204476696809516E-2</v>
      </c>
      <c r="C5328" s="10">
        <f ca="1">NPV(B5328,Project_FCF!C18:J18)+Project_FCF!B18</f>
        <v>1006.0291883623299</v>
      </c>
      <c r="D5328" s="4"/>
      <c r="E5328" s="4"/>
    </row>
    <row r="5329" spans="1:5" x14ac:dyDescent="0.3">
      <c r="A5329" s="9">
        <v>5321</v>
      </c>
      <c r="B5329" s="10">
        <f t="shared" ca="1" si="83"/>
        <v>0.10077527671785327</v>
      </c>
      <c r="C5329" s="10">
        <f ca="1">NPV(B5329,Project_FCF!C18:J18)+Project_FCF!B18</f>
        <v>777.07652139363108</v>
      </c>
      <c r="D5329" s="4"/>
      <c r="E5329" s="4"/>
    </row>
    <row r="5330" spans="1:5" x14ac:dyDescent="0.3">
      <c r="A5330" s="9">
        <v>5322</v>
      </c>
      <c r="B5330" s="10">
        <f t="shared" ca="1" si="83"/>
        <v>8.507780809157986E-2</v>
      </c>
      <c r="C5330" s="10">
        <f ca="1">NPV(B5330,Project_FCF!C18:J18)+Project_FCF!B18</f>
        <v>896.46169168413189</v>
      </c>
      <c r="D5330" s="4"/>
      <c r="E5330" s="4"/>
    </row>
    <row r="5331" spans="1:5" x14ac:dyDescent="0.3">
      <c r="A5331" s="9">
        <v>5323</v>
      </c>
      <c r="B5331" s="10">
        <f t="shared" ca="1" si="83"/>
        <v>8.2875778744035455E-2</v>
      </c>
      <c r="C5331" s="10">
        <f ca="1">NPV(B5331,Project_FCF!C18:J18)+Project_FCF!B18</f>
        <v>914.4183973427248</v>
      </c>
      <c r="D5331" s="4"/>
      <c r="E5331" s="4"/>
    </row>
    <row r="5332" spans="1:5" x14ac:dyDescent="0.3">
      <c r="A5332" s="9">
        <v>5324</v>
      </c>
      <c r="B5332" s="10">
        <f t="shared" ca="1" si="83"/>
        <v>9.5492855391977285E-2</v>
      </c>
      <c r="C5332" s="10">
        <f ca="1">NPV(B5332,Project_FCF!C18:J18)+Project_FCF!B18</f>
        <v>815.62573203324109</v>
      </c>
      <c r="D5332" s="4"/>
      <c r="E5332" s="4"/>
    </row>
    <row r="5333" spans="1:5" x14ac:dyDescent="0.3">
      <c r="A5333" s="9">
        <v>5325</v>
      </c>
      <c r="B5333" s="10">
        <f t="shared" ca="1" si="83"/>
        <v>7.0150671474328713E-2</v>
      </c>
      <c r="C5333" s="10">
        <f ca="1">NPV(B5333,Project_FCF!C18:J18)+Project_FCF!B18</f>
        <v>1024.5741859760335</v>
      </c>
      <c r="D5333" s="4"/>
      <c r="E5333" s="4"/>
    </row>
    <row r="5334" spans="1:5" x14ac:dyDescent="0.3">
      <c r="A5334" s="9">
        <v>5326</v>
      </c>
      <c r="B5334" s="10">
        <f t="shared" ca="1" si="83"/>
        <v>8.3930641698752403E-2</v>
      </c>
      <c r="C5334" s="10">
        <f ca="1">NPV(B5334,Project_FCF!C18:J18)+Project_FCF!B18</f>
        <v>905.77737159621256</v>
      </c>
      <c r="D5334" s="4"/>
      <c r="E5334" s="4"/>
    </row>
    <row r="5335" spans="1:5" x14ac:dyDescent="0.3">
      <c r="A5335" s="9">
        <v>5327</v>
      </c>
      <c r="B5335" s="10">
        <f t="shared" ca="1" si="83"/>
        <v>9.7826001243327909E-2</v>
      </c>
      <c r="C5335" s="10">
        <f ca="1">NPV(B5335,Project_FCF!C18:J18)+Project_FCF!B18</f>
        <v>798.40357317426151</v>
      </c>
      <c r="D5335" s="4"/>
      <c r="E5335" s="4"/>
    </row>
    <row r="5336" spans="1:5" x14ac:dyDescent="0.3">
      <c r="A5336" s="9">
        <v>5328</v>
      </c>
      <c r="B5336" s="10">
        <f t="shared" ca="1" si="83"/>
        <v>8.6848701806566633E-2</v>
      </c>
      <c r="C5336" s="10">
        <f ca="1">NPV(B5336,Project_FCF!C18:J18)+Project_FCF!B18</f>
        <v>882.24564076863294</v>
      </c>
      <c r="D5336" s="4"/>
      <c r="E5336" s="4"/>
    </row>
    <row r="5337" spans="1:5" x14ac:dyDescent="0.3">
      <c r="A5337" s="9">
        <v>5329</v>
      </c>
      <c r="B5337" s="10">
        <f t="shared" ca="1" si="83"/>
        <v>7.7948902168569728E-2</v>
      </c>
      <c r="C5337" s="10">
        <f ca="1">NPV(B5337,Project_FCF!C18:J18)+Project_FCF!B18</f>
        <v>955.74843794349408</v>
      </c>
      <c r="D5337" s="4"/>
      <c r="E5337" s="4"/>
    </row>
    <row r="5338" spans="1:5" x14ac:dyDescent="0.3">
      <c r="A5338" s="9">
        <v>5330</v>
      </c>
      <c r="B5338" s="10">
        <f t="shared" ca="1" si="83"/>
        <v>9.6721974435469149E-2</v>
      </c>
      <c r="C5338" s="10">
        <f ca="1">NPV(B5338,Project_FCF!C18:J18)+Project_FCF!B18</f>
        <v>806.51391048958271</v>
      </c>
      <c r="D5338" s="4"/>
      <c r="E5338" s="4"/>
    </row>
    <row r="5339" spans="1:5" x14ac:dyDescent="0.3">
      <c r="A5339" s="9">
        <v>5331</v>
      </c>
      <c r="B5339" s="10">
        <f t="shared" ca="1" si="83"/>
        <v>6.7647502297727383E-2</v>
      </c>
      <c r="C5339" s="10">
        <f ca="1">NPV(B5339,Project_FCF!C18:J18)+Project_FCF!B18</f>
        <v>1047.5941864741221</v>
      </c>
      <c r="D5339" s="4"/>
      <c r="E5339" s="4"/>
    </row>
    <row r="5340" spans="1:5" x14ac:dyDescent="0.3">
      <c r="A5340" s="9">
        <v>5332</v>
      </c>
      <c r="B5340" s="10">
        <f t="shared" ca="1" si="83"/>
        <v>6.8157615356744458E-2</v>
      </c>
      <c r="C5340" s="10">
        <f ca="1">NPV(B5340,Project_FCF!C18:J18)+Project_FCF!B18</f>
        <v>1042.8653466590686</v>
      </c>
      <c r="D5340" s="4"/>
      <c r="E5340" s="4"/>
    </row>
    <row r="5341" spans="1:5" x14ac:dyDescent="0.3">
      <c r="A5341" s="9">
        <v>5333</v>
      </c>
      <c r="B5341" s="10">
        <f t="shared" ca="1" si="83"/>
        <v>8.5882917834354977E-2</v>
      </c>
      <c r="C5341" s="10">
        <f ca="1">NPV(B5341,Project_FCF!C18:J18)+Project_FCF!B18</f>
        <v>889.97394847440387</v>
      </c>
      <c r="D5341" s="4"/>
      <c r="E5341" s="4"/>
    </row>
    <row r="5342" spans="1:5" x14ac:dyDescent="0.3">
      <c r="A5342" s="9">
        <v>5334</v>
      </c>
      <c r="B5342" s="10">
        <f t="shared" ca="1" si="83"/>
        <v>8.6906481086464107E-2</v>
      </c>
      <c r="C5342" s="10">
        <f ca="1">NPV(B5342,Project_FCF!C18:J18)+Project_FCF!B18</f>
        <v>881.78514807303327</v>
      </c>
      <c r="D5342" s="4"/>
      <c r="E5342" s="4"/>
    </row>
    <row r="5343" spans="1:5" x14ac:dyDescent="0.3">
      <c r="A5343" s="9">
        <v>5335</v>
      </c>
      <c r="B5343" s="10">
        <f t="shared" ca="1" si="83"/>
        <v>6.5729045147655082E-2</v>
      </c>
      <c r="C5343" s="10">
        <f ca="1">NPV(B5343,Project_FCF!C18:J18)+Project_FCF!B18</f>
        <v>1065.5535782858512</v>
      </c>
      <c r="D5343" s="4"/>
      <c r="E5343" s="4"/>
    </row>
    <row r="5344" spans="1:5" x14ac:dyDescent="0.3">
      <c r="A5344" s="9">
        <v>5336</v>
      </c>
      <c r="B5344" s="10">
        <f t="shared" ca="1" si="83"/>
        <v>7.78287586298433E-2</v>
      </c>
      <c r="C5344" s="10">
        <f ca="1">NPV(B5344,Project_FCF!C18:J18)+Project_FCF!B18</f>
        <v>956.77663262973442</v>
      </c>
      <c r="D5344" s="4"/>
      <c r="E5344" s="4"/>
    </row>
    <row r="5345" spans="1:5" x14ac:dyDescent="0.3">
      <c r="A5345" s="9">
        <v>5337</v>
      </c>
      <c r="B5345" s="10">
        <f t="shared" ca="1" si="83"/>
        <v>7.866958808339769E-2</v>
      </c>
      <c r="C5345" s="10">
        <f ca="1">NPV(B5345,Project_FCF!C18:J18)+Project_FCF!B18</f>
        <v>949.60136292931452</v>
      </c>
      <c r="D5345" s="4"/>
      <c r="E5345" s="4"/>
    </row>
    <row r="5346" spans="1:5" x14ac:dyDescent="0.3">
      <c r="A5346" s="9">
        <v>5338</v>
      </c>
      <c r="B5346" s="10">
        <f t="shared" ca="1" si="83"/>
        <v>9.5710647530796639E-2</v>
      </c>
      <c r="C5346" s="10">
        <f ca="1">NPV(B5346,Project_FCF!C18:J18)+Project_FCF!B18</f>
        <v>814.0047954277079</v>
      </c>
      <c r="D5346" s="4"/>
      <c r="E5346" s="4"/>
    </row>
    <row r="5347" spans="1:5" x14ac:dyDescent="0.3">
      <c r="A5347" s="9">
        <v>5339</v>
      </c>
      <c r="B5347" s="10">
        <f t="shared" ca="1" si="83"/>
        <v>7.8059654671255196E-2</v>
      </c>
      <c r="C5347" s="10">
        <f ca="1">NPV(B5347,Project_FCF!C18:J18)+Project_FCF!B18</f>
        <v>954.8014828538312</v>
      </c>
      <c r="D5347" s="4"/>
      <c r="E5347" s="4"/>
    </row>
    <row r="5348" spans="1:5" x14ac:dyDescent="0.3">
      <c r="A5348" s="9">
        <v>5340</v>
      </c>
      <c r="B5348" s="10">
        <f t="shared" ca="1" si="83"/>
        <v>6.4907943177588176E-2</v>
      </c>
      <c r="C5348" s="10">
        <f ca="1">NPV(B5348,Project_FCF!C18:J18)+Project_FCF!B18</f>
        <v>1073.3255282503055</v>
      </c>
      <c r="D5348" s="4"/>
      <c r="E5348" s="4"/>
    </row>
    <row r="5349" spans="1:5" x14ac:dyDescent="0.3">
      <c r="A5349" s="9">
        <v>5341</v>
      </c>
      <c r="B5349" s="10">
        <f t="shared" ca="1" si="83"/>
        <v>6.6772303609839795E-2</v>
      </c>
      <c r="C5349" s="10">
        <f ca="1">NPV(B5349,Project_FCF!C18:J18)+Project_FCF!B18</f>
        <v>1055.7528171110948</v>
      </c>
      <c r="D5349" s="4"/>
      <c r="E5349" s="4"/>
    </row>
    <row r="5350" spans="1:5" x14ac:dyDescent="0.3">
      <c r="A5350" s="9">
        <v>5342</v>
      </c>
      <c r="B5350" s="10">
        <f t="shared" ca="1" si="83"/>
        <v>0.10122262851296918</v>
      </c>
      <c r="C5350" s="10">
        <f ca="1">NPV(B5350,Project_FCF!C18:J18)+Project_FCF!B18</f>
        <v>773.88408124081889</v>
      </c>
      <c r="D5350" s="4"/>
      <c r="E5350" s="4"/>
    </row>
    <row r="5351" spans="1:5" x14ac:dyDescent="0.3">
      <c r="A5351" s="9">
        <v>5343</v>
      </c>
      <c r="B5351" s="10">
        <f t="shared" ca="1" si="83"/>
        <v>7.5778057969448032E-2</v>
      </c>
      <c r="C5351" s="10">
        <f ca="1">NPV(B5351,Project_FCF!C18:J18)+Project_FCF!B18</f>
        <v>974.47924640833367</v>
      </c>
      <c r="D5351" s="4"/>
      <c r="E5351" s="4"/>
    </row>
    <row r="5352" spans="1:5" x14ac:dyDescent="0.3">
      <c r="A5352" s="9">
        <v>5344</v>
      </c>
      <c r="B5352" s="10">
        <f t="shared" ca="1" si="83"/>
        <v>0.10113530412151536</v>
      </c>
      <c r="C5352" s="10">
        <f ca="1">NPV(B5352,Project_FCF!C18:J18)+Project_FCF!B18</f>
        <v>774.50638443726666</v>
      </c>
      <c r="D5352" s="4"/>
      <c r="E5352" s="4"/>
    </row>
    <row r="5353" spans="1:5" x14ac:dyDescent="0.3">
      <c r="A5353" s="9">
        <v>5345</v>
      </c>
      <c r="B5353" s="10">
        <f t="shared" ca="1" si="83"/>
        <v>6.65816011719053E-2</v>
      </c>
      <c r="C5353" s="10">
        <f ca="1">NPV(B5353,Project_FCF!C18:J18)+Project_FCF!B18</f>
        <v>1057.5381965347053</v>
      </c>
      <c r="D5353" s="4"/>
      <c r="E5353" s="4"/>
    </row>
    <row r="5354" spans="1:5" x14ac:dyDescent="0.3">
      <c r="A5354" s="9">
        <v>5346</v>
      </c>
      <c r="B5354" s="10">
        <f t="shared" ca="1" si="83"/>
        <v>8.4855907273893832E-2</v>
      </c>
      <c r="C5354" s="10">
        <f ca="1">NPV(B5354,Project_FCF!C18:J18)+Project_FCF!B18</f>
        <v>898.25707786579801</v>
      </c>
      <c r="D5354" s="4"/>
      <c r="E5354" s="4"/>
    </row>
    <row r="5355" spans="1:5" x14ac:dyDescent="0.3">
      <c r="A5355" s="9">
        <v>5347</v>
      </c>
      <c r="B5355" s="10">
        <f t="shared" ca="1" si="83"/>
        <v>6.6417885797066686E-2</v>
      </c>
      <c r="C5355" s="10">
        <f ca="1">NPV(B5355,Project_FCF!C18:J18)+Project_FCF!B18</f>
        <v>1059.07311028714</v>
      </c>
      <c r="D5355" s="4"/>
      <c r="E5355" s="4"/>
    </row>
    <row r="5356" spans="1:5" x14ac:dyDescent="0.3">
      <c r="A5356" s="9">
        <v>5348</v>
      </c>
      <c r="B5356" s="10">
        <f t="shared" ca="1" si="83"/>
        <v>7.8325601234640246E-2</v>
      </c>
      <c r="C5356" s="10">
        <f ca="1">NPV(B5356,Project_FCF!C18:J18)+Project_FCF!B18</f>
        <v>952.53099447148406</v>
      </c>
      <c r="D5356" s="4"/>
      <c r="E5356" s="4"/>
    </row>
    <row r="5357" spans="1:5" x14ac:dyDescent="0.3">
      <c r="A5357" s="9">
        <v>5349</v>
      </c>
      <c r="B5357" s="10">
        <f t="shared" ca="1" si="83"/>
        <v>0.10019132425036617</v>
      </c>
      <c r="C5357" s="10">
        <f ca="1">NPV(B5357,Project_FCF!C18:J18)+Project_FCF!B18</f>
        <v>781.26050828997722</v>
      </c>
      <c r="D5357" s="4"/>
      <c r="E5357" s="4"/>
    </row>
    <row r="5358" spans="1:5" x14ac:dyDescent="0.3">
      <c r="A5358" s="9">
        <v>5350</v>
      </c>
      <c r="B5358" s="10">
        <f t="shared" ca="1" si="83"/>
        <v>8.9684896451561039E-2</v>
      </c>
      <c r="C5358" s="10">
        <f ca="1">NPV(B5358,Project_FCF!C18:J18)+Project_FCF!B18</f>
        <v>859.88704824823935</v>
      </c>
      <c r="D5358" s="4"/>
      <c r="E5358" s="4"/>
    </row>
    <row r="5359" spans="1:5" x14ac:dyDescent="0.3">
      <c r="A5359" s="9">
        <v>5351</v>
      </c>
      <c r="B5359" s="10">
        <f t="shared" ca="1" si="83"/>
        <v>7.1150095473110783E-2</v>
      </c>
      <c r="C5359" s="10">
        <f ca="1">NPV(B5359,Project_FCF!C18:J18)+Project_FCF!B18</f>
        <v>1015.5116540470672</v>
      </c>
      <c r="D5359" s="4"/>
      <c r="E5359" s="4"/>
    </row>
    <row r="5360" spans="1:5" x14ac:dyDescent="0.3">
      <c r="A5360" s="9">
        <v>5352</v>
      </c>
      <c r="B5360" s="10">
        <f t="shared" ca="1" si="83"/>
        <v>9.3787592512428089E-2</v>
      </c>
      <c r="C5360" s="10">
        <f ca="1">NPV(B5360,Project_FCF!C18:J18)+Project_FCF!B18</f>
        <v>828.41310508989886</v>
      </c>
      <c r="D5360" s="4"/>
      <c r="E5360" s="4"/>
    </row>
    <row r="5361" spans="1:5" x14ac:dyDescent="0.3">
      <c r="A5361" s="9">
        <v>5353</v>
      </c>
      <c r="B5361" s="10">
        <f t="shared" ca="1" si="83"/>
        <v>9.3022478160387903E-2</v>
      </c>
      <c r="C5361" s="10">
        <f ca="1">NPV(B5361,Project_FCF!C18:J18)+Project_FCF!B18</f>
        <v>834.20618524101587</v>
      </c>
      <c r="D5361" s="4"/>
      <c r="E5361" s="4"/>
    </row>
    <row r="5362" spans="1:5" x14ac:dyDescent="0.3">
      <c r="A5362" s="9">
        <v>5354</v>
      </c>
      <c r="B5362" s="10">
        <f t="shared" ca="1" si="83"/>
        <v>6.7673117464577506E-2</v>
      </c>
      <c r="C5362" s="10">
        <f ca="1">NPV(B5362,Project_FCF!C18:J18)+Project_FCF!B18</f>
        <v>1047.3562660161335</v>
      </c>
      <c r="D5362" s="4"/>
      <c r="E5362" s="4"/>
    </row>
    <row r="5363" spans="1:5" x14ac:dyDescent="0.3">
      <c r="A5363" s="9">
        <v>5355</v>
      </c>
      <c r="B5363" s="10">
        <f t="shared" ca="1" si="83"/>
        <v>8.3173852722511751E-2</v>
      </c>
      <c r="C5363" s="10">
        <f ca="1">NPV(B5363,Project_FCF!C18:J18)+Project_FCF!B18</f>
        <v>911.9693756996769</v>
      </c>
      <c r="D5363" s="4"/>
      <c r="E5363" s="4"/>
    </row>
    <row r="5364" spans="1:5" x14ac:dyDescent="0.3">
      <c r="A5364" s="9">
        <v>5356</v>
      </c>
      <c r="B5364" s="10">
        <f t="shared" ca="1" si="83"/>
        <v>9.2529230244625227E-2</v>
      </c>
      <c r="C5364" s="10">
        <f ca="1">NPV(B5364,Project_FCF!C18:J18)+Project_FCF!B18</f>
        <v>837.95926326817403</v>
      </c>
      <c r="D5364" s="4"/>
      <c r="E5364" s="4"/>
    </row>
    <row r="5365" spans="1:5" x14ac:dyDescent="0.3">
      <c r="A5365" s="9">
        <v>5357</v>
      </c>
      <c r="B5365" s="10">
        <f t="shared" ca="1" si="83"/>
        <v>7.5497164145794549E-2</v>
      </c>
      <c r="C5365" s="10">
        <f ca="1">NPV(B5365,Project_FCF!C18:J18)+Project_FCF!B18</f>
        <v>976.92667267637989</v>
      </c>
      <c r="D5365" s="4"/>
      <c r="E5365" s="4"/>
    </row>
    <row r="5366" spans="1:5" x14ac:dyDescent="0.3">
      <c r="A5366" s="9">
        <v>5358</v>
      </c>
      <c r="B5366" s="10">
        <f t="shared" ca="1" si="83"/>
        <v>9.0583365415508627E-2</v>
      </c>
      <c r="C5366" s="10">
        <f ca="1">NPV(B5366,Project_FCF!C18:J18)+Project_FCF!B18</f>
        <v>852.90753005033412</v>
      </c>
      <c r="D5366" s="4"/>
      <c r="E5366" s="4"/>
    </row>
    <row r="5367" spans="1:5" x14ac:dyDescent="0.3">
      <c r="A5367" s="9">
        <v>5359</v>
      </c>
      <c r="B5367" s="10">
        <f t="shared" ca="1" si="83"/>
        <v>9.2425191583332594E-2</v>
      </c>
      <c r="C5367" s="10">
        <f ca="1">NPV(B5367,Project_FCF!C18:J18)+Project_FCF!B18</f>
        <v>838.75273756931847</v>
      </c>
      <c r="D5367" s="4"/>
      <c r="E5367" s="4"/>
    </row>
    <row r="5368" spans="1:5" x14ac:dyDescent="0.3">
      <c r="A5368" s="9">
        <v>5360</v>
      </c>
      <c r="B5368" s="10">
        <f t="shared" ca="1" si="83"/>
        <v>8.6796541276456834E-2</v>
      </c>
      <c r="C5368" s="10">
        <f ca="1">NPV(B5368,Project_FCF!C18:J18)+Project_FCF!B18</f>
        <v>882.66153300641895</v>
      </c>
      <c r="D5368" s="4"/>
      <c r="E5368" s="4"/>
    </row>
    <row r="5369" spans="1:5" x14ac:dyDescent="0.3">
      <c r="A5369" s="9">
        <v>5361</v>
      </c>
      <c r="B5369" s="10">
        <f t="shared" ca="1" si="83"/>
        <v>8.8989818290249406E-2</v>
      </c>
      <c r="C5369" s="10">
        <f ca="1">NPV(B5369,Project_FCF!C18:J18)+Project_FCF!B18</f>
        <v>865.32048921230648</v>
      </c>
      <c r="D5369" s="4"/>
      <c r="E5369" s="4"/>
    </row>
    <row r="5370" spans="1:5" x14ac:dyDescent="0.3">
      <c r="A5370" s="9">
        <v>5362</v>
      </c>
      <c r="B5370" s="10">
        <f t="shared" ca="1" si="83"/>
        <v>6.8199616312811198E-2</v>
      </c>
      <c r="C5370" s="10">
        <f ca="1">NPV(B5370,Project_FCF!C18:J18)+Project_FCF!B18</f>
        <v>1042.4768544549429</v>
      </c>
      <c r="D5370" s="4"/>
      <c r="E5370" s="4"/>
    </row>
    <row r="5371" spans="1:5" x14ac:dyDescent="0.3">
      <c r="A5371" s="9">
        <v>5363</v>
      </c>
      <c r="B5371" s="10">
        <f t="shared" ca="1" si="83"/>
        <v>9.9207596342595086E-2</v>
      </c>
      <c r="C5371" s="10">
        <f ca="1">NPV(B5371,Project_FCF!C18:J18)+Project_FCF!B18</f>
        <v>788.35194102314131</v>
      </c>
      <c r="D5371" s="4"/>
      <c r="E5371" s="4"/>
    </row>
    <row r="5372" spans="1:5" x14ac:dyDescent="0.3">
      <c r="A5372" s="9">
        <v>5364</v>
      </c>
      <c r="B5372" s="10">
        <f t="shared" ca="1" si="83"/>
        <v>7.1043719613270467E-2</v>
      </c>
      <c r="C5372" s="10">
        <f ca="1">NPV(B5372,Project_FCF!C18:J18)+Project_FCF!B18</f>
        <v>1016.4727925796203</v>
      </c>
      <c r="D5372" s="4"/>
      <c r="E5372" s="4"/>
    </row>
    <row r="5373" spans="1:5" x14ac:dyDescent="0.3">
      <c r="A5373" s="9">
        <v>5365</v>
      </c>
      <c r="B5373" s="10">
        <f t="shared" ca="1" si="83"/>
        <v>9.2562261565409365E-2</v>
      </c>
      <c r="C5373" s="10">
        <f ca="1">NPV(B5373,Project_FCF!C18:J18)+Project_FCF!B18</f>
        <v>837.70747770037406</v>
      </c>
      <c r="D5373" s="4"/>
      <c r="E5373" s="4"/>
    </row>
    <row r="5374" spans="1:5" x14ac:dyDescent="0.3">
      <c r="A5374" s="9">
        <v>5366</v>
      </c>
      <c r="B5374" s="10">
        <f t="shared" ca="1" si="83"/>
        <v>8.0186375160989046E-2</v>
      </c>
      <c r="C5374" s="10">
        <f ca="1">NPV(B5374,Project_FCF!C18:J18)+Project_FCF!B18</f>
        <v>936.7784743888285</v>
      </c>
      <c r="D5374" s="4"/>
      <c r="E5374" s="4"/>
    </row>
    <row r="5375" spans="1:5" x14ac:dyDescent="0.3">
      <c r="A5375" s="9">
        <v>5367</v>
      </c>
      <c r="B5375" s="10">
        <f t="shared" ca="1" si="83"/>
        <v>8.8848248206779001E-2</v>
      </c>
      <c r="C5375" s="10">
        <f ca="1">NPV(B5375,Project_FCF!C18:J18)+Project_FCF!B18</f>
        <v>866.4307905725243</v>
      </c>
      <c r="D5375" s="4"/>
      <c r="E5375" s="4"/>
    </row>
    <row r="5376" spans="1:5" x14ac:dyDescent="0.3">
      <c r="A5376" s="9">
        <v>5368</v>
      </c>
      <c r="B5376" s="10">
        <f t="shared" ca="1" si="83"/>
        <v>9.2596116505302015E-2</v>
      </c>
      <c r="C5376" s="10">
        <f ca="1">NPV(B5376,Project_FCF!C18:J18)+Project_FCF!B18</f>
        <v>837.44948159529008</v>
      </c>
      <c r="D5376" s="4"/>
      <c r="E5376" s="4"/>
    </row>
    <row r="5377" spans="1:5" x14ac:dyDescent="0.3">
      <c r="A5377" s="9">
        <v>5369</v>
      </c>
      <c r="B5377" s="10">
        <f t="shared" ca="1" si="83"/>
        <v>7.4364470685033823E-2</v>
      </c>
      <c r="C5377" s="10">
        <f ca="1">NPV(B5377,Project_FCF!C18:J18)+Project_FCF!B18</f>
        <v>986.85170321401006</v>
      </c>
      <c r="D5377" s="4"/>
      <c r="E5377" s="4"/>
    </row>
    <row r="5378" spans="1:5" x14ac:dyDescent="0.3">
      <c r="A5378" s="9">
        <v>5370</v>
      </c>
      <c r="B5378" s="10">
        <f t="shared" ca="1" si="83"/>
        <v>8.5425553198137244E-2</v>
      </c>
      <c r="C5378" s="10">
        <f ca="1">NPV(B5378,Project_FCF!C18:J18)+Project_FCF!B18</f>
        <v>893.65442860810208</v>
      </c>
      <c r="D5378" s="4"/>
      <c r="E5378" s="4"/>
    </row>
    <row r="5379" spans="1:5" x14ac:dyDescent="0.3">
      <c r="A5379" s="9">
        <v>5371</v>
      </c>
      <c r="B5379" s="10">
        <f t="shared" ca="1" si="83"/>
        <v>9.171200032351462E-2</v>
      </c>
      <c r="C5379" s="10">
        <f ca="1">NPV(B5379,Project_FCF!C18:J18)+Project_FCF!B18</f>
        <v>844.20950581339321</v>
      </c>
      <c r="D5379" s="4"/>
      <c r="E5379" s="4"/>
    </row>
    <row r="5380" spans="1:5" x14ac:dyDescent="0.3">
      <c r="A5380" s="9">
        <v>5372</v>
      </c>
      <c r="B5380" s="10">
        <f t="shared" ca="1" si="83"/>
        <v>7.7877419375123255E-2</v>
      </c>
      <c r="C5380" s="10">
        <f ca="1">NPV(B5380,Project_FCF!C18:J18)+Project_FCF!B18</f>
        <v>956.36007293860257</v>
      </c>
      <c r="D5380" s="4"/>
      <c r="E5380" s="4"/>
    </row>
    <row r="5381" spans="1:5" x14ac:dyDescent="0.3">
      <c r="A5381" s="9">
        <v>5373</v>
      </c>
      <c r="B5381" s="10">
        <f t="shared" ca="1" si="83"/>
        <v>9.8487657528073244E-2</v>
      </c>
      <c r="C5381" s="10">
        <f ca="1">NPV(B5381,Project_FCF!C18:J18)+Project_FCF!B18</f>
        <v>793.57628104571586</v>
      </c>
      <c r="D5381" s="4"/>
      <c r="E5381" s="4"/>
    </row>
    <row r="5382" spans="1:5" x14ac:dyDescent="0.3">
      <c r="A5382" s="9">
        <v>5374</v>
      </c>
      <c r="B5382" s="10">
        <f t="shared" ca="1" si="83"/>
        <v>7.6409759943975572E-2</v>
      </c>
      <c r="C5382" s="10">
        <f ca="1">NPV(B5382,Project_FCF!C18:J18)+Project_FCF!B18</f>
        <v>968.99522554017517</v>
      </c>
      <c r="D5382" s="4"/>
      <c r="E5382" s="4"/>
    </row>
    <row r="5383" spans="1:5" x14ac:dyDescent="0.3">
      <c r="A5383" s="9">
        <v>5375</v>
      </c>
      <c r="B5383" s="10">
        <f t="shared" ca="1" si="83"/>
        <v>9.804850649302288E-2</v>
      </c>
      <c r="C5383" s="10">
        <f ca="1">NPV(B5383,Project_FCF!C18:J18)+Project_FCF!B18</f>
        <v>796.77744937952366</v>
      </c>
      <c r="D5383" s="4"/>
      <c r="E5383" s="4"/>
    </row>
    <row r="5384" spans="1:5" x14ac:dyDescent="0.3">
      <c r="A5384" s="9">
        <v>5376</v>
      </c>
      <c r="B5384" s="10">
        <f t="shared" ca="1" si="83"/>
        <v>7.6999778983272565E-2</v>
      </c>
      <c r="C5384" s="10">
        <f ca="1">NPV(B5384,Project_FCF!C18:J18)+Project_FCF!B18</f>
        <v>963.89795666036389</v>
      </c>
      <c r="D5384" s="4"/>
      <c r="E5384" s="4"/>
    </row>
    <row r="5385" spans="1:5" x14ac:dyDescent="0.3">
      <c r="A5385" s="9">
        <v>5377</v>
      </c>
      <c r="B5385" s="10">
        <f t="shared" ref="B5385:B5448" ca="1" si="84">$B$4+RAND()*($B$5-$B$4)</f>
        <v>9.9039506377747943E-2</v>
      </c>
      <c r="C5385" s="10">
        <f ca="1">NPV(B5385,Project_FCF!C18:J18)+Project_FCF!B18</f>
        <v>789.56909265411105</v>
      </c>
      <c r="D5385" s="4"/>
      <c r="E5385" s="4"/>
    </row>
    <row r="5386" spans="1:5" x14ac:dyDescent="0.3">
      <c r="A5386" s="9">
        <v>5378</v>
      </c>
      <c r="B5386" s="10">
        <f t="shared" ca="1" si="84"/>
        <v>9.0151742841341795E-2</v>
      </c>
      <c r="C5386" s="10">
        <f ca="1">NPV(B5386,Project_FCF!C18:J18)+Project_FCF!B18</f>
        <v>856.25432809438189</v>
      </c>
      <c r="D5386" s="4"/>
      <c r="E5386" s="4"/>
    </row>
    <row r="5387" spans="1:5" x14ac:dyDescent="0.3">
      <c r="A5387" s="9">
        <v>5379</v>
      </c>
      <c r="B5387" s="10">
        <f t="shared" ca="1" si="84"/>
        <v>0.1022982824053343</v>
      </c>
      <c r="C5387" s="10">
        <f ca="1">NPV(B5387,Project_FCF!C18:J18)+Project_FCF!B18</f>
        <v>766.25309123526358</v>
      </c>
      <c r="D5387" s="4"/>
      <c r="E5387" s="4"/>
    </row>
    <row r="5388" spans="1:5" x14ac:dyDescent="0.3">
      <c r="A5388" s="9">
        <v>5380</v>
      </c>
      <c r="B5388" s="10">
        <f t="shared" ca="1" si="84"/>
        <v>0.10337376477894285</v>
      </c>
      <c r="C5388" s="10">
        <f ca="1">NPV(B5388,Project_FCF!C18:J18)+Project_FCF!B18</f>
        <v>758.68667351915906</v>
      </c>
      <c r="D5388" s="4"/>
      <c r="E5388" s="4"/>
    </row>
    <row r="5389" spans="1:5" x14ac:dyDescent="0.3">
      <c r="A5389" s="9">
        <v>5381</v>
      </c>
      <c r="B5389" s="10">
        <f t="shared" ca="1" si="84"/>
        <v>9.6115871590066432E-2</v>
      </c>
      <c r="C5389" s="10">
        <f ca="1">NPV(B5389,Project_FCF!C18:J18)+Project_FCF!B18</f>
        <v>810.99620584829017</v>
      </c>
      <c r="D5389" s="4"/>
      <c r="E5389" s="4"/>
    </row>
    <row r="5390" spans="1:5" x14ac:dyDescent="0.3">
      <c r="A5390" s="9">
        <v>5382</v>
      </c>
      <c r="B5390" s="10">
        <f t="shared" ca="1" si="84"/>
        <v>7.2523451330249483E-2</v>
      </c>
      <c r="C5390" s="10">
        <f ca="1">NPV(B5390,Project_FCF!C18:J18)+Project_FCF!B18</f>
        <v>1003.1762707494183</v>
      </c>
      <c r="D5390" s="4"/>
      <c r="E5390" s="4"/>
    </row>
    <row r="5391" spans="1:5" x14ac:dyDescent="0.3">
      <c r="A5391" s="9">
        <v>5383</v>
      </c>
      <c r="B5391" s="10">
        <f t="shared" ca="1" si="84"/>
        <v>8.6011223352459323E-2</v>
      </c>
      <c r="C5391" s="10">
        <f ca="1">NPV(B5391,Project_FCF!C18:J18)+Project_FCF!B18</f>
        <v>888.94383925674379</v>
      </c>
      <c r="D5391" s="4"/>
      <c r="E5391" s="4"/>
    </row>
    <row r="5392" spans="1:5" x14ac:dyDescent="0.3">
      <c r="A5392" s="9">
        <v>5384</v>
      </c>
      <c r="B5392" s="10">
        <f t="shared" ca="1" si="84"/>
        <v>7.4344213188235975E-2</v>
      </c>
      <c r="C5392" s="10">
        <f ca="1">NPV(B5392,Project_FCF!C18:J18)+Project_FCF!B18</f>
        <v>987.03002466632415</v>
      </c>
      <c r="D5392" s="4"/>
      <c r="E5392" s="4"/>
    </row>
    <row r="5393" spans="1:5" x14ac:dyDescent="0.3">
      <c r="A5393" s="9">
        <v>5385</v>
      </c>
      <c r="B5393" s="10">
        <f t="shared" ca="1" si="84"/>
        <v>6.6929649101302377E-2</v>
      </c>
      <c r="C5393" s="10">
        <f ca="1">NPV(B5393,Project_FCF!C18:J18)+Project_FCF!B18</f>
        <v>1054.2817936837414</v>
      </c>
      <c r="D5393" s="4"/>
      <c r="E5393" s="4"/>
    </row>
    <row r="5394" spans="1:5" x14ac:dyDescent="0.3">
      <c r="A5394" s="9">
        <v>5386</v>
      </c>
      <c r="B5394" s="10">
        <f t="shared" ca="1" si="84"/>
        <v>8.128570393633136E-2</v>
      </c>
      <c r="C5394" s="10">
        <f ca="1">NPV(B5394,Project_FCF!C18:J18)+Project_FCF!B18</f>
        <v>927.5808426530532</v>
      </c>
      <c r="D5394" s="4"/>
      <c r="E5394" s="4"/>
    </row>
    <row r="5395" spans="1:5" x14ac:dyDescent="0.3">
      <c r="A5395" s="9">
        <v>5387</v>
      </c>
      <c r="B5395" s="10">
        <f t="shared" ca="1" si="84"/>
        <v>8.8082669891157886E-2</v>
      </c>
      <c r="C5395" s="10">
        <f ca="1">NPV(B5395,Project_FCF!C18:J18)+Project_FCF!B18</f>
        <v>872.45651841511221</v>
      </c>
      <c r="D5395" s="4"/>
      <c r="E5395" s="4"/>
    </row>
    <row r="5396" spans="1:5" x14ac:dyDescent="0.3">
      <c r="A5396" s="9">
        <v>5388</v>
      </c>
      <c r="B5396" s="10">
        <f t="shared" ca="1" si="84"/>
        <v>8.5222899229548649E-2</v>
      </c>
      <c r="C5396" s="10">
        <f ca="1">NPV(B5396,Project_FCF!C18:J18)+Project_FCF!B18</f>
        <v>895.2894683137622</v>
      </c>
      <c r="D5396" s="4"/>
      <c r="E5396" s="4"/>
    </row>
    <row r="5397" spans="1:5" x14ac:dyDescent="0.3">
      <c r="A5397" s="9">
        <v>5389</v>
      </c>
      <c r="B5397" s="10">
        <f t="shared" ca="1" si="84"/>
        <v>8.3231846419004052E-2</v>
      </c>
      <c r="C5397" s="10">
        <f ca="1">NPV(B5397,Project_FCF!C18:J18)+Project_FCF!B18</f>
        <v>911.4935616797768</v>
      </c>
      <c r="D5397" s="4"/>
      <c r="E5397" s="4"/>
    </row>
    <row r="5398" spans="1:5" x14ac:dyDescent="0.3">
      <c r="A5398" s="9">
        <v>5390</v>
      </c>
      <c r="B5398" s="10">
        <f t="shared" ca="1" si="84"/>
        <v>7.4233151658894367E-2</v>
      </c>
      <c r="C5398" s="10">
        <f ca="1">NPV(B5398,Project_FCF!C18:J18)+Project_FCF!B18</f>
        <v>988.00818345002222</v>
      </c>
      <c r="D5398" s="4"/>
      <c r="E5398" s="4"/>
    </row>
    <row r="5399" spans="1:5" x14ac:dyDescent="0.3">
      <c r="A5399" s="9">
        <v>5391</v>
      </c>
      <c r="B5399" s="10">
        <f t="shared" ca="1" si="84"/>
        <v>8.2084783254976715E-2</v>
      </c>
      <c r="C5399" s="10">
        <f ca="1">NPV(B5399,Project_FCF!C18:J18)+Project_FCF!B18</f>
        <v>920.94543135857452</v>
      </c>
      <c r="D5399" s="4"/>
      <c r="E5399" s="4"/>
    </row>
    <row r="5400" spans="1:5" x14ac:dyDescent="0.3">
      <c r="A5400" s="9">
        <v>5392</v>
      </c>
      <c r="B5400" s="10">
        <f t="shared" ca="1" si="84"/>
        <v>8.2960643013784308E-2</v>
      </c>
      <c r="C5400" s="10">
        <f ca="1">NPV(B5400,Project_FCF!C18:J18)+Project_FCF!B18</f>
        <v>913.7205509280393</v>
      </c>
      <c r="D5400" s="4"/>
      <c r="E5400" s="4"/>
    </row>
    <row r="5401" spans="1:5" x14ac:dyDescent="0.3">
      <c r="A5401" s="9">
        <v>5393</v>
      </c>
      <c r="B5401" s="10">
        <f t="shared" ca="1" si="84"/>
        <v>8.1301406597874895E-2</v>
      </c>
      <c r="C5401" s="10">
        <f ca="1">NPV(B5401,Project_FCF!C18:J18)+Project_FCF!B18</f>
        <v>927.45004521378291</v>
      </c>
      <c r="D5401" s="4"/>
      <c r="E5401" s="4"/>
    </row>
    <row r="5402" spans="1:5" x14ac:dyDescent="0.3">
      <c r="A5402" s="9">
        <v>5394</v>
      </c>
      <c r="B5402" s="10">
        <f t="shared" ca="1" si="84"/>
        <v>9.0281539743959333E-2</v>
      </c>
      <c r="C5402" s="10">
        <f ca="1">NPV(B5402,Project_FCF!C18:J18)+Project_FCF!B18</f>
        <v>855.24669083404638</v>
      </c>
      <c r="D5402" s="4"/>
      <c r="E5402" s="4"/>
    </row>
    <row r="5403" spans="1:5" x14ac:dyDescent="0.3">
      <c r="A5403" s="9">
        <v>5395</v>
      </c>
      <c r="B5403" s="10">
        <f t="shared" ca="1" si="84"/>
        <v>6.653863121554969E-2</v>
      </c>
      <c r="C5403" s="10">
        <f ca="1">NPV(B5403,Project_FCF!C18:J18)+Project_FCF!B18</f>
        <v>1057.9408654155995</v>
      </c>
      <c r="D5403" s="4"/>
      <c r="E5403" s="4"/>
    </row>
    <row r="5404" spans="1:5" x14ac:dyDescent="0.3">
      <c r="A5404" s="9">
        <v>5396</v>
      </c>
      <c r="B5404" s="10">
        <f t="shared" ca="1" si="84"/>
        <v>7.6863682826229004E-2</v>
      </c>
      <c r="C5404" s="10">
        <f ca="1">NPV(B5404,Project_FCF!C18:J18)+Project_FCF!B18</f>
        <v>965.07158716178219</v>
      </c>
      <c r="D5404" s="4"/>
      <c r="E5404" s="4"/>
    </row>
    <row r="5405" spans="1:5" x14ac:dyDescent="0.3">
      <c r="A5405" s="9">
        <v>5397</v>
      </c>
      <c r="B5405" s="10">
        <f t="shared" ca="1" si="84"/>
        <v>7.4164522702963975E-2</v>
      </c>
      <c r="C5405" s="10">
        <f ca="1">NPV(B5405,Project_FCF!C18:J18)+Project_FCF!B18</f>
        <v>988.61305747950473</v>
      </c>
      <c r="D5405" s="4"/>
      <c r="E5405" s="4"/>
    </row>
    <row r="5406" spans="1:5" x14ac:dyDescent="0.3">
      <c r="A5406" s="9">
        <v>5398</v>
      </c>
      <c r="B5406" s="10">
        <f t="shared" ca="1" si="84"/>
        <v>8.9715279036767959E-2</v>
      </c>
      <c r="C5406" s="10">
        <f ca="1">NPV(B5406,Project_FCF!C18:J18)+Project_FCF!B18</f>
        <v>859.65022346713749</v>
      </c>
      <c r="D5406" s="4"/>
      <c r="E5406" s="4"/>
    </row>
    <row r="5407" spans="1:5" x14ac:dyDescent="0.3">
      <c r="A5407" s="9">
        <v>5399</v>
      </c>
      <c r="B5407" s="10">
        <f t="shared" ca="1" si="84"/>
        <v>8.3567923149953899E-2</v>
      </c>
      <c r="C5407" s="10">
        <f ca="1">NPV(B5407,Project_FCF!C18:J18)+Project_FCF!B18</f>
        <v>908.74048795203998</v>
      </c>
      <c r="D5407" s="4"/>
      <c r="E5407" s="4"/>
    </row>
    <row r="5408" spans="1:5" x14ac:dyDescent="0.3">
      <c r="A5408" s="9">
        <v>5400</v>
      </c>
      <c r="B5408" s="10">
        <f t="shared" ca="1" si="84"/>
        <v>9.9158045419096869E-2</v>
      </c>
      <c r="C5408" s="10">
        <f ca="1">NPV(B5408,Project_FCF!C18:J18)+Project_FCF!B18</f>
        <v>788.7105774402678</v>
      </c>
      <c r="D5408" s="4"/>
      <c r="E5408" s="4"/>
    </row>
    <row r="5409" spans="1:5" x14ac:dyDescent="0.3">
      <c r="A5409" s="9">
        <v>5401</v>
      </c>
      <c r="B5409" s="10">
        <f t="shared" ca="1" si="84"/>
        <v>7.6282534912602271E-2</v>
      </c>
      <c r="C5409" s="10">
        <f ca="1">NPV(B5409,Project_FCF!C18:J18)+Project_FCF!B18</f>
        <v>970.09748874732259</v>
      </c>
      <c r="D5409" s="4"/>
      <c r="E5409" s="4"/>
    </row>
    <row r="5410" spans="1:5" x14ac:dyDescent="0.3">
      <c r="A5410" s="9">
        <v>5402</v>
      </c>
      <c r="B5410" s="10">
        <f t="shared" ca="1" si="84"/>
        <v>7.8535527469097671E-2</v>
      </c>
      <c r="C5410" s="10">
        <f ca="1">NPV(B5410,Project_FCF!C18:J18)+Project_FCF!B18</f>
        <v>950.74216322121219</v>
      </c>
      <c r="D5410" s="4"/>
      <c r="E5410" s="4"/>
    </row>
    <row r="5411" spans="1:5" x14ac:dyDescent="0.3">
      <c r="A5411" s="9">
        <v>5403</v>
      </c>
      <c r="B5411" s="10">
        <f t="shared" ca="1" si="84"/>
        <v>6.5860934016421499E-2</v>
      </c>
      <c r="C5411" s="10">
        <f ca="1">NPV(B5411,Project_FCF!C18:J18)+Project_FCF!B18</f>
        <v>1064.310007482258</v>
      </c>
      <c r="D5411" s="4"/>
      <c r="E5411" s="4"/>
    </row>
    <row r="5412" spans="1:5" x14ac:dyDescent="0.3">
      <c r="A5412" s="9">
        <v>5404</v>
      </c>
      <c r="B5412" s="10">
        <f t="shared" ca="1" si="84"/>
        <v>7.9934179903959401E-2</v>
      </c>
      <c r="C5412" s="10">
        <f ca="1">NPV(B5412,Project_FCF!C18:J18)+Project_FCF!B18</f>
        <v>938.89983112676146</v>
      </c>
      <c r="D5412" s="4"/>
      <c r="E5412" s="4"/>
    </row>
    <row r="5413" spans="1:5" x14ac:dyDescent="0.3">
      <c r="A5413" s="9">
        <v>5405</v>
      </c>
      <c r="B5413" s="10">
        <f t="shared" ca="1" si="84"/>
        <v>9.5682263927205538E-2</v>
      </c>
      <c r="C5413" s="10">
        <f ca="1">NPV(B5413,Project_FCF!C18:J18)+Project_FCF!B18</f>
        <v>814.21588663620014</v>
      </c>
      <c r="D5413" s="4"/>
      <c r="E5413" s="4"/>
    </row>
    <row r="5414" spans="1:5" x14ac:dyDescent="0.3">
      <c r="A5414" s="9">
        <v>5406</v>
      </c>
      <c r="B5414" s="10">
        <f t="shared" ca="1" si="84"/>
        <v>8.7580776048064538E-2</v>
      </c>
      <c r="C5414" s="10">
        <f ca="1">NPV(B5414,Project_FCF!C18:J18)+Project_FCF!B18</f>
        <v>876.42658666354168</v>
      </c>
      <c r="D5414" s="4"/>
      <c r="E5414" s="4"/>
    </row>
    <row r="5415" spans="1:5" x14ac:dyDescent="0.3">
      <c r="A5415" s="9">
        <v>5407</v>
      </c>
      <c r="B5415" s="10">
        <f t="shared" ca="1" si="84"/>
        <v>0.10312529337511052</v>
      </c>
      <c r="C5415" s="10">
        <f ca="1">NPV(B5415,Project_FCF!C18:J18)+Project_FCF!B18</f>
        <v>760.42916622746816</v>
      </c>
      <c r="D5415" s="4"/>
      <c r="E5415" s="4"/>
    </row>
    <row r="5416" spans="1:5" x14ac:dyDescent="0.3">
      <c r="A5416" s="9">
        <v>5408</v>
      </c>
      <c r="B5416" s="10">
        <f t="shared" ca="1" si="84"/>
        <v>0.10249733457580645</v>
      </c>
      <c r="C5416" s="10">
        <f ca="1">NPV(B5416,Project_FCF!C18:J18)+Project_FCF!B18</f>
        <v>764.84792578615065</v>
      </c>
      <c r="D5416" s="4"/>
      <c r="E5416" s="4"/>
    </row>
    <row r="5417" spans="1:5" x14ac:dyDescent="0.3">
      <c r="A5417" s="9">
        <v>5409</v>
      </c>
      <c r="B5417" s="10">
        <f t="shared" ca="1" si="84"/>
        <v>0.10129255641986486</v>
      </c>
      <c r="C5417" s="10">
        <f ca="1">NPV(B5417,Project_FCF!C18:J18)+Project_FCF!B18</f>
        <v>773.38605531028293</v>
      </c>
      <c r="D5417" s="4"/>
      <c r="E5417" s="4"/>
    </row>
    <row r="5418" spans="1:5" x14ac:dyDescent="0.3">
      <c r="A5418" s="9">
        <v>5410</v>
      </c>
      <c r="B5418" s="10">
        <f t="shared" ca="1" si="84"/>
        <v>0.10086944181531038</v>
      </c>
      <c r="C5418" s="10">
        <f ca="1">NPV(B5418,Project_FCF!C18:J18)+Project_FCF!B18</f>
        <v>776.40360863395699</v>
      </c>
      <c r="D5418" s="4"/>
      <c r="E5418" s="4"/>
    </row>
    <row r="5419" spans="1:5" x14ac:dyDescent="0.3">
      <c r="A5419" s="9">
        <v>5411</v>
      </c>
      <c r="B5419" s="10">
        <f t="shared" ca="1" si="84"/>
        <v>9.6403827671951908E-2</v>
      </c>
      <c r="C5419" s="10">
        <f ca="1">NPV(B5419,Project_FCF!C18:J18)+Project_FCF!B18</f>
        <v>808.86404929911964</v>
      </c>
      <c r="D5419" s="4"/>
      <c r="E5419" s="4"/>
    </row>
    <row r="5420" spans="1:5" x14ac:dyDescent="0.3">
      <c r="A5420" s="9">
        <v>5412</v>
      </c>
      <c r="B5420" s="10">
        <f t="shared" ca="1" si="84"/>
        <v>6.44975741104062E-2</v>
      </c>
      <c r="C5420" s="10">
        <f ca="1">NPV(B5420,Project_FCF!C18:J18)+Project_FCF!B18</f>
        <v>1077.2291315865582</v>
      </c>
      <c r="D5420" s="4"/>
      <c r="E5420" s="4"/>
    </row>
    <row r="5421" spans="1:5" x14ac:dyDescent="0.3">
      <c r="A5421" s="9">
        <v>5413</v>
      </c>
      <c r="B5421" s="10">
        <f t="shared" ca="1" si="84"/>
        <v>8.6251149675053096E-2</v>
      </c>
      <c r="C5421" s="10">
        <f ca="1">NPV(B5421,Project_FCF!C18:J18)+Project_FCF!B18</f>
        <v>887.02037117734108</v>
      </c>
      <c r="D5421" s="4"/>
      <c r="E5421" s="4"/>
    </row>
    <row r="5422" spans="1:5" x14ac:dyDescent="0.3">
      <c r="A5422" s="9">
        <v>5414</v>
      </c>
      <c r="B5422" s="10">
        <f t="shared" ca="1" si="84"/>
        <v>9.6439829537340482E-2</v>
      </c>
      <c r="C5422" s="10">
        <f ca="1">NPV(B5422,Project_FCF!C18:J18)+Project_FCF!B18</f>
        <v>808.5978120315533</v>
      </c>
      <c r="D5422" s="4"/>
      <c r="E5422" s="4"/>
    </row>
    <row r="5423" spans="1:5" x14ac:dyDescent="0.3">
      <c r="A5423" s="9">
        <v>5415</v>
      </c>
      <c r="B5423" s="10">
        <f t="shared" ca="1" si="84"/>
        <v>6.7228910433145897E-2</v>
      </c>
      <c r="C5423" s="10">
        <f ca="1">NPV(B5423,Project_FCF!C18:J18)+Project_FCF!B18</f>
        <v>1051.4891390585524</v>
      </c>
      <c r="D5423" s="4"/>
      <c r="E5423" s="4"/>
    </row>
    <row r="5424" spans="1:5" x14ac:dyDescent="0.3">
      <c r="A5424" s="9">
        <v>5416</v>
      </c>
      <c r="B5424" s="10">
        <f t="shared" ca="1" si="84"/>
        <v>8.7183802958522807E-2</v>
      </c>
      <c r="C5424" s="10">
        <f ca="1">NPV(B5424,Project_FCF!C18:J18)+Project_FCF!B18</f>
        <v>879.57784854078227</v>
      </c>
      <c r="D5424" s="4"/>
      <c r="E5424" s="4"/>
    </row>
    <row r="5425" spans="1:5" x14ac:dyDescent="0.3">
      <c r="A5425" s="9">
        <v>5417</v>
      </c>
      <c r="B5425" s="10">
        <f t="shared" ca="1" si="84"/>
        <v>6.9690394372366266E-2</v>
      </c>
      <c r="C5425" s="10">
        <f ca="1">NPV(B5425,Project_FCF!C18:J18)+Project_FCF!B18</f>
        <v>1028.7723783115987</v>
      </c>
      <c r="D5425" s="4"/>
      <c r="E5425" s="4"/>
    </row>
    <row r="5426" spans="1:5" x14ac:dyDescent="0.3">
      <c r="A5426" s="9">
        <v>5418</v>
      </c>
      <c r="B5426" s="10">
        <f t="shared" ca="1" si="84"/>
        <v>8.6578957723697003E-2</v>
      </c>
      <c r="C5426" s="10">
        <f ca="1">NPV(B5426,Project_FCF!C18:J18)+Project_FCF!B18</f>
        <v>884.39824075779643</v>
      </c>
      <c r="D5426" s="4"/>
      <c r="E5426" s="4"/>
    </row>
    <row r="5427" spans="1:5" x14ac:dyDescent="0.3">
      <c r="A5427" s="9">
        <v>5419</v>
      </c>
      <c r="B5427" s="10">
        <f t="shared" ca="1" si="84"/>
        <v>8.8327371481214889E-2</v>
      </c>
      <c r="C5427" s="10">
        <f ca="1">NPV(B5427,Project_FCF!C18:J18)+Project_FCF!B18</f>
        <v>870.52656766904761</v>
      </c>
      <c r="D5427" s="4"/>
      <c r="E5427" s="4"/>
    </row>
    <row r="5428" spans="1:5" x14ac:dyDescent="0.3">
      <c r="A5428" s="9">
        <v>5420</v>
      </c>
      <c r="B5428" s="10">
        <f t="shared" ca="1" si="84"/>
        <v>9.5239788965453875E-2</v>
      </c>
      <c r="C5428" s="10">
        <f ca="1">NPV(B5428,Project_FCF!C18:J18)+Project_FCF!B18</f>
        <v>817.51266688740884</v>
      </c>
      <c r="D5428" s="4"/>
      <c r="E5428" s="4"/>
    </row>
    <row r="5429" spans="1:5" x14ac:dyDescent="0.3">
      <c r="A5429" s="9">
        <v>5421</v>
      </c>
      <c r="B5429" s="10">
        <f t="shared" ca="1" si="84"/>
        <v>9.8529899370531582E-2</v>
      </c>
      <c r="C5429" s="10">
        <f ca="1">NPV(B5429,Project_FCF!C18:J18)+Project_FCF!B18</f>
        <v>793.26893800191988</v>
      </c>
      <c r="D5429" s="4"/>
      <c r="E5429" s="4"/>
    </row>
    <row r="5430" spans="1:5" x14ac:dyDescent="0.3">
      <c r="A5430" s="9">
        <v>5422</v>
      </c>
      <c r="B5430" s="10">
        <f t="shared" ca="1" si="84"/>
        <v>0.10266628551573487</v>
      </c>
      <c r="C5430" s="10">
        <f ca="1">NPV(B5430,Project_FCF!C18:J18)+Project_FCF!B18</f>
        <v>763.65695321322823</v>
      </c>
      <c r="D5430" s="4"/>
      <c r="E5430" s="4"/>
    </row>
    <row r="5431" spans="1:5" x14ac:dyDescent="0.3">
      <c r="A5431" s="9">
        <v>5423</v>
      </c>
      <c r="B5431" s="10">
        <f t="shared" ca="1" si="84"/>
        <v>7.9298889365955735E-2</v>
      </c>
      <c r="C5431" s="10">
        <f ca="1">NPV(B5431,Project_FCF!C18:J18)+Project_FCF!B18</f>
        <v>944.2624936400241</v>
      </c>
      <c r="D5431" s="4"/>
      <c r="E5431" s="4"/>
    </row>
    <row r="5432" spans="1:5" x14ac:dyDescent="0.3">
      <c r="A5432" s="9">
        <v>5424</v>
      </c>
      <c r="B5432" s="10">
        <f t="shared" ca="1" si="84"/>
        <v>9.3799370998078543E-2</v>
      </c>
      <c r="C5432" s="10">
        <f ca="1">NPV(B5432,Project_FCF!C18:J18)+Project_FCF!B18</f>
        <v>828.32419486804565</v>
      </c>
      <c r="D5432" s="4"/>
      <c r="E5432" s="4"/>
    </row>
    <row r="5433" spans="1:5" x14ac:dyDescent="0.3">
      <c r="A5433" s="9">
        <v>5425</v>
      </c>
      <c r="B5433" s="10">
        <f t="shared" ca="1" si="84"/>
        <v>8.3195858037554776E-2</v>
      </c>
      <c r="C5433" s="10">
        <f ca="1">NPV(B5433,Project_FCF!C18:J18)+Project_FCF!B18</f>
        <v>911.7888055820174</v>
      </c>
      <c r="D5433" s="4"/>
      <c r="E5433" s="4"/>
    </row>
    <row r="5434" spans="1:5" x14ac:dyDescent="0.3">
      <c r="A5434" s="9">
        <v>5426</v>
      </c>
      <c r="B5434" s="10">
        <f t="shared" ca="1" si="84"/>
        <v>7.2514526104133281E-2</v>
      </c>
      <c r="C5434" s="10">
        <f ca="1">NPV(B5434,Project_FCF!C18:J18)+Project_FCF!B18</f>
        <v>1003.2559991473984</v>
      </c>
      <c r="D5434" s="4"/>
      <c r="E5434" s="4"/>
    </row>
    <row r="5435" spans="1:5" x14ac:dyDescent="0.3">
      <c r="A5435" s="9">
        <v>5427</v>
      </c>
      <c r="B5435" s="10">
        <f t="shared" ca="1" si="84"/>
        <v>9.9587613329587307E-2</v>
      </c>
      <c r="C5435" s="10">
        <f ca="1">NPV(B5435,Project_FCF!C18:J18)+Project_FCF!B18</f>
        <v>785.60606885372226</v>
      </c>
      <c r="D5435" s="4"/>
      <c r="E5435" s="4"/>
    </row>
    <row r="5436" spans="1:5" x14ac:dyDescent="0.3">
      <c r="A5436" s="9">
        <v>5428</v>
      </c>
      <c r="B5436" s="10">
        <f t="shared" ca="1" si="84"/>
        <v>6.6652855472894887E-2</v>
      </c>
      <c r="C5436" s="10">
        <f ca="1">NPV(B5436,Project_FCF!C18:J18)+Project_FCF!B18</f>
        <v>1056.8707840179804</v>
      </c>
      <c r="D5436" s="4"/>
      <c r="E5436" s="4"/>
    </row>
    <row r="5437" spans="1:5" x14ac:dyDescent="0.3">
      <c r="A5437" s="9">
        <v>5429</v>
      </c>
      <c r="B5437" s="10">
        <f t="shared" ca="1" si="84"/>
        <v>7.5952694119937811E-2</v>
      </c>
      <c r="C5437" s="10">
        <f ca="1">NPV(B5437,Project_FCF!C18:J18)+Project_FCF!B18</f>
        <v>972.96040560935944</v>
      </c>
      <c r="D5437" s="4"/>
      <c r="E5437" s="4"/>
    </row>
    <row r="5438" spans="1:5" x14ac:dyDescent="0.3">
      <c r="A5438" s="9">
        <v>5430</v>
      </c>
      <c r="B5438" s="10">
        <f t="shared" ca="1" si="84"/>
        <v>7.5780850768066788E-2</v>
      </c>
      <c r="C5438" s="10">
        <f ca="1">NPV(B5438,Project_FCF!C18:J18)+Project_FCF!B18</f>
        <v>974.45494030154441</v>
      </c>
      <c r="D5438" s="4"/>
      <c r="E5438" s="4"/>
    </row>
    <row r="5439" spans="1:5" x14ac:dyDescent="0.3">
      <c r="A5439" s="9">
        <v>5431</v>
      </c>
      <c r="B5439" s="10">
        <f t="shared" ca="1" si="84"/>
        <v>6.6127169558927501E-2</v>
      </c>
      <c r="C5439" s="10">
        <f ca="1">NPV(B5439,Project_FCF!C18:J18)+Project_FCF!B18</f>
        <v>1061.8037180735541</v>
      </c>
      <c r="D5439" s="4"/>
      <c r="E5439" s="4"/>
    </row>
    <row r="5440" spans="1:5" x14ac:dyDescent="0.3">
      <c r="A5440" s="9">
        <v>5432</v>
      </c>
      <c r="B5440" s="10">
        <f t="shared" ca="1" si="84"/>
        <v>8.2109540683260041E-2</v>
      </c>
      <c r="C5440" s="10">
        <f ca="1">NPV(B5440,Project_FCF!C18:J18)+Project_FCF!B18</f>
        <v>920.74052059292421</v>
      </c>
      <c r="D5440" s="4"/>
      <c r="E5440" s="4"/>
    </row>
    <row r="5441" spans="1:5" x14ac:dyDescent="0.3">
      <c r="A5441" s="9">
        <v>5433</v>
      </c>
      <c r="B5441" s="10">
        <f t="shared" ca="1" si="84"/>
        <v>9.007219005238043E-2</v>
      </c>
      <c r="C5441" s="10">
        <f ca="1">NPV(B5441,Project_FCF!C18:J18)+Project_FCF!B18</f>
        <v>856.87241902471828</v>
      </c>
      <c r="D5441" s="4"/>
      <c r="E5441" s="4"/>
    </row>
    <row r="5442" spans="1:5" x14ac:dyDescent="0.3">
      <c r="A5442" s="9">
        <v>5434</v>
      </c>
      <c r="B5442" s="10">
        <f t="shared" ca="1" si="84"/>
        <v>0.10280304364749415</v>
      </c>
      <c r="C5442" s="10">
        <f ca="1">NPV(B5442,Project_FCF!C18:J18)+Project_FCF!B18</f>
        <v>762.69405617286088</v>
      </c>
      <c r="D5442" s="4"/>
      <c r="E5442" s="4"/>
    </row>
    <row r="5443" spans="1:5" x14ac:dyDescent="0.3">
      <c r="A5443" s="9">
        <v>5435</v>
      </c>
      <c r="B5443" s="10">
        <f t="shared" ca="1" si="84"/>
        <v>0.10064127848054281</v>
      </c>
      <c r="C5443" s="10">
        <f ca="1">NPV(B5443,Project_FCF!C18:J18)+Project_FCF!B18</f>
        <v>778.03493426129717</v>
      </c>
      <c r="D5443" s="4"/>
      <c r="E5443" s="4"/>
    </row>
    <row r="5444" spans="1:5" x14ac:dyDescent="0.3">
      <c r="A5444" s="9">
        <v>5436</v>
      </c>
      <c r="B5444" s="10">
        <f t="shared" ca="1" si="84"/>
        <v>8.4899310995172297E-2</v>
      </c>
      <c r="C5444" s="10">
        <f ca="1">NPV(B5444,Project_FCF!C18:J18)+Project_FCF!B18</f>
        <v>897.9056533317198</v>
      </c>
      <c r="D5444" s="4"/>
      <c r="E5444" s="4"/>
    </row>
    <row r="5445" spans="1:5" x14ac:dyDescent="0.3">
      <c r="A5445" s="9">
        <v>5437</v>
      </c>
      <c r="B5445" s="10">
        <f t="shared" ca="1" si="84"/>
        <v>7.1929235148283643E-2</v>
      </c>
      <c r="C5445" s="10">
        <f ca="1">NPV(B5445,Project_FCF!C18:J18)+Project_FCF!B18</f>
        <v>1008.4968213513378</v>
      </c>
      <c r="D5445" s="4"/>
      <c r="E5445" s="4"/>
    </row>
    <row r="5446" spans="1:5" x14ac:dyDescent="0.3">
      <c r="A5446" s="9">
        <v>5438</v>
      </c>
      <c r="B5446" s="10">
        <f t="shared" ca="1" si="84"/>
        <v>7.541678994591236E-2</v>
      </c>
      <c r="C5446" s="10">
        <f ca="1">NPV(B5446,Project_FCF!C18:J18)+Project_FCF!B18</f>
        <v>977.6279827431224</v>
      </c>
      <c r="D5446" s="4"/>
      <c r="E5446" s="4"/>
    </row>
    <row r="5447" spans="1:5" x14ac:dyDescent="0.3">
      <c r="A5447" s="9">
        <v>5439</v>
      </c>
      <c r="B5447" s="10">
        <f t="shared" ca="1" si="84"/>
        <v>8.6753628804269595E-2</v>
      </c>
      <c r="C5447" s="10">
        <f ca="1">NPV(B5447,Project_FCF!C18:J18)+Project_FCF!B18</f>
        <v>883.00381583315925</v>
      </c>
      <c r="D5447" s="4"/>
      <c r="E5447" s="4"/>
    </row>
    <row r="5448" spans="1:5" x14ac:dyDescent="0.3">
      <c r="A5448" s="9">
        <v>5440</v>
      </c>
      <c r="B5448" s="10">
        <f t="shared" ca="1" si="84"/>
        <v>9.5398876032837809E-2</v>
      </c>
      <c r="C5448" s="10">
        <f ca="1">NPV(B5448,Project_FCF!C18:J18)+Project_FCF!B18</f>
        <v>816.3260333892531</v>
      </c>
      <c r="D5448" s="4"/>
      <c r="E5448" s="4"/>
    </row>
    <row r="5449" spans="1:5" x14ac:dyDescent="0.3">
      <c r="A5449" s="9">
        <v>5441</v>
      </c>
      <c r="B5449" s="10">
        <f t="shared" ref="B5449:B5512" ca="1" si="85">$B$4+RAND()*($B$5-$B$4)</f>
        <v>6.4826744097072536E-2</v>
      </c>
      <c r="C5449" s="10">
        <f ca="1">NPV(B5449,Project_FCF!C18:J18)+Project_FCF!B18</f>
        <v>1074.0969018339033</v>
      </c>
      <c r="D5449" s="4"/>
      <c r="E5449" s="4"/>
    </row>
    <row r="5450" spans="1:5" x14ac:dyDescent="0.3">
      <c r="A5450" s="9">
        <v>5442</v>
      </c>
      <c r="B5450" s="10">
        <f t="shared" ca="1" si="85"/>
        <v>8.9670617549841986E-2</v>
      </c>
      <c r="C5450" s="10">
        <f ca="1">NPV(B5450,Project_FCF!C18:J18)+Project_FCF!B18</f>
        <v>859.99836831068114</v>
      </c>
      <c r="D5450" s="4"/>
      <c r="E5450" s="4"/>
    </row>
    <row r="5451" spans="1:5" x14ac:dyDescent="0.3">
      <c r="A5451" s="9">
        <v>5443</v>
      </c>
      <c r="B5451" s="10">
        <f t="shared" ca="1" si="85"/>
        <v>7.2795825350687252E-2</v>
      </c>
      <c r="C5451" s="10">
        <f ca="1">NPV(B5451,Project_FCF!C18:J18)+Project_FCF!B18</f>
        <v>1000.7459112338436</v>
      </c>
      <c r="D5451" s="4"/>
      <c r="E5451" s="4"/>
    </row>
    <row r="5452" spans="1:5" x14ac:dyDescent="0.3">
      <c r="A5452" s="9">
        <v>5444</v>
      </c>
      <c r="B5452" s="10">
        <f t="shared" ca="1" si="85"/>
        <v>9.804370648585925E-2</v>
      </c>
      <c r="C5452" s="10">
        <f ca="1">NPV(B5452,Project_FCF!C18:J18)+Project_FCF!B18</f>
        <v>796.81249929404089</v>
      </c>
      <c r="D5452" s="4"/>
      <c r="E5452" s="4"/>
    </row>
    <row r="5453" spans="1:5" x14ac:dyDescent="0.3">
      <c r="A5453" s="9">
        <v>5445</v>
      </c>
      <c r="B5453" s="10">
        <f t="shared" ca="1" si="85"/>
        <v>9.6469885417876183E-2</v>
      </c>
      <c r="C5453" s="10">
        <f ca="1">NPV(B5453,Project_FCF!C18:J18)+Project_FCF!B18</f>
        <v>808.37560316293229</v>
      </c>
      <c r="D5453" s="4"/>
      <c r="E5453" s="4"/>
    </row>
    <row r="5454" spans="1:5" x14ac:dyDescent="0.3">
      <c r="A5454" s="9">
        <v>5446</v>
      </c>
      <c r="B5454" s="10">
        <f t="shared" ca="1" si="85"/>
        <v>7.5491860586477999E-2</v>
      </c>
      <c r="C5454" s="10">
        <f ca="1">NPV(B5454,Project_FCF!C18:J18)+Project_FCF!B18</f>
        <v>976.97293534964706</v>
      </c>
      <c r="D5454" s="4"/>
      <c r="E5454" s="4"/>
    </row>
    <row r="5455" spans="1:5" x14ac:dyDescent="0.3">
      <c r="A5455" s="9">
        <v>5447</v>
      </c>
      <c r="B5455" s="10">
        <f t="shared" ca="1" si="85"/>
        <v>8.016473438093065E-2</v>
      </c>
      <c r="C5455" s="10">
        <f ca="1">NPV(B5455,Project_FCF!C18:J18)+Project_FCF!B18</f>
        <v>936.96034061481896</v>
      </c>
      <c r="D5455" s="4"/>
      <c r="E5455" s="4"/>
    </row>
    <row r="5456" spans="1:5" x14ac:dyDescent="0.3">
      <c r="A5456" s="9">
        <v>5448</v>
      </c>
      <c r="B5456" s="10">
        <f t="shared" ca="1" si="85"/>
        <v>7.410280799091605E-2</v>
      </c>
      <c r="C5456" s="10">
        <f ca="1">NPV(B5456,Project_FCF!C18:J18)+Project_FCF!B18</f>
        <v>989.1572749486138</v>
      </c>
      <c r="D5456" s="4"/>
      <c r="E5456" s="4"/>
    </row>
    <row r="5457" spans="1:5" x14ac:dyDescent="0.3">
      <c r="A5457" s="9">
        <v>5449</v>
      </c>
      <c r="B5457" s="10">
        <f t="shared" ca="1" si="85"/>
        <v>9.3270041797224049E-2</v>
      </c>
      <c r="C5457" s="10">
        <f ca="1">NPV(B5457,Project_FCF!C18:J18)+Project_FCF!B18</f>
        <v>832.32795343859516</v>
      </c>
      <c r="D5457" s="4"/>
      <c r="E5457" s="4"/>
    </row>
    <row r="5458" spans="1:5" x14ac:dyDescent="0.3">
      <c r="A5458" s="9">
        <v>5450</v>
      </c>
      <c r="B5458" s="10">
        <f t="shared" ca="1" si="85"/>
        <v>8.1198825109246475E-2</v>
      </c>
      <c r="C5458" s="10">
        <f ca="1">NPV(B5458,Project_FCF!C18:J18)+Project_FCF!B18</f>
        <v>928.30480603525257</v>
      </c>
      <c r="D5458" s="4"/>
      <c r="E5458" s="4"/>
    </row>
    <row r="5459" spans="1:5" x14ac:dyDescent="0.3">
      <c r="A5459" s="9">
        <v>5451</v>
      </c>
      <c r="B5459" s="10">
        <f t="shared" ca="1" si="85"/>
        <v>6.658853843616136E-2</v>
      </c>
      <c r="C5459" s="10">
        <f ca="1">NPV(B5459,Project_FCF!C18:J18)+Project_FCF!B18</f>
        <v>1057.4732009208283</v>
      </c>
      <c r="D5459" s="4"/>
      <c r="E5459" s="4"/>
    </row>
    <row r="5460" spans="1:5" x14ac:dyDescent="0.3">
      <c r="A5460" s="9">
        <v>5452</v>
      </c>
      <c r="B5460" s="10">
        <f t="shared" ca="1" si="85"/>
        <v>9.6841812210425843E-2</v>
      </c>
      <c r="C5460" s="10">
        <f ca="1">NPV(B5460,Project_FCF!C18:J18)+Project_FCF!B18</f>
        <v>805.63018411854091</v>
      </c>
      <c r="D5460" s="4"/>
      <c r="E5460" s="4"/>
    </row>
    <row r="5461" spans="1:5" x14ac:dyDescent="0.3">
      <c r="A5461" s="9">
        <v>5453</v>
      </c>
      <c r="B5461" s="10">
        <f t="shared" ca="1" si="85"/>
        <v>7.2333651306259322E-2</v>
      </c>
      <c r="C5461" s="10">
        <f ca="1">NPV(B5461,Project_FCF!C18:J18)+Project_FCF!B18</f>
        <v>1004.8729690668172</v>
      </c>
      <c r="D5461" s="4"/>
      <c r="E5461" s="4"/>
    </row>
    <row r="5462" spans="1:5" x14ac:dyDescent="0.3">
      <c r="A5462" s="9">
        <v>5454</v>
      </c>
      <c r="B5462" s="10">
        <f t="shared" ca="1" si="85"/>
        <v>9.9938457091060612E-2</v>
      </c>
      <c r="C5462" s="10">
        <f ca="1">NPV(B5462,Project_FCF!C18:J18)+Project_FCF!B18</f>
        <v>783.0781853364017</v>
      </c>
      <c r="D5462" s="4"/>
      <c r="E5462" s="4"/>
    </row>
    <row r="5463" spans="1:5" x14ac:dyDescent="0.3">
      <c r="A5463" s="9">
        <v>5455</v>
      </c>
      <c r="B5463" s="10">
        <f t="shared" ca="1" si="85"/>
        <v>7.2756117503343709E-2</v>
      </c>
      <c r="C5463" s="10">
        <f ca="1">NPV(B5463,Project_FCF!C18:J18)+Project_FCF!B18</f>
        <v>1001.0998895278931</v>
      </c>
      <c r="D5463" s="4"/>
      <c r="E5463" s="4"/>
    </row>
    <row r="5464" spans="1:5" x14ac:dyDescent="0.3">
      <c r="A5464" s="9">
        <v>5456</v>
      </c>
      <c r="B5464" s="10">
        <f t="shared" ca="1" si="85"/>
        <v>7.0347610101046912E-2</v>
      </c>
      <c r="C5464" s="10">
        <f ca="1">NPV(B5464,Project_FCF!C18:J18)+Project_FCF!B18</f>
        <v>1022.7826403466925</v>
      </c>
      <c r="D5464" s="4"/>
      <c r="E5464" s="4"/>
    </row>
    <row r="5465" spans="1:5" x14ac:dyDescent="0.3">
      <c r="A5465" s="9">
        <v>5457</v>
      </c>
      <c r="B5465" s="10">
        <f t="shared" ca="1" si="85"/>
        <v>9.2651553899984779E-2</v>
      </c>
      <c r="C5465" s="10">
        <f ca="1">NPV(B5465,Project_FCF!C18:J18)+Project_FCF!B18</f>
        <v>837.02716124034237</v>
      </c>
      <c r="D5465" s="4"/>
      <c r="E5465" s="4"/>
    </row>
    <row r="5466" spans="1:5" x14ac:dyDescent="0.3">
      <c r="A5466" s="9">
        <v>5458</v>
      </c>
      <c r="B5466" s="10">
        <f t="shared" ca="1" si="85"/>
        <v>7.181625402786232E-2</v>
      </c>
      <c r="C5466" s="10">
        <f ca="1">NPV(B5466,Project_FCF!C18:J18)+Project_FCF!B18</f>
        <v>1009.5113113961413</v>
      </c>
      <c r="D5466" s="4"/>
      <c r="E5466" s="4"/>
    </row>
    <row r="5467" spans="1:5" x14ac:dyDescent="0.3">
      <c r="A5467" s="9">
        <v>5459</v>
      </c>
      <c r="B5467" s="10">
        <f t="shared" ca="1" si="85"/>
        <v>7.8883021190272851E-2</v>
      </c>
      <c r="C5467" s="10">
        <f ca="1">NPV(B5467,Project_FCF!C18:J18)+Project_FCF!B18</f>
        <v>947.78764356073634</v>
      </c>
      <c r="D5467" s="4"/>
      <c r="E5467" s="4"/>
    </row>
    <row r="5468" spans="1:5" x14ac:dyDescent="0.3">
      <c r="A5468" s="9">
        <v>5460</v>
      </c>
      <c r="B5468" s="10">
        <f t="shared" ca="1" si="85"/>
        <v>6.7325767077295373E-2</v>
      </c>
      <c r="C5468" s="10">
        <f ca="1">NPV(B5468,Project_FCF!C18:J18)+Project_FCF!B18</f>
        <v>1050.5867305897764</v>
      </c>
      <c r="D5468" s="4"/>
      <c r="E5468" s="4"/>
    </row>
    <row r="5469" spans="1:5" x14ac:dyDescent="0.3">
      <c r="A5469" s="9">
        <v>5461</v>
      </c>
      <c r="B5469" s="10">
        <f t="shared" ca="1" si="85"/>
        <v>9.4939571485222723E-2</v>
      </c>
      <c r="C5469" s="10">
        <f ca="1">NPV(B5469,Project_FCF!C18:J18)+Project_FCF!B18</f>
        <v>819.75601643972027</v>
      </c>
      <c r="D5469" s="4"/>
      <c r="E5469" s="4"/>
    </row>
    <row r="5470" spans="1:5" x14ac:dyDescent="0.3">
      <c r="A5470" s="9">
        <v>5462</v>
      </c>
      <c r="B5470" s="10">
        <f t="shared" ca="1" si="85"/>
        <v>8.9422677298667763E-2</v>
      </c>
      <c r="C5470" s="10">
        <f ca="1">NPV(B5470,Project_FCF!C18:J18)+Project_FCF!B18</f>
        <v>861.93333406547299</v>
      </c>
      <c r="D5470" s="4"/>
      <c r="E5470" s="4"/>
    </row>
    <row r="5471" spans="1:5" x14ac:dyDescent="0.3">
      <c r="A5471" s="9">
        <v>5463</v>
      </c>
      <c r="B5471" s="10">
        <f t="shared" ca="1" si="85"/>
        <v>6.4518672272033825E-2</v>
      </c>
      <c r="C5471" s="10">
        <f ca="1">NPV(B5471,Project_FCF!C18:J18)+Project_FCF!B18</f>
        <v>1077.0281213522142</v>
      </c>
      <c r="D5471" s="4"/>
      <c r="E5471" s="4"/>
    </row>
    <row r="5472" spans="1:5" x14ac:dyDescent="0.3">
      <c r="A5472" s="9">
        <v>5464</v>
      </c>
      <c r="B5472" s="10">
        <f t="shared" ca="1" si="85"/>
        <v>7.0858439205712734E-2</v>
      </c>
      <c r="C5472" s="10">
        <f ca="1">NPV(B5472,Project_FCF!C18:J18)+Project_FCF!B18</f>
        <v>1018.1488171213014</v>
      </c>
      <c r="D5472" s="4"/>
      <c r="E5472" s="4"/>
    </row>
    <row r="5473" spans="1:5" x14ac:dyDescent="0.3">
      <c r="A5473" s="9">
        <v>5465</v>
      </c>
      <c r="B5473" s="10">
        <f t="shared" ca="1" si="85"/>
        <v>7.5871527741622619E-2</v>
      </c>
      <c r="C5473" s="10">
        <f ca="1">NPV(B5473,Project_FCF!C18:J18)+Project_FCF!B18</f>
        <v>973.66606043952379</v>
      </c>
      <c r="D5473" s="4"/>
      <c r="E5473" s="4"/>
    </row>
    <row r="5474" spans="1:5" x14ac:dyDescent="0.3">
      <c r="A5474" s="9">
        <v>5466</v>
      </c>
      <c r="B5474" s="10">
        <f t="shared" ca="1" si="85"/>
        <v>6.8247699352932428E-2</v>
      </c>
      <c r="C5474" s="10">
        <f ca="1">NPV(B5474,Project_FCF!C18:J18)+Project_FCF!B18</f>
        <v>1042.03226651358</v>
      </c>
      <c r="D5474" s="4"/>
      <c r="E5474" s="4"/>
    </row>
    <row r="5475" spans="1:5" x14ac:dyDescent="0.3">
      <c r="A5475" s="9">
        <v>5467</v>
      </c>
      <c r="B5475" s="10">
        <f t="shared" ca="1" si="85"/>
        <v>7.1674301998410864E-2</v>
      </c>
      <c r="C5475" s="10">
        <f ca="1">NPV(B5475,Project_FCF!C18:J18)+Project_FCF!B18</f>
        <v>1010.7872422295022</v>
      </c>
      <c r="D5475" s="4"/>
      <c r="E5475" s="4"/>
    </row>
    <row r="5476" spans="1:5" x14ac:dyDescent="0.3">
      <c r="A5476" s="9">
        <v>5468</v>
      </c>
      <c r="B5476" s="10">
        <f t="shared" ca="1" si="85"/>
        <v>8.6730522845485866E-2</v>
      </c>
      <c r="C5476" s="10">
        <f ca="1">NPV(B5476,Project_FCF!C18:J18)+Project_FCF!B18</f>
        <v>883.18816390145594</v>
      </c>
      <c r="D5476" s="4"/>
      <c r="E5476" s="4"/>
    </row>
    <row r="5477" spans="1:5" x14ac:dyDescent="0.3">
      <c r="A5477" s="9">
        <v>5469</v>
      </c>
      <c r="B5477" s="10">
        <f t="shared" ca="1" si="85"/>
        <v>0.1026139197948228</v>
      </c>
      <c r="C5477" s="10">
        <f ca="1">NPV(B5477,Project_FCF!C18:J18)+Project_FCF!B18</f>
        <v>764.02592401901211</v>
      </c>
      <c r="D5477" s="4"/>
      <c r="E5477" s="4"/>
    </row>
    <row r="5478" spans="1:5" x14ac:dyDescent="0.3">
      <c r="A5478" s="9">
        <v>5470</v>
      </c>
      <c r="B5478" s="10">
        <f t="shared" ca="1" si="85"/>
        <v>8.8949171198957289E-2</v>
      </c>
      <c r="C5478" s="10">
        <f ca="1">NPV(B5478,Project_FCF!C18:J18)+Project_FCF!B18</f>
        <v>865.63914841290512</v>
      </c>
      <c r="D5478" s="4"/>
      <c r="E5478" s="4"/>
    </row>
    <row r="5479" spans="1:5" x14ac:dyDescent="0.3">
      <c r="A5479" s="9">
        <v>5471</v>
      </c>
      <c r="B5479" s="10">
        <f t="shared" ca="1" si="85"/>
        <v>8.2509780331684004E-2</v>
      </c>
      <c r="C5479" s="10">
        <f ca="1">NPV(B5479,Project_FCF!C18:J18)+Project_FCF!B18</f>
        <v>917.43341275301373</v>
      </c>
      <c r="D5479" s="4"/>
      <c r="E5479" s="4"/>
    </row>
    <row r="5480" spans="1:5" x14ac:dyDescent="0.3">
      <c r="A5480" s="9">
        <v>5472</v>
      </c>
      <c r="B5480" s="10">
        <f t="shared" ca="1" si="85"/>
        <v>6.7429257567360096E-2</v>
      </c>
      <c r="C5480" s="10">
        <f ca="1">NPV(B5480,Project_FCF!C18:J18)+Project_FCF!B18</f>
        <v>1049.6232923965345</v>
      </c>
      <c r="D5480" s="4"/>
      <c r="E5480" s="4"/>
    </row>
    <row r="5481" spans="1:5" x14ac:dyDescent="0.3">
      <c r="A5481" s="9">
        <v>5473</v>
      </c>
      <c r="B5481" s="10">
        <f t="shared" ca="1" si="85"/>
        <v>9.3661512451875248E-2</v>
      </c>
      <c r="C5481" s="10">
        <f ca="1">NPV(B5481,Project_FCF!C18:J18)+Project_FCF!B18</f>
        <v>829.36533735929561</v>
      </c>
      <c r="D5481" s="4"/>
      <c r="E5481" s="4"/>
    </row>
    <row r="5482" spans="1:5" x14ac:dyDescent="0.3">
      <c r="A5482" s="9">
        <v>5474</v>
      </c>
      <c r="B5482" s="10">
        <f t="shared" ca="1" si="85"/>
        <v>9.4582466585302435E-2</v>
      </c>
      <c r="C5482" s="10">
        <f ca="1">NPV(B5482,Project_FCF!C18:J18)+Project_FCF!B18</f>
        <v>822.43131495790954</v>
      </c>
      <c r="D5482" s="4"/>
      <c r="E5482" s="4"/>
    </row>
    <row r="5483" spans="1:5" x14ac:dyDescent="0.3">
      <c r="A5483" s="9">
        <v>5475</v>
      </c>
      <c r="B5483" s="10">
        <f t="shared" ca="1" si="85"/>
        <v>8.2692084681487102E-2</v>
      </c>
      <c r="C5483" s="10">
        <f ca="1">NPV(B5483,Project_FCF!C18:J18)+Project_FCF!B18</f>
        <v>915.93053682700133</v>
      </c>
      <c r="D5483" s="4"/>
      <c r="E5483" s="4"/>
    </row>
    <row r="5484" spans="1:5" x14ac:dyDescent="0.3">
      <c r="A5484" s="9">
        <v>5476</v>
      </c>
      <c r="B5484" s="10">
        <f t="shared" ca="1" si="85"/>
        <v>9.1920767661117106E-2</v>
      </c>
      <c r="C5484" s="10">
        <f ca="1">NPV(B5484,Project_FCF!C18:J18)+Project_FCF!B18</f>
        <v>842.60902602582951</v>
      </c>
      <c r="D5484" s="4"/>
      <c r="E5484" s="4"/>
    </row>
    <row r="5485" spans="1:5" x14ac:dyDescent="0.3">
      <c r="A5485" s="9">
        <v>5477</v>
      </c>
      <c r="B5485" s="10">
        <f t="shared" ca="1" si="85"/>
        <v>7.758899276670711E-2</v>
      </c>
      <c r="C5485" s="10">
        <f ca="1">NPV(B5485,Project_FCF!C18:J18)+Project_FCF!B18</f>
        <v>958.83150350882738</v>
      </c>
      <c r="D5485" s="4"/>
      <c r="E5485" s="4"/>
    </row>
    <row r="5486" spans="1:5" x14ac:dyDescent="0.3">
      <c r="A5486" s="9">
        <v>5478</v>
      </c>
      <c r="B5486" s="10">
        <f t="shared" ca="1" si="85"/>
        <v>0.10021382992684366</v>
      </c>
      <c r="C5486" s="10">
        <f ca="1">NPV(B5486,Project_FCF!C18:J18)+Project_FCF!B18</f>
        <v>781.09890446837267</v>
      </c>
      <c r="D5486" s="4"/>
      <c r="E5486" s="4"/>
    </row>
    <row r="5487" spans="1:5" x14ac:dyDescent="0.3">
      <c r="A5487" s="9">
        <v>5479</v>
      </c>
      <c r="B5487" s="10">
        <f t="shared" ca="1" si="85"/>
        <v>8.9852172194237051E-2</v>
      </c>
      <c r="C5487" s="10">
        <f ca="1">NPV(B5487,Project_FCF!C18:J18)+Project_FCF!B18</f>
        <v>858.58387602228049</v>
      </c>
      <c r="D5487" s="4"/>
      <c r="E5487" s="4"/>
    </row>
    <row r="5488" spans="1:5" x14ac:dyDescent="0.3">
      <c r="A5488" s="9">
        <v>5480</v>
      </c>
      <c r="B5488" s="10">
        <f t="shared" ca="1" si="85"/>
        <v>9.712860748586255E-2</v>
      </c>
      <c r="C5488" s="10">
        <f ca="1">NPV(B5488,Project_FCF!C18:J18)+Project_FCF!B18</f>
        <v>803.51860384877136</v>
      </c>
      <c r="D5488" s="4"/>
      <c r="E5488" s="4"/>
    </row>
    <row r="5489" spans="1:5" x14ac:dyDescent="0.3">
      <c r="A5489" s="9">
        <v>5481</v>
      </c>
      <c r="B5489" s="10">
        <f t="shared" ca="1" si="85"/>
        <v>7.892645414565444E-2</v>
      </c>
      <c r="C5489" s="10">
        <f ca="1">NPV(B5489,Project_FCF!C18:J18)+Project_FCF!B18</f>
        <v>947.41893427611285</v>
      </c>
      <c r="D5489" s="4"/>
      <c r="E5489" s="4"/>
    </row>
    <row r="5490" spans="1:5" x14ac:dyDescent="0.3">
      <c r="A5490" s="9">
        <v>5482</v>
      </c>
      <c r="B5490" s="10">
        <f t="shared" ca="1" si="85"/>
        <v>7.0160629562107932E-2</v>
      </c>
      <c r="C5490" s="10">
        <f ca="1">NPV(B5490,Project_FCF!C18:J18)+Project_FCF!B18</f>
        <v>1024.4835295069417</v>
      </c>
      <c r="D5490" s="4"/>
      <c r="E5490" s="4"/>
    </row>
    <row r="5491" spans="1:5" x14ac:dyDescent="0.3">
      <c r="A5491" s="9">
        <v>5483</v>
      </c>
      <c r="B5491" s="10">
        <f t="shared" ca="1" si="85"/>
        <v>7.9806375138809449E-2</v>
      </c>
      <c r="C5491" s="10">
        <f ca="1">NPV(B5491,Project_FCF!C18:J18)+Project_FCF!B18</f>
        <v>939.97649256528848</v>
      </c>
      <c r="D5491" s="4"/>
      <c r="E5491" s="4"/>
    </row>
    <row r="5492" spans="1:5" x14ac:dyDescent="0.3">
      <c r="A5492" s="9">
        <v>5484</v>
      </c>
      <c r="B5492" s="10">
        <f t="shared" ca="1" si="85"/>
        <v>9.7450207810051898E-2</v>
      </c>
      <c r="C5492" s="10">
        <f ca="1">NPV(B5492,Project_FCF!C18:J18)+Project_FCF!B18</f>
        <v>801.15637384897855</v>
      </c>
      <c r="D5492" s="4"/>
      <c r="E5492" s="4"/>
    </row>
    <row r="5493" spans="1:5" x14ac:dyDescent="0.3">
      <c r="A5493" s="9">
        <v>5485</v>
      </c>
      <c r="B5493" s="10">
        <f t="shared" ca="1" si="85"/>
        <v>9.2058278695737752E-2</v>
      </c>
      <c r="C5493" s="10">
        <f ca="1">NPV(B5493,Project_FCF!C18:J18)+Project_FCF!B18</f>
        <v>841.55625086666646</v>
      </c>
      <c r="D5493" s="4"/>
      <c r="E5493" s="4"/>
    </row>
    <row r="5494" spans="1:5" x14ac:dyDescent="0.3">
      <c r="A5494" s="9">
        <v>5486</v>
      </c>
      <c r="B5494" s="10">
        <f t="shared" ca="1" si="85"/>
        <v>8.0246337908993173E-2</v>
      </c>
      <c r="C5494" s="10">
        <f ca="1">NPV(B5494,Project_FCF!C18:J18)+Project_FCF!B18</f>
        <v>936.27471869243186</v>
      </c>
      <c r="D5494" s="4"/>
      <c r="E5494" s="4"/>
    </row>
    <row r="5495" spans="1:5" x14ac:dyDescent="0.3">
      <c r="A5495" s="9">
        <v>5487</v>
      </c>
      <c r="B5495" s="10">
        <f t="shared" ca="1" si="85"/>
        <v>9.7300467849396319E-2</v>
      </c>
      <c r="C5495" s="10">
        <f ca="1">NPV(B5495,Project_FCF!C18:J18)+Project_FCF!B18</f>
        <v>802.25551240502455</v>
      </c>
      <c r="D5495" s="4"/>
      <c r="E5495" s="4"/>
    </row>
    <row r="5496" spans="1:5" x14ac:dyDescent="0.3">
      <c r="A5496" s="9">
        <v>5488</v>
      </c>
      <c r="B5496" s="10">
        <f t="shared" ca="1" si="85"/>
        <v>6.5336709759039199E-2</v>
      </c>
      <c r="C5496" s="10">
        <f ca="1">NPV(B5496,Project_FCF!C18:J18)+Project_FCF!B18</f>
        <v>1069.2607130825475</v>
      </c>
      <c r="D5496" s="4"/>
      <c r="E5496" s="4"/>
    </row>
    <row r="5497" spans="1:5" x14ac:dyDescent="0.3">
      <c r="A5497" s="9">
        <v>5489</v>
      </c>
      <c r="B5497" s="10">
        <f t="shared" ca="1" si="85"/>
        <v>7.0315358256519453E-2</v>
      </c>
      <c r="C5497" s="10">
        <f ca="1">NPV(B5497,Project_FCF!C18:J18)+Project_FCF!B18</f>
        <v>1023.0758406615307</v>
      </c>
      <c r="D5497" s="4"/>
      <c r="E5497" s="4"/>
    </row>
    <row r="5498" spans="1:5" x14ac:dyDescent="0.3">
      <c r="A5498" s="9">
        <v>5490</v>
      </c>
      <c r="B5498" s="10">
        <f t="shared" ca="1" si="85"/>
        <v>8.1126806977594709E-2</v>
      </c>
      <c r="C5498" s="10">
        <f ca="1">NPV(B5498,Project_FCF!C18:J18)+Project_FCF!B18</f>
        <v>928.90531317756972</v>
      </c>
      <c r="D5498" s="4"/>
      <c r="E5498" s="4"/>
    </row>
    <row r="5499" spans="1:5" x14ac:dyDescent="0.3">
      <c r="A5499" s="9">
        <v>5491</v>
      </c>
      <c r="B5499" s="10">
        <f t="shared" ca="1" si="85"/>
        <v>6.9311331729430117E-2</v>
      </c>
      <c r="C5499" s="10">
        <f ca="1">NPV(B5499,Project_FCF!C18:J18)+Project_FCF!B18</f>
        <v>1032.2414855621373</v>
      </c>
      <c r="D5499" s="4"/>
      <c r="E5499" s="4"/>
    </row>
    <row r="5500" spans="1:5" x14ac:dyDescent="0.3">
      <c r="A5500" s="9">
        <v>5492</v>
      </c>
      <c r="B5500" s="10">
        <f t="shared" ca="1" si="85"/>
        <v>9.4031556248925896E-2</v>
      </c>
      <c r="C5500" s="10">
        <f ca="1">NPV(B5500,Project_FCF!C18:J18)+Project_FCF!B18</f>
        <v>826.57320969877833</v>
      </c>
      <c r="D5500" s="4"/>
      <c r="E5500" s="4"/>
    </row>
    <row r="5501" spans="1:5" x14ac:dyDescent="0.3">
      <c r="A5501" s="9">
        <v>5493</v>
      </c>
      <c r="B5501" s="10">
        <f t="shared" ca="1" si="85"/>
        <v>0.10279741606814549</v>
      </c>
      <c r="C5501" s="10">
        <f ca="1">NPV(B5501,Project_FCF!C18:J18)+Project_FCF!B18</f>
        <v>762.73365913384396</v>
      </c>
      <c r="D5501" s="4"/>
      <c r="E5501" s="4"/>
    </row>
    <row r="5502" spans="1:5" x14ac:dyDescent="0.3">
      <c r="A5502" s="9">
        <v>5494</v>
      </c>
      <c r="B5502" s="10">
        <f t="shared" ca="1" si="85"/>
        <v>6.770362849125347E-2</v>
      </c>
      <c r="C5502" s="10">
        <f ca="1">NPV(B5502,Project_FCF!C18:J18)+Project_FCF!B18</f>
        <v>1047.072935525355</v>
      </c>
      <c r="D5502" s="4"/>
      <c r="E5502" s="4"/>
    </row>
    <row r="5503" spans="1:5" x14ac:dyDescent="0.3">
      <c r="A5503" s="9">
        <v>5495</v>
      </c>
      <c r="B5503" s="10">
        <f t="shared" ca="1" si="85"/>
        <v>8.2742005502495136E-2</v>
      </c>
      <c r="C5503" s="10">
        <f ca="1">NPV(B5503,Project_FCF!C18:J18)+Project_FCF!B18</f>
        <v>915.51937912276048</v>
      </c>
      <c r="D5503" s="4"/>
      <c r="E5503" s="4"/>
    </row>
    <row r="5504" spans="1:5" x14ac:dyDescent="0.3">
      <c r="A5504" s="9">
        <v>5496</v>
      </c>
      <c r="B5504" s="10">
        <f t="shared" ca="1" si="85"/>
        <v>9.99284252864166E-2</v>
      </c>
      <c r="C5504" s="10">
        <f ca="1">NPV(B5504,Project_FCF!C18:J18)+Project_FCF!B18</f>
        <v>783.15037033550789</v>
      </c>
      <c r="D5504" s="4"/>
      <c r="E5504" s="4"/>
    </row>
    <row r="5505" spans="1:5" x14ac:dyDescent="0.3">
      <c r="A5505" s="9">
        <v>5497</v>
      </c>
      <c r="B5505" s="10">
        <f t="shared" ca="1" si="85"/>
        <v>8.7568935230735861E-2</v>
      </c>
      <c r="C5505" s="10">
        <f ca="1">NPV(B5505,Project_FCF!C18:J18)+Project_FCF!B18</f>
        <v>876.52043921349696</v>
      </c>
      <c r="D5505" s="4"/>
      <c r="E5505" s="4"/>
    </row>
    <row r="5506" spans="1:5" x14ac:dyDescent="0.3">
      <c r="A5506" s="9">
        <v>5498</v>
      </c>
      <c r="B5506" s="10">
        <f t="shared" ca="1" si="85"/>
        <v>8.8266422665647423E-2</v>
      </c>
      <c r="C5506" s="10">
        <f ca="1">NPV(B5506,Project_FCF!C18:J18)+Project_FCF!B18</f>
        <v>871.00692072407605</v>
      </c>
      <c r="D5506" s="4"/>
      <c r="E5506" s="4"/>
    </row>
    <row r="5507" spans="1:5" x14ac:dyDescent="0.3">
      <c r="A5507" s="9">
        <v>5499</v>
      </c>
      <c r="B5507" s="10">
        <f t="shared" ca="1" si="85"/>
        <v>8.2892498005124243E-2</v>
      </c>
      <c r="C5507" s="10">
        <f ca="1">NPV(B5507,Project_FCF!C18:J18)+Project_FCF!B18</f>
        <v>914.28087628691014</v>
      </c>
      <c r="D5507" s="4"/>
      <c r="E5507" s="4"/>
    </row>
    <row r="5508" spans="1:5" x14ac:dyDescent="0.3">
      <c r="A5508" s="9">
        <v>5500</v>
      </c>
      <c r="B5508" s="10">
        <f t="shared" ca="1" si="85"/>
        <v>9.463483905359521E-2</v>
      </c>
      <c r="C5508" s="10">
        <f ca="1">NPV(B5508,Project_FCF!C18:J18)+Project_FCF!B18</f>
        <v>822.0384922689525</v>
      </c>
      <c r="D5508" s="4"/>
      <c r="E5508" s="4"/>
    </row>
    <row r="5509" spans="1:5" x14ac:dyDescent="0.3">
      <c r="A5509" s="9">
        <v>5501</v>
      </c>
      <c r="B5509" s="10">
        <f t="shared" ca="1" si="85"/>
        <v>0.10311758753702452</v>
      </c>
      <c r="C5509" s="10">
        <f ca="1">NPV(B5509,Project_FCF!C18:J18)+Project_FCF!B18</f>
        <v>760.48325974277077</v>
      </c>
      <c r="D5509" s="4"/>
      <c r="E5509" s="4"/>
    </row>
    <row r="5510" spans="1:5" x14ac:dyDescent="0.3">
      <c r="A5510" s="9">
        <v>5502</v>
      </c>
      <c r="B5510" s="10">
        <f t="shared" ca="1" si="85"/>
        <v>8.7828834369341496E-2</v>
      </c>
      <c r="C5510" s="10">
        <f ca="1">NPV(B5510,Project_FCF!C18:J18)+Project_FCF!B18</f>
        <v>874.46244072917239</v>
      </c>
      <c r="D5510" s="4"/>
      <c r="E5510" s="4"/>
    </row>
    <row r="5511" spans="1:5" x14ac:dyDescent="0.3">
      <c r="A5511" s="9">
        <v>5503</v>
      </c>
      <c r="B5511" s="10">
        <f t="shared" ca="1" si="85"/>
        <v>9.5426307418020634E-2</v>
      </c>
      <c r="C5511" s="10">
        <f ca="1">NPV(B5511,Project_FCF!C18:J18)+Project_FCF!B18</f>
        <v>816.12157116503249</v>
      </c>
      <c r="D5511" s="4"/>
      <c r="E5511" s="4"/>
    </row>
    <row r="5512" spans="1:5" x14ac:dyDescent="0.3">
      <c r="A5512" s="9">
        <v>5504</v>
      </c>
      <c r="B5512" s="10">
        <f t="shared" ca="1" si="85"/>
        <v>8.2738007719402207E-2</v>
      </c>
      <c r="C5512" s="10">
        <f ca="1">NPV(B5512,Project_FCF!C18:J18)+Project_FCF!B18</f>
        <v>915.55229966438969</v>
      </c>
      <c r="D5512" s="4"/>
      <c r="E5512" s="4"/>
    </row>
    <row r="5513" spans="1:5" x14ac:dyDescent="0.3">
      <c r="A5513" s="9">
        <v>5505</v>
      </c>
      <c r="B5513" s="10">
        <f t="shared" ref="B5513:B5576" ca="1" si="86">$B$4+RAND()*($B$5-$B$4)</f>
        <v>9.0173673037074464E-2</v>
      </c>
      <c r="C5513" s="10">
        <f ca="1">NPV(B5513,Project_FCF!C18:J18)+Project_FCF!B18</f>
        <v>856.0840078159481</v>
      </c>
      <c r="D5513" s="4"/>
      <c r="E5513" s="4"/>
    </row>
    <row r="5514" spans="1:5" x14ac:dyDescent="0.3">
      <c r="A5514" s="9">
        <v>5506</v>
      </c>
      <c r="B5514" s="10">
        <f t="shared" ca="1" si="86"/>
        <v>9.0026239958693285E-2</v>
      </c>
      <c r="C5514" s="10">
        <f ca="1">NPV(B5514,Project_FCF!C18:J18)+Project_FCF!B18</f>
        <v>857.22960750591847</v>
      </c>
      <c r="D5514" s="4"/>
      <c r="E5514" s="4"/>
    </row>
    <row r="5515" spans="1:5" x14ac:dyDescent="0.3">
      <c r="A5515" s="9">
        <v>5507</v>
      </c>
      <c r="B5515" s="10">
        <f t="shared" ca="1" si="86"/>
        <v>6.6897669100799723E-2</v>
      </c>
      <c r="C5515" s="10">
        <f ca="1">NPV(B5515,Project_FCF!C18:J18)+Project_FCF!B18</f>
        <v>1054.5806238230709</v>
      </c>
      <c r="D5515" s="4"/>
      <c r="E5515" s="4"/>
    </row>
    <row r="5516" spans="1:5" x14ac:dyDescent="0.3">
      <c r="A5516" s="9">
        <v>5508</v>
      </c>
      <c r="B5516" s="10">
        <f t="shared" ca="1" si="86"/>
        <v>9.2321329963686069E-2</v>
      </c>
      <c r="C5516" s="10">
        <f ca="1">NPV(B5516,Project_FCF!C18:J18)+Project_FCF!B18</f>
        <v>839.54550709237537</v>
      </c>
      <c r="D5516" s="4"/>
      <c r="E5516" s="4"/>
    </row>
    <row r="5517" spans="1:5" x14ac:dyDescent="0.3">
      <c r="A5517" s="9">
        <v>5509</v>
      </c>
      <c r="B5517" s="10">
        <f t="shared" ca="1" si="86"/>
        <v>9.7919356457930679E-2</v>
      </c>
      <c r="C5517" s="10">
        <f ca="1">NPV(B5517,Project_FCF!C18:J18)+Project_FCF!B18</f>
        <v>797.72096682355527</v>
      </c>
      <c r="D5517" s="4"/>
      <c r="E5517" s="4"/>
    </row>
    <row r="5518" spans="1:5" x14ac:dyDescent="0.3">
      <c r="A5518" s="9">
        <v>5510</v>
      </c>
      <c r="B5518" s="10">
        <f t="shared" ca="1" si="86"/>
        <v>9.5779393165930871E-2</v>
      </c>
      <c r="C5518" s="10">
        <f ca="1">NPV(B5518,Project_FCF!C18:J18)+Project_FCF!B18</f>
        <v>813.49372227321351</v>
      </c>
      <c r="D5518" s="4"/>
      <c r="E5518" s="4"/>
    </row>
    <row r="5519" spans="1:5" x14ac:dyDescent="0.3">
      <c r="A5519" s="9">
        <v>5511</v>
      </c>
      <c r="B5519" s="10">
        <f t="shared" ca="1" si="86"/>
        <v>6.5511605755389168E-2</v>
      </c>
      <c r="C5519" s="10">
        <f ca="1">NPV(B5519,Project_FCF!C18:J18)+Project_FCF!B18</f>
        <v>1067.606689923841</v>
      </c>
      <c r="D5519" s="4"/>
      <c r="E5519" s="4"/>
    </row>
    <row r="5520" spans="1:5" x14ac:dyDescent="0.3">
      <c r="A5520" s="9">
        <v>5512</v>
      </c>
      <c r="B5520" s="10">
        <f t="shared" ca="1" si="86"/>
        <v>9.2730233347042404E-2</v>
      </c>
      <c r="C5520" s="10">
        <f ca="1">NPV(B5520,Project_FCF!C18:J18)+Project_FCF!B18</f>
        <v>836.42809842826887</v>
      </c>
      <c r="D5520" s="4"/>
      <c r="E5520" s="4"/>
    </row>
    <row r="5521" spans="1:5" x14ac:dyDescent="0.3">
      <c r="A5521" s="9">
        <v>5513</v>
      </c>
      <c r="B5521" s="10">
        <f t="shared" ca="1" si="86"/>
        <v>7.1795794240838387E-2</v>
      </c>
      <c r="C5521" s="10">
        <f ca="1">NPV(B5521,Project_FCF!C18:J18)+Project_FCF!B18</f>
        <v>1009.6951239609739</v>
      </c>
      <c r="D5521" s="4"/>
      <c r="E5521" s="4"/>
    </row>
    <row r="5522" spans="1:5" x14ac:dyDescent="0.3">
      <c r="A5522" s="9">
        <v>5514</v>
      </c>
      <c r="B5522" s="10">
        <f t="shared" ca="1" si="86"/>
        <v>6.8723604276665462E-2</v>
      </c>
      <c r="C5522" s="10">
        <f ca="1">NPV(B5522,Project_FCF!C18:J18)+Project_FCF!B18</f>
        <v>1037.6411897568478</v>
      </c>
      <c r="D5522" s="4"/>
      <c r="E5522" s="4"/>
    </row>
    <row r="5523" spans="1:5" x14ac:dyDescent="0.3">
      <c r="A5523" s="9">
        <v>5515</v>
      </c>
      <c r="B5523" s="10">
        <f t="shared" ca="1" si="86"/>
        <v>9.9055912070629498E-2</v>
      </c>
      <c r="C5523" s="10">
        <f ca="1">NPV(B5523,Project_FCF!C18:J18)+Project_FCF!B18</f>
        <v>789.45022774007066</v>
      </c>
      <c r="D5523" s="4"/>
      <c r="E5523" s="4"/>
    </row>
    <row r="5524" spans="1:5" x14ac:dyDescent="0.3">
      <c r="A5524" s="9">
        <v>5516</v>
      </c>
      <c r="B5524" s="10">
        <f t="shared" ca="1" si="86"/>
        <v>6.4564095931994525E-2</v>
      </c>
      <c r="C5524" s="10">
        <f ca="1">NPV(B5524,Project_FCF!C18:J18)+Project_FCF!B18</f>
        <v>1076.595469066358</v>
      </c>
      <c r="D5524" s="4"/>
      <c r="E5524" s="4"/>
    </row>
    <row r="5525" spans="1:5" x14ac:dyDescent="0.3">
      <c r="A5525" s="9">
        <v>5517</v>
      </c>
      <c r="B5525" s="10">
        <f t="shared" ca="1" si="86"/>
        <v>6.9682057047167595E-2</v>
      </c>
      <c r="C5525" s="10">
        <f ca="1">NPV(B5525,Project_FCF!C18:J18)+Project_FCF!B18</f>
        <v>1028.8485663227905</v>
      </c>
      <c r="D5525" s="4"/>
      <c r="E5525" s="4"/>
    </row>
    <row r="5526" spans="1:5" x14ac:dyDescent="0.3">
      <c r="A5526" s="9">
        <v>5518</v>
      </c>
      <c r="B5526" s="10">
        <f t="shared" ca="1" si="86"/>
        <v>6.6616547474094512E-2</v>
      </c>
      <c r="C5526" s="10">
        <f ca="1">NPV(B5526,Project_FCF!C18:J18)+Project_FCF!B18</f>
        <v>1057.2108196399797</v>
      </c>
      <c r="D5526" s="4"/>
      <c r="E5526" s="4"/>
    </row>
    <row r="5527" spans="1:5" x14ac:dyDescent="0.3">
      <c r="A5527" s="9">
        <v>5519</v>
      </c>
      <c r="B5527" s="10">
        <f t="shared" ca="1" si="86"/>
        <v>9.8685121218010624E-2</v>
      </c>
      <c r="C5527" s="10">
        <f ca="1">NPV(B5527,Project_FCF!C18:J18)+Project_FCF!B18</f>
        <v>792.14044298148633</v>
      </c>
      <c r="D5527" s="4"/>
      <c r="E5527" s="4"/>
    </row>
    <row r="5528" spans="1:5" x14ac:dyDescent="0.3">
      <c r="A5528" s="9">
        <v>5520</v>
      </c>
      <c r="B5528" s="10">
        <f t="shared" ca="1" si="86"/>
        <v>0.1015563822558222</v>
      </c>
      <c r="C5528" s="10">
        <f ca="1">NPV(B5528,Project_FCF!C18:J18)+Project_FCF!B18</f>
        <v>771.50952149875729</v>
      </c>
      <c r="D5528" s="4"/>
      <c r="E5528" s="4"/>
    </row>
    <row r="5529" spans="1:5" x14ac:dyDescent="0.3">
      <c r="A5529" s="9">
        <v>5521</v>
      </c>
      <c r="B5529" s="10">
        <f t="shared" ca="1" si="86"/>
        <v>9.7120178244456734E-2</v>
      </c>
      <c r="C5529" s="10">
        <f ca="1">NPV(B5529,Project_FCF!C18:J18)+Project_FCF!B18</f>
        <v>803.58059828512751</v>
      </c>
      <c r="D5529" s="4"/>
      <c r="E5529" s="4"/>
    </row>
    <row r="5530" spans="1:5" x14ac:dyDescent="0.3">
      <c r="A5530" s="9">
        <v>5522</v>
      </c>
      <c r="B5530" s="10">
        <f t="shared" ca="1" si="86"/>
        <v>9.5264105379371605E-2</v>
      </c>
      <c r="C5530" s="10">
        <f ca="1">NPV(B5530,Project_FCF!C18:J18)+Project_FCF!B18</f>
        <v>817.33119480232835</v>
      </c>
      <c r="D5530" s="4"/>
      <c r="E5530" s="4"/>
    </row>
    <row r="5531" spans="1:5" x14ac:dyDescent="0.3">
      <c r="A5531" s="9">
        <v>5523</v>
      </c>
      <c r="B5531" s="10">
        <f t="shared" ca="1" si="86"/>
        <v>9.2639798501450391E-2</v>
      </c>
      <c r="C5531" s="10">
        <f ca="1">NPV(B5531,Project_FCF!C18:J18)+Project_FCF!B18</f>
        <v>837.11669818011637</v>
      </c>
      <c r="D5531" s="4"/>
      <c r="E5531" s="4"/>
    </row>
    <row r="5532" spans="1:5" x14ac:dyDescent="0.3">
      <c r="A5532" s="9">
        <v>5524</v>
      </c>
      <c r="B5532" s="10">
        <f t="shared" ca="1" si="86"/>
        <v>9.7280542379477974E-2</v>
      </c>
      <c r="C5532" s="10">
        <f ca="1">NPV(B5532,Project_FCF!C18:J18)+Project_FCF!B18</f>
        <v>802.40186837124543</v>
      </c>
      <c r="D5532" s="4"/>
      <c r="E5532" s="4"/>
    </row>
    <row r="5533" spans="1:5" x14ac:dyDescent="0.3">
      <c r="A5533" s="9">
        <v>5525</v>
      </c>
      <c r="B5533" s="10">
        <f t="shared" ca="1" si="86"/>
        <v>7.2922619575511674E-2</v>
      </c>
      <c r="C5533" s="10">
        <f ca="1">NPV(B5533,Project_FCF!C18:J18)+Project_FCF!B18</f>
        <v>999.61634845833032</v>
      </c>
      <c r="D5533" s="4"/>
      <c r="E5533" s="4"/>
    </row>
    <row r="5534" spans="1:5" x14ac:dyDescent="0.3">
      <c r="A5534" s="9">
        <v>5526</v>
      </c>
      <c r="B5534" s="10">
        <f t="shared" ca="1" si="86"/>
        <v>7.0439763832982963E-2</v>
      </c>
      <c r="C5534" s="10">
        <f ca="1">NPV(B5534,Project_FCF!C18:J18)+Project_FCF!B18</f>
        <v>1021.9452923335234</v>
      </c>
      <c r="D5534" s="4"/>
      <c r="E5534" s="4"/>
    </row>
    <row r="5535" spans="1:5" x14ac:dyDescent="0.3">
      <c r="A5535" s="9">
        <v>5527</v>
      </c>
      <c r="B5535" s="10">
        <f t="shared" ca="1" si="86"/>
        <v>9.4517103102339614E-2</v>
      </c>
      <c r="C5535" s="10">
        <f ca="1">NPV(B5535,Project_FCF!C18:J18)+Project_FCF!B18</f>
        <v>822.92180316732379</v>
      </c>
      <c r="D5535" s="4"/>
      <c r="E5535" s="4"/>
    </row>
    <row r="5536" spans="1:5" x14ac:dyDescent="0.3">
      <c r="A5536" s="9">
        <v>5528</v>
      </c>
      <c r="B5536" s="10">
        <f t="shared" ca="1" si="86"/>
        <v>0.10068990531209369</v>
      </c>
      <c r="C5536" s="10">
        <f ca="1">NPV(B5536,Project_FCF!C18:J18)+Project_FCF!B18</f>
        <v>777.68701900623546</v>
      </c>
      <c r="D5536" s="4"/>
      <c r="E5536" s="4"/>
    </row>
    <row r="5537" spans="1:5" x14ac:dyDescent="0.3">
      <c r="A5537" s="9">
        <v>5529</v>
      </c>
      <c r="B5537" s="10">
        <f t="shared" ca="1" si="86"/>
        <v>6.6625715243655861E-2</v>
      </c>
      <c r="C5537" s="10">
        <f ca="1">NPV(B5537,Project_FCF!C18:J18)+Project_FCF!B18</f>
        <v>1057.1249512570068</v>
      </c>
      <c r="D5537" s="4"/>
      <c r="E5537" s="4"/>
    </row>
    <row r="5538" spans="1:5" x14ac:dyDescent="0.3">
      <c r="A5538" s="9">
        <v>5530</v>
      </c>
      <c r="B5538" s="10">
        <f t="shared" ca="1" si="86"/>
        <v>8.301296395039745E-2</v>
      </c>
      <c r="C5538" s="10">
        <f ca="1">NPV(B5538,Project_FCF!C18:J18)+Project_FCF!B18</f>
        <v>913.29054480155696</v>
      </c>
      <c r="D5538" s="4"/>
      <c r="E5538" s="4"/>
    </row>
    <row r="5539" spans="1:5" x14ac:dyDescent="0.3">
      <c r="A5539" s="9">
        <v>5531</v>
      </c>
      <c r="B5539" s="10">
        <f t="shared" ca="1" si="86"/>
        <v>7.4289255400748766E-2</v>
      </c>
      <c r="C5539" s="10">
        <f ca="1">NPV(B5539,Project_FCF!C18:J18)+Project_FCF!B18</f>
        <v>987.51394913059812</v>
      </c>
      <c r="D5539" s="4"/>
      <c r="E5539" s="4"/>
    </row>
    <row r="5540" spans="1:5" x14ac:dyDescent="0.3">
      <c r="A5540" s="9">
        <v>5532</v>
      </c>
      <c r="B5540" s="10">
        <f t="shared" ca="1" si="86"/>
        <v>0.10167704934631894</v>
      </c>
      <c r="C5540" s="10">
        <f ca="1">NPV(B5540,Project_FCF!C18:J18)+Project_FCF!B18</f>
        <v>770.65252306355137</v>
      </c>
      <c r="D5540" s="4"/>
      <c r="E5540" s="4"/>
    </row>
    <row r="5541" spans="1:5" x14ac:dyDescent="0.3">
      <c r="A5541" s="9">
        <v>5533</v>
      </c>
      <c r="B5541" s="10">
        <f t="shared" ca="1" si="86"/>
        <v>9.5113275726997903E-2</v>
      </c>
      <c r="C5541" s="10">
        <f ca="1">NPV(B5541,Project_FCF!C18:J18)+Project_FCF!B18</f>
        <v>818.4573848191219</v>
      </c>
      <c r="D5541" s="4"/>
      <c r="E5541" s="4"/>
    </row>
    <row r="5542" spans="1:5" x14ac:dyDescent="0.3">
      <c r="A5542" s="9">
        <v>5534</v>
      </c>
      <c r="B5542" s="10">
        <f t="shared" ca="1" si="86"/>
        <v>9.0385220050719278E-2</v>
      </c>
      <c r="C5542" s="10">
        <f ca="1">NPV(B5542,Project_FCF!C18:J18)+Project_FCF!B18</f>
        <v>854.44253917170022</v>
      </c>
      <c r="D5542" s="4"/>
      <c r="E5542" s="4"/>
    </row>
    <row r="5543" spans="1:5" x14ac:dyDescent="0.3">
      <c r="A5543" s="9">
        <v>5535</v>
      </c>
      <c r="B5543" s="10">
        <f t="shared" ca="1" si="86"/>
        <v>7.1191056621132703E-2</v>
      </c>
      <c r="C5543" s="10">
        <f ca="1">NPV(B5543,Project_FCF!C18:J18)+Project_FCF!B18</f>
        <v>1015.1417760943164</v>
      </c>
      <c r="D5543" s="4"/>
      <c r="E5543" s="4"/>
    </row>
    <row r="5544" spans="1:5" x14ac:dyDescent="0.3">
      <c r="A5544" s="9">
        <v>5536</v>
      </c>
      <c r="B5544" s="10">
        <f t="shared" ca="1" si="86"/>
        <v>8.1375819135076605E-2</v>
      </c>
      <c r="C5544" s="10">
        <f ca="1">NPV(B5544,Project_FCF!C18:J18)+Project_FCF!B18</f>
        <v>926.83043738144011</v>
      </c>
      <c r="D5544" s="4"/>
      <c r="E5544" s="4"/>
    </row>
    <row r="5545" spans="1:5" x14ac:dyDescent="0.3">
      <c r="A5545" s="9">
        <v>5537</v>
      </c>
      <c r="B5545" s="10">
        <f t="shared" ca="1" si="86"/>
        <v>6.7143483926200564E-2</v>
      </c>
      <c r="C5545" s="10">
        <f ca="1">NPV(B5545,Project_FCF!C18:J18)+Project_FCF!B18</f>
        <v>1052.2856379354646</v>
      </c>
      <c r="D5545" s="4"/>
      <c r="E5545" s="4"/>
    </row>
    <row r="5546" spans="1:5" x14ac:dyDescent="0.3">
      <c r="A5546" s="9">
        <v>5538</v>
      </c>
      <c r="B5546" s="10">
        <f t="shared" ca="1" si="86"/>
        <v>8.4401996856497102E-2</v>
      </c>
      <c r="C5546" s="10">
        <f ca="1">NPV(B5546,Project_FCF!C18:J18)+Project_FCF!B18</f>
        <v>901.93945938016782</v>
      </c>
      <c r="D5546" s="4"/>
      <c r="E5546" s="4"/>
    </row>
    <row r="5547" spans="1:5" x14ac:dyDescent="0.3">
      <c r="A5547" s="9">
        <v>5539</v>
      </c>
      <c r="B5547" s="10">
        <f t="shared" ca="1" si="86"/>
        <v>9.5345003965785949E-2</v>
      </c>
      <c r="C5547" s="10">
        <f ca="1">NPV(B5547,Project_FCF!C18:J18)+Project_FCF!B18</f>
        <v>816.72770106195821</v>
      </c>
      <c r="D5547" s="4"/>
      <c r="E5547" s="4"/>
    </row>
    <row r="5548" spans="1:5" x14ac:dyDescent="0.3">
      <c r="A5548" s="9">
        <v>5540</v>
      </c>
      <c r="B5548" s="10">
        <f t="shared" ca="1" si="86"/>
        <v>7.2937419936787609E-2</v>
      </c>
      <c r="C5548" s="10">
        <f ca="1">NPV(B5548,Project_FCF!C18:J18)+Project_FCF!B18</f>
        <v>999.48457222176035</v>
      </c>
      <c r="D5548" s="4"/>
      <c r="E5548" s="4"/>
    </row>
    <row r="5549" spans="1:5" x14ac:dyDescent="0.3">
      <c r="A5549" s="9">
        <v>5541</v>
      </c>
      <c r="B5549" s="10">
        <f t="shared" ca="1" si="86"/>
        <v>7.9825180800506393E-2</v>
      </c>
      <c r="C5549" s="10">
        <f ca="1">NPV(B5549,Project_FCF!C18:J18)+Project_FCF!B18</f>
        <v>939.81800006209028</v>
      </c>
      <c r="D5549" s="4"/>
      <c r="E5549" s="4"/>
    </row>
    <row r="5550" spans="1:5" x14ac:dyDescent="0.3">
      <c r="A5550" s="9">
        <v>5542</v>
      </c>
      <c r="B5550" s="10">
        <f t="shared" ca="1" si="86"/>
        <v>0.10128319125393603</v>
      </c>
      <c r="C5550" s="10">
        <f ca="1">NPV(B5550,Project_FCF!C18:J18)+Project_FCF!B18</f>
        <v>773.45273826425932</v>
      </c>
      <c r="D5550" s="4"/>
      <c r="E5550" s="4"/>
    </row>
    <row r="5551" spans="1:5" x14ac:dyDescent="0.3">
      <c r="A5551" s="9">
        <v>5543</v>
      </c>
      <c r="B5551" s="10">
        <f t="shared" ca="1" si="86"/>
        <v>9.5763407108246865E-2</v>
      </c>
      <c r="C5551" s="10">
        <f ca="1">NPV(B5551,Project_FCF!C18:J18)+Project_FCF!B18</f>
        <v>813.61254235930687</v>
      </c>
      <c r="D5551" s="4"/>
      <c r="E5551" s="4"/>
    </row>
    <row r="5552" spans="1:5" x14ac:dyDescent="0.3">
      <c r="A5552" s="9">
        <v>5544</v>
      </c>
      <c r="B5552" s="10">
        <f t="shared" ca="1" si="86"/>
        <v>9.3753663529315676E-2</v>
      </c>
      <c r="C5552" s="10">
        <f ca="1">NPV(B5552,Project_FCF!C18:J18)+Project_FCF!B18</f>
        <v>828.66926475054674</v>
      </c>
      <c r="D5552" s="4"/>
      <c r="E5552" s="4"/>
    </row>
    <row r="5553" spans="1:5" x14ac:dyDescent="0.3">
      <c r="A5553" s="9">
        <v>5545</v>
      </c>
      <c r="B5553" s="10">
        <f t="shared" ca="1" si="86"/>
        <v>9.4676879649727194E-2</v>
      </c>
      <c r="C5553" s="10">
        <f ca="1">NPV(B5553,Project_FCF!C18:J18)+Project_FCF!B18</f>
        <v>821.7232807175269</v>
      </c>
      <c r="D5553" s="4"/>
      <c r="E5553" s="4"/>
    </row>
    <row r="5554" spans="1:5" x14ac:dyDescent="0.3">
      <c r="A5554" s="9">
        <v>5546</v>
      </c>
      <c r="B5554" s="10">
        <f t="shared" ca="1" si="86"/>
        <v>9.8731184344651002E-2</v>
      </c>
      <c r="C5554" s="10">
        <f ca="1">NPV(B5554,Project_FCF!C18:J18)+Project_FCF!B18</f>
        <v>791.80581673802067</v>
      </c>
      <c r="D5554" s="4"/>
      <c r="E5554" s="4"/>
    </row>
    <row r="5555" spans="1:5" x14ac:dyDescent="0.3">
      <c r="A5555" s="9">
        <v>5547</v>
      </c>
      <c r="B5555" s="10">
        <f t="shared" ca="1" si="86"/>
        <v>9.8586147690006093E-2</v>
      </c>
      <c r="C5555" s="10">
        <f ca="1">NPV(B5555,Project_FCF!C18:J18)+Project_FCF!B18</f>
        <v>792.85984353026788</v>
      </c>
      <c r="D5555" s="4"/>
      <c r="E5555" s="4"/>
    </row>
    <row r="5556" spans="1:5" x14ac:dyDescent="0.3">
      <c r="A5556" s="9">
        <v>5548</v>
      </c>
      <c r="B5556" s="10">
        <f t="shared" ca="1" si="86"/>
        <v>7.669733800509082E-2</v>
      </c>
      <c r="C5556" s="10">
        <f ca="1">NPV(B5556,Project_FCF!C18:J18)+Project_FCF!B18</f>
        <v>966.50779802038278</v>
      </c>
      <c r="D5556" s="4"/>
      <c r="E5556" s="4"/>
    </row>
    <row r="5557" spans="1:5" x14ac:dyDescent="0.3">
      <c r="A5557" s="9">
        <v>5549</v>
      </c>
      <c r="B5557" s="10">
        <f t="shared" ca="1" si="86"/>
        <v>9.7156487500620337E-2</v>
      </c>
      <c r="C5557" s="10">
        <f ca="1">NPV(B5557,Project_FCF!C18:J18)+Project_FCF!B18</f>
        <v>803.31358407140078</v>
      </c>
      <c r="D5557" s="4"/>
      <c r="E5557" s="4"/>
    </row>
    <row r="5558" spans="1:5" x14ac:dyDescent="0.3">
      <c r="A5558" s="9">
        <v>5550</v>
      </c>
      <c r="B5558" s="10">
        <f t="shared" ca="1" si="86"/>
        <v>8.4396761917865923E-2</v>
      </c>
      <c r="C5558" s="10">
        <f ca="1">NPV(B5558,Project_FCF!C18:J18)+Project_FCF!B18</f>
        <v>901.98200530186477</v>
      </c>
      <c r="D5558" s="4"/>
      <c r="E5558" s="4"/>
    </row>
    <row r="5559" spans="1:5" x14ac:dyDescent="0.3">
      <c r="A5559" s="9">
        <v>5551</v>
      </c>
      <c r="B5559" s="10">
        <f t="shared" ca="1" si="86"/>
        <v>6.6037945014829055E-2</v>
      </c>
      <c r="C5559" s="10">
        <f ca="1">NPV(B5559,Project_FCF!C18:J18)+Project_FCF!B18</f>
        <v>1062.6430610821742</v>
      </c>
      <c r="D5559" s="4"/>
      <c r="E5559" s="4"/>
    </row>
    <row r="5560" spans="1:5" x14ac:dyDescent="0.3">
      <c r="A5560" s="9">
        <v>5552</v>
      </c>
      <c r="B5560" s="10">
        <f t="shared" ca="1" si="86"/>
        <v>6.6180397362416502E-2</v>
      </c>
      <c r="C5560" s="10">
        <f ca="1">NPV(B5560,Project_FCF!C18:J18)+Project_FCF!B18</f>
        <v>1061.3032870180389</v>
      </c>
      <c r="D5560" s="4"/>
      <c r="E5560" s="4"/>
    </row>
    <row r="5561" spans="1:5" x14ac:dyDescent="0.3">
      <c r="A5561" s="9">
        <v>5553</v>
      </c>
      <c r="B5561" s="10">
        <f t="shared" ca="1" si="86"/>
        <v>7.7391698993658775E-2</v>
      </c>
      <c r="C5561" s="10">
        <f ca="1">NPV(B5561,Project_FCF!C18:J18)+Project_FCF!B18</f>
        <v>960.52531968144785</v>
      </c>
      <c r="D5561" s="4"/>
      <c r="E5561" s="4"/>
    </row>
    <row r="5562" spans="1:5" x14ac:dyDescent="0.3">
      <c r="A5562" s="9">
        <v>5554</v>
      </c>
      <c r="B5562" s="10">
        <f t="shared" ca="1" si="86"/>
        <v>6.4667655469552179E-2</v>
      </c>
      <c r="C5562" s="10">
        <f ca="1">NPV(B5562,Project_FCF!C18:J18)+Project_FCF!B18</f>
        <v>1075.6096761500141</v>
      </c>
      <c r="D5562" s="4"/>
      <c r="E5562" s="4"/>
    </row>
    <row r="5563" spans="1:5" x14ac:dyDescent="0.3">
      <c r="A5563" s="9">
        <v>5555</v>
      </c>
      <c r="B5563" s="10">
        <f t="shared" ca="1" si="86"/>
        <v>9.9849559081472805E-2</v>
      </c>
      <c r="C5563" s="10">
        <f ca="1">NPV(B5563,Project_FCF!C18:J18)+Project_FCF!B18</f>
        <v>783.71805724623414</v>
      </c>
      <c r="D5563" s="4"/>
      <c r="E5563" s="4"/>
    </row>
    <row r="5564" spans="1:5" x14ac:dyDescent="0.3">
      <c r="A5564" s="9">
        <v>5556</v>
      </c>
      <c r="B5564" s="10">
        <f t="shared" ca="1" si="86"/>
        <v>7.7541691482884312E-2</v>
      </c>
      <c r="C5564" s="10">
        <f ca="1">NPV(B5564,Project_FCF!C18:J18)+Project_FCF!B18</f>
        <v>959.23735430308579</v>
      </c>
      <c r="D5564" s="4"/>
      <c r="E5564" s="4"/>
    </row>
    <row r="5565" spans="1:5" x14ac:dyDescent="0.3">
      <c r="A5565" s="9">
        <v>5557</v>
      </c>
      <c r="B5565" s="10">
        <f t="shared" ca="1" si="86"/>
        <v>7.2901157298435951E-2</v>
      </c>
      <c r="C5565" s="10">
        <f ca="1">NPV(B5565,Project_FCF!C18:J18)+Project_FCF!B18</f>
        <v>999.80746734403783</v>
      </c>
      <c r="D5565" s="4"/>
      <c r="E5565" s="4"/>
    </row>
    <row r="5566" spans="1:5" x14ac:dyDescent="0.3">
      <c r="A5566" s="9">
        <v>5558</v>
      </c>
      <c r="B5566" s="10">
        <f t="shared" ca="1" si="86"/>
        <v>9.2904704947100708E-2</v>
      </c>
      <c r="C5566" s="10">
        <f ca="1">NPV(B5566,Project_FCF!C18:J18)+Project_FCF!B18</f>
        <v>835.10099353661849</v>
      </c>
      <c r="D5566" s="4"/>
      <c r="E5566" s="4"/>
    </row>
    <row r="5567" spans="1:5" x14ac:dyDescent="0.3">
      <c r="A5567" s="9">
        <v>5559</v>
      </c>
      <c r="B5567" s="10">
        <f t="shared" ca="1" si="86"/>
        <v>0.10097637502746588</v>
      </c>
      <c r="C5567" s="10">
        <f ca="1">NPV(B5567,Project_FCF!C18:J18)+Project_FCF!B18</f>
        <v>775.64005005624858</v>
      </c>
      <c r="D5567" s="4"/>
      <c r="E5567" s="4"/>
    </row>
    <row r="5568" spans="1:5" x14ac:dyDescent="0.3">
      <c r="A5568" s="9">
        <v>5560</v>
      </c>
      <c r="B5568" s="10">
        <f t="shared" ca="1" si="86"/>
        <v>8.6326101013039475E-2</v>
      </c>
      <c r="C5568" s="10">
        <f ca="1">NPV(B5568,Project_FCF!C18:J18)+Project_FCF!B18</f>
        <v>886.42023885531853</v>
      </c>
      <c r="D5568" s="4"/>
      <c r="E5568" s="4"/>
    </row>
    <row r="5569" spans="1:5" x14ac:dyDescent="0.3">
      <c r="A5569" s="9">
        <v>5561</v>
      </c>
      <c r="B5569" s="10">
        <f t="shared" ca="1" si="86"/>
        <v>9.9134312347415293E-2</v>
      </c>
      <c r="C5569" s="10">
        <f ca="1">NPV(B5569,Project_FCF!C18:J18)+Project_FCF!B18</f>
        <v>788.882400073486</v>
      </c>
      <c r="D5569" s="4"/>
      <c r="E5569" s="4"/>
    </row>
    <row r="5570" spans="1:5" x14ac:dyDescent="0.3">
      <c r="A5570" s="9">
        <v>5562</v>
      </c>
      <c r="B5570" s="10">
        <f t="shared" ca="1" si="86"/>
        <v>7.4395890527578307E-2</v>
      </c>
      <c r="C5570" s="10">
        <f ca="1">NPV(B5570,Project_FCF!C18:J18)+Project_FCF!B18</f>
        <v>986.57517964950216</v>
      </c>
      <c r="D5570" s="4"/>
      <c r="E5570" s="4"/>
    </row>
    <row r="5571" spans="1:5" x14ac:dyDescent="0.3">
      <c r="A5571" s="9">
        <v>5563</v>
      </c>
      <c r="B5571" s="10">
        <f t="shared" ca="1" si="86"/>
        <v>7.4632828824206757E-2</v>
      </c>
      <c r="C5571" s="10">
        <f ca="1">NPV(B5571,Project_FCF!C18:J18)+Project_FCF!B18</f>
        <v>984.4921384803522</v>
      </c>
      <c r="D5571" s="4"/>
      <c r="E5571" s="4"/>
    </row>
    <row r="5572" spans="1:5" x14ac:dyDescent="0.3">
      <c r="A5572" s="9">
        <v>5564</v>
      </c>
      <c r="B5572" s="10">
        <f t="shared" ca="1" si="86"/>
        <v>8.2364014178350264E-2</v>
      </c>
      <c r="C5572" s="10">
        <f ca="1">NPV(B5572,Project_FCF!C18:J18)+Project_FCF!B18</f>
        <v>918.63663824219088</v>
      </c>
      <c r="D5572" s="4"/>
      <c r="E5572" s="4"/>
    </row>
    <row r="5573" spans="1:5" x14ac:dyDescent="0.3">
      <c r="A5573" s="9">
        <v>5565</v>
      </c>
      <c r="B5573" s="10">
        <f t="shared" ca="1" si="86"/>
        <v>9.0179400764157189E-2</v>
      </c>
      <c r="C5573" s="10">
        <f ca="1">NPV(B5573,Project_FCF!C18:J18)+Project_FCF!B18</f>
        <v>856.03952840872262</v>
      </c>
      <c r="D5573" s="4"/>
      <c r="E5573" s="4"/>
    </row>
    <row r="5574" spans="1:5" x14ac:dyDescent="0.3">
      <c r="A5574" s="9">
        <v>5566</v>
      </c>
      <c r="B5574" s="10">
        <f t="shared" ca="1" si="86"/>
        <v>6.5924478195586708E-2</v>
      </c>
      <c r="C5574" s="10">
        <f ca="1">NPV(B5574,Project_FCF!C18:J18)+Project_FCF!B18</f>
        <v>1063.7113259836299</v>
      </c>
      <c r="D5574" s="4"/>
      <c r="E5574" s="4"/>
    </row>
    <row r="5575" spans="1:5" x14ac:dyDescent="0.3">
      <c r="A5575" s="9">
        <v>5567</v>
      </c>
      <c r="B5575" s="10">
        <f t="shared" ca="1" si="86"/>
        <v>7.3264555397609177E-2</v>
      </c>
      <c r="C5575" s="10">
        <f ca="1">NPV(B5575,Project_FCF!C18:J18)+Project_FCF!B18</f>
        <v>996.57587621858602</v>
      </c>
      <c r="D5575" s="4"/>
      <c r="E5575" s="4"/>
    </row>
    <row r="5576" spans="1:5" x14ac:dyDescent="0.3">
      <c r="A5576" s="9">
        <v>5568</v>
      </c>
      <c r="B5576" s="10">
        <f t="shared" ca="1" si="86"/>
        <v>7.2761994244985084E-2</v>
      </c>
      <c r="C5576" s="10">
        <f ca="1">NPV(B5576,Project_FCF!C18:J18)+Project_FCF!B18</f>
        <v>1001.047493822455</v>
      </c>
      <c r="D5576" s="4"/>
      <c r="E5576" s="4"/>
    </row>
    <row r="5577" spans="1:5" x14ac:dyDescent="0.3">
      <c r="A5577" s="9">
        <v>5569</v>
      </c>
      <c r="B5577" s="10">
        <f t="shared" ref="B5577:B5640" ca="1" si="87">$B$4+RAND()*($B$5-$B$4)</f>
        <v>9.0962718375081769E-2</v>
      </c>
      <c r="C5577" s="10">
        <f ca="1">NPV(B5577,Project_FCF!C18:J18)+Project_FCF!B18</f>
        <v>849.97538050128742</v>
      </c>
      <c r="D5577" s="4"/>
      <c r="E5577" s="4"/>
    </row>
    <row r="5578" spans="1:5" x14ac:dyDescent="0.3">
      <c r="A5578" s="9">
        <v>5570</v>
      </c>
      <c r="B5578" s="10">
        <f t="shared" ca="1" si="87"/>
        <v>6.4092872887193592E-2</v>
      </c>
      <c r="C5578" s="10">
        <f ca="1">NPV(B5578,Project_FCF!C18:J18)+Project_FCF!B18</f>
        <v>1081.0915137152995</v>
      </c>
      <c r="D5578" s="4"/>
      <c r="E5578" s="4"/>
    </row>
    <row r="5579" spans="1:5" x14ac:dyDescent="0.3">
      <c r="A5579" s="9">
        <v>5571</v>
      </c>
      <c r="B5579" s="10">
        <f t="shared" ca="1" si="87"/>
        <v>9.0549408118269017E-2</v>
      </c>
      <c r="C5579" s="10">
        <f ca="1">NPV(B5579,Project_FCF!C18:J18)+Project_FCF!B18</f>
        <v>853.17042374326707</v>
      </c>
      <c r="D5579" s="4"/>
      <c r="E5579" s="4"/>
    </row>
    <row r="5580" spans="1:5" x14ac:dyDescent="0.3">
      <c r="A5580" s="9">
        <v>5572</v>
      </c>
      <c r="B5580" s="10">
        <f t="shared" ca="1" si="87"/>
        <v>8.8061584811388205E-2</v>
      </c>
      <c r="C5580" s="10">
        <f ca="1">NPV(B5580,Project_FCF!C18:J18)+Project_FCF!B18</f>
        <v>872.62298955474489</v>
      </c>
      <c r="D5580" s="4"/>
      <c r="E5580" s="4"/>
    </row>
    <row r="5581" spans="1:5" x14ac:dyDescent="0.3">
      <c r="A5581" s="9">
        <v>5573</v>
      </c>
      <c r="B5581" s="10">
        <f t="shared" ca="1" si="87"/>
        <v>6.6734025001995836E-2</v>
      </c>
      <c r="C5581" s="10">
        <f ca="1">NPV(B5581,Project_FCF!C18:J18)+Project_FCF!B18</f>
        <v>1056.1109660412851</v>
      </c>
      <c r="D5581" s="4"/>
      <c r="E5581" s="4"/>
    </row>
    <row r="5582" spans="1:5" x14ac:dyDescent="0.3">
      <c r="A5582" s="9">
        <v>5574</v>
      </c>
      <c r="B5582" s="10">
        <f t="shared" ca="1" si="87"/>
        <v>6.7209797333378937E-2</v>
      </c>
      <c r="C5582" s="10">
        <f ca="1">NPV(B5582,Project_FCF!C18:J18)+Project_FCF!B18</f>
        <v>1051.6672980165306</v>
      </c>
      <c r="D5582" s="4"/>
      <c r="E5582" s="4"/>
    </row>
    <row r="5583" spans="1:5" x14ac:dyDescent="0.3">
      <c r="A5583" s="9">
        <v>5575</v>
      </c>
      <c r="B5583" s="10">
        <f t="shared" ca="1" si="87"/>
        <v>8.8558695612962368E-2</v>
      </c>
      <c r="C5583" s="10">
        <f ca="1">NPV(B5583,Project_FCF!C18:J18)+Project_FCF!B18</f>
        <v>868.70553895431544</v>
      </c>
      <c r="D5583" s="4"/>
      <c r="E5583" s="4"/>
    </row>
    <row r="5584" spans="1:5" x14ac:dyDescent="0.3">
      <c r="A5584" s="9">
        <v>5576</v>
      </c>
      <c r="B5584" s="10">
        <f t="shared" ca="1" si="87"/>
        <v>6.6305284385876753E-2</v>
      </c>
      <c r="C5584" s="10">
        <f ca="1">NPV(B5584,Project_FCF!C18:J18)+Project_FCF!B18</f>
        <v>1060.1299812648244</v>
      </c>
      <c r="D5584" s="4"/>
      <c r="E5584" s="4"/>
    </row>
    <row r="5585" spans="1:5" x14ac:dyDescent="0.3">
      <c r="A5585" s="9">
        <v>5577</v>
      </c>
      <c r="B5585" s="10">
        <f t="shared" ca="1" si="87"/>
        <v>7.7565422305340706E-2</v>
      </c>
      <c r="C5585" s="10">
        <f ca="1">NPV(B5585,Project_FCF!C18:J18)+Project_FCF!B18</f>
        <v>959.03372183824922</v>
      </c>
      <c r="D5585" s="4"/>
      <c r="E5585" s="4"/>
    </row>
    <row r="5586" spans="1:5" x14ac:dyDescent="0.3">
      <c r="A5586" s="9">
        <v>5578</v>
      </c>
      <c r="B5586" s="10">
        <f t="shared" ca="1" si="87"/>
        <v>8.9456258139620187E-2</v>
      </c>
      <c r="C5586" s="10">
        <f ca="1">NPV(B5586,Project_FCF!C18:J18)+Project_FCF!B18</f>
        <v>861.67104291763371</v>
      </c>
      <c r="D5586" s="4"/>
      <c r="E5586" s="4"/>
    </row>
    <row r="5587" spans="1:5" x14ac:dyDescent="0.3">
      <c r="A5587" s="9">
        <v>5579</v>
      </c>
      <c r="B5587" s="10">
        <f t="shared" ca="1" si="87"/>
        <v>6.5639428537786385E-2</v>
      </c>
      <c r="C5587" s="10">
        <f ca="1">NPV(B5587,Project_FCF!C18:J18)+Project_FCF!B18</f>
        <v>1066.3993221862256</v>
      </c>
      <c r="D5587" s="4"/>
      <c r="E5587" s="4"/>
    </row>
    <row r="5588" spans="1:5" x14ac:dyDescent="0.3">
      <c r="A5588" s="9">
        <v>5580</v>
      </c>
      <c r="B5588" s="10">
        <f t="shared" ca="1" si="87"/>
        <v>8.8605127196856898E-2</v>
      </c>
      <c r="C5588" s="10">
        <f ca="1">NPV(B5588,Project_FCF!C18:J18)+Project_FCF!B18</f>
        <v>868.34041975292234</v>
      </c>
      <c r="D5588" s="4"/>
      <c r="E5588" s="4"/>
    </row>
    <row r="5589" spans="1:5" x14ac:dyDescent="0.3">
      <c r="A5589" s="9">
        <v>5581</v>
      </c>
      <c r="B5589" s="10">
        <f t="shared" ca="1" si="87"/>
        <v>8.9106041086093629E-2</v>
      </c>
      <c r="C5589" s="10">
        <f ca="1">NPV(B5589,Project_FCF!C18:J18)+Project_FCF!B18</f>
        <v>864.40990437005894</v>
      </c>
      <c r="D5589" s="4"/>
      <c r="E5589" s="4"/>
    </row>
    <row r="5590" spans="1:5" x14ac:dyDescent="0.3">
      <c r="A5590" s="9">
        <v>5582</v>
      </c>
      <c r="B5590" s="10">
        <f t="shared" ca="1" si="87"/>
        <v>0.10327669566291059</v>
      </c>
      <c r="C5590" s="10">
        <f ca="1">NPV(B5590,Project_FCF!C18:J18)+Project_FCF!B18</f>
        <v>759.36700561638145</v>
      </c>
      <c r="D5590" s="4"/>
      <c r="E5590" s="4"/>
    </row>
    <row r="5591" spans="1:5" x14ac:dyDescent="0.3">
      <c r="A5591" s="9">
        <v>5583</v>
      </c>
      <c r="B5591" s="10">
        <f t="shared" ca="1" si="87"/>
        <v>7.5344046966644151E-2</v>
      </c>
      <c r="C5591" s="10">
        <f ca="1">NPV(B5591,Project_FCF!C18:J18)+Project_FCF!B18</f>
        <v>978.26309410535964</v>
      </c>
      <c r="D5591" s="4"/>
      <c r="E5591" s="4"/>
    </row>
    <row r="5592" spans="1:5" x14ac:dyDescent="0.3">
      <c r="A5592" s="9">
        <v>5584</v>
      </c>
      <c r="B5592" s="10">
        <f t="shared" ca="1" si="87"/>
        <v>8.7386412547024006E-2</v>
      </c>
      <c r="C5592" s="10">
        <f ca="1">NPV(B5592,Project_FCF!C18:J18)+Project_FCF!B18</f>
        <v>877.96825649764355</v>
      </c>
      <c r="D5592" s="4"/>
      <c r="E5592" s="4"/>
    </row>
    <row r="5593" spans="1:5" x14ac:dyDescent="0.3">
      <c r="A5593" s="9">
        <v>5585</v>
      </c>
      <c r="B5593" s="10">
        <f t="shared" ca="1" si="87"/>
        <v>9.5028090855785785E-2</v>
      </c>
      <c r="C5593" s="10">
        <f ca="1">NPV(B5593,Project_FCF!C18:J18)+Project_FCF!B18</f>
        <v>819.09401584840066</v>
      </c>
      <c r="D5593" s="4"/>
      <c r="E5593" s="4"/>
    </row>
    <row r="5594" spans="1:5" x14ac:dyDescent="0.3">
      <c r="A5594" s="9">
        <v>5586</v>
      </c>
      <c r="B5594" s="10">
        <f t="shared" ca="1" si="87"/>
        <v>7.8987481922541847E-2</v>
      </c>
      <c r="C5594" s="10">
        <f ca="1">NPV(B5594,Project_FCF!C18:J18)+Project_FCF!B18</f>
        <v>946.90107485736166</v>
      </c>
      <c r="D5594" s="4"/>
      <c r="E5594" s="4"/>
    </row>
    <row r="5595" spans="1:5" x14ac:dyDescent="0.3">
      <c r="A5595" s="9">
        <v>5587</v>
      </c>
      <c r="B5595" s="10">
        <f t="shared" ca="1" si="87"/>
        <v>9.6954081716932483E-2</v>
      </c>
      <c r="C5595" s="10">
        <f ca="1">NPV(B5595,Project_FCF!C18:J18)+Project_FCF!B18</f>
        <v>804.80301780622017</v>
      </c>
      <c r="D5595" s="4"/>
      <c r="E5595" s="4"/>
    </row>
    <row r="5596" spans="1:5" x14ac:dyDescent="0.3">
      <c r="A5596" s="9">
        <v>5588</v>
      </c>
      <c r="B5596" s="10">
        <f t="shared" ca="1" si="87"/>
        <v>8.2538013643358166E-2</v>
      </c>
      <c r="C5596" s="10">
        <f ca="1">NPV(B5596,Project_FCF!C18:J18)+Project_FCF!B18</f>
        <v>917.20052167469362</v>
      </c>
      <c r="D5596" s="4"/>
      <c r="E5596" s="4"/>
    </row>
    <row r="5597" spans="1:5" x14ac:dyDescent="0.3">
      <c r="A5597" s="9">
        <v>5589</v>
      </c>
      <c r="B5597" s="10">
        <f t="shared" ca="1" si="87"/>
        <v>8.7796270233341064E-2</v>
      </c>
      <c r="C5597" s="10">
        <f ca="1">NPV(B5597,Project_FCF!C18:J18)+Project_FCF!B18</f>
        <v>874.7200674518715</v>
      </c>
      <c r="D5597" s="4"/>
      <c r="E5597" s="4"/>
    </row>
    <row r="5598" spans="1:5" x14ac:dyDescent="0.3">
      <c r="A5598" s="9">
        <v>5590</v>
      </c>
      <c r="B5598" s="10">
        <f t="shared" ca="1" si="87"/>
        <v>8.6044279446268412E-2</v>
      </c>
      <c r="C5598" s="10">
        <f ca="1">NPV(B5598,Project_FCF!C18:J18)+Project_FCF!B18</f>
        <v>888.67861516622202</v>
      </c>
      <c r="D5598" s="4"/>
      <c r="E5598" s="4"/>
    </row>
    <row r="5599" spans="1:5" x14ac:dyDescent="0.3">
      <c r="A5599" s="9">
        <v>5591</v>
      </c>
      <c r="B5599" s="10">
        <f t="shared" ca="1" si="87"/>
        <v>0.10022409837094218</v>
      </c>
      <c r="C5599" s="10">
        <f ca="1">NPV(B5599,Project_FCF!C18:J18)+Project_FCF!B18</f>
        <v>781.02518046674663</v>
      </c>
      <c r="D5599" s="4"/>
      <c r="E5599" s="4"/>
    </row>
    <row r="5600" spans="1:5" x14ac:dyDescent="0.3">
      <c r="A5600" s="9">
        <v>5592</v>
      </c>
      <c r="B5600" s="10">
        <f t="shared" ca="1" si="87"/>
        <v>8.3100430139195075E-2</v>
      </c>
      <c r="C5600" s="10">
        <f ca="1">NPV(B5600,Project_FCF!C18:J18)+Project_FCF!B18</f>
        <v>912.57209065746315</v>
      </c>
      <c r="D5600" s="4"/>
      <c r="E5600" s="4"/>
    </row>
    <row r="5601" spans="1:5" x14ac:dyDescent="0.3">
      <c r="A5601" s="9">
        <v>5593</v>
      </c>
      <c r="B5601" s="10">
        <f t="shared" ca="1" si="87"/>
        <v>9.5367404139424974E-2</v>
      </c>
      <c r="C5601" s="10">
        <f ca="1">NPV(B5601,Project_FCF!C18:J18)+Project_FCF!B18</f>
        <v>816.56066586176826</v>
      </c>
      <c r="D5601" s="4"/>
      <c r="E5601" s="4"/>
    </row>
    <row r="5602" spans="1:5" x14ac:dyDescent="0.3">
      <c r="A5602" s="9">
        <v>5594</v>
      </c>
      <c r="B5602" s="10">
        <f t="shared" ca="1" si="87"/>
        <v>8.0857221403598828E-2</v>
      </c>
      <c r="C5602" s="10">
        <f ca="1">NPV(B5602,Project_FCF!C18:J18)+Project_FCF!B18</f>
        <v>931.15624068899479</v>
      </c>
      <c r="D5602" s="4"/>
      <c r="E5602" s="4"/>
    </row>
    <row r="5603" spans="1:5" x14ac:dyDescent="0.3">
      <c r="A5603" s="9">
        <v>5595</v>
      </c>
      <c r="B5603" s="10">
        <f t="shared" ca="1" si="87"/>
        <v>9.3555694406031717E-2</v>
      </c>
      <c r="C5603" s="10">
        <f ca="1">NPV(B5603,Project_FCF!C18:J18)+Project_FCF!B18</f>
        <v>830.16526419155434</v>
      </c>
      <c r="D5603" s="4"/>
      <c r="E5603" s="4"/>
    </row>
    <row r="5604" spans="1:5" x14ac:dyDescent="0.3">
      <c r="A5604" s="9">
        <v>5596</v>
      </c>
      <c r="B5604" s="10">
        <f t="shared" ca="1" si="87"/>
        <v>6.9586812984971588E-2</v>
      </c>
      <c r="C5604" s="10">
        <f ca="1">NPV(B5604,Project_FCF!C18:J18)+Project_FCF!B18</f>
        <v>1029.7192862436236</v>
      </c>
      <c r="D5604" s="4"/>
      <c r="E5604" s="4"/>
    </row>
    <row r="5605" spans="1:5" x14ac:dyDescent="0.3">
      <c r="A5605" s="9">
        <v>5597</v>
      </c>
      <c r="B5605" s="10">
        <f t="shared" ca="1" si="87"/>
        <v>6.9243655147237987E-2</v>
      </c>
      <c r="C5605" s="10">
        <f ca="1">NPV(B5605,Project_FCF!C18:J18)+Project_FCF!B18</f>
        <v>1032.8619607121511</v>
      </c>
      <c r="D5605" s="4"/>
      <c r="E5605" s="4"/>
    </row>
    <row r="5606" spans="1:5" x14ac:dyDescent="0.3">
      <c r="A5606" s="9">
        <v>5598</v>
      </c>
      <c r="B5606" s="10">
        <f t="shared" ca="1" si="87"/>
        <v>0.10172850039251102</v>
      </c>
      <c r="C5606" s="10">
        <f ca="1">NPV(B5606,Project_FCF!C18:J18)+Project_FCF!B18</f>
        <v>770.28735277695955</v>
      </c>
      <c r="D5606" s="4"/>
      <c r="E5606" s="4"/>
    </row>
    <row r="5607" spans="1:5" x14ac:dyDescent="0.3">
      <c r="A5607" s="9">
        <v>5599</v>
      </c>
      <c r="B5607" s="10">
        <f t="shared" ca="1" si="87"/>
        <v>8.7994427273329734E-2</v>
      </c>
      <c r="C5607" s="10">
        <f ca="1">NPV(B5607,Project_FCF!C18:J18)+Project_FCF!B18</f>
        <v>873.15339666356385</v>
      </c>
      <c r="D5607" s="4"/>
      <c r="E5607" s="4"/>
    </row>
    <row r="5608" spans="1:5" x14ac:dyDescent="0.3">
      <c r="A5608" s="9">
        <v>5600</v>
      </c>
      <c r="B5608" s="10">
        <f t="shared" ca="1" si="87"/>
        <v>8.0508068353575588E-2</v>
      </c>
      <c r="C5608" s="10">
        <f ca="1">NPV(B5608,Project_FCF!C18:J18)+Project_FCF!B18</f>
        <v>934.07868929216716</v>
      </c>
      <c r="D5608" s="4"/>
      <c r="E5608" s="4"/>
    </row>
    <row r="5609" spans="1:5" x14ac:dyDescent="0.3">
      <c r="A5609" s="9">
        <v>5601</v>
      </c>
      <c r="B5609" s="10">
        <f t="shared" ca="1" si="87"/>
        <v>7.2442140672520625E-2</v>
      </c>
      <c r="C5609" s="10">
        <f ca="1">NPV(B5609,Project_FCF!C18:J18)+Project_FCF!B18</f>
        <v>1003.9028235051721</v>
      </c>
      <c r="D5609" s="4"/>
      <c r="E5609" s="4"/>
    </row>
    <row r="5610" spans="1:5" x14ac:dyDescent="0.3">
      <c r="A5610" s="9">
        <v>5602</v>
      </c>
      <c r="B5610" s="10">
        <f t="shared" ca="1" si="87"/>
        <v>0.10277017086188611</v>
      </c>
      <c r="C5610" s="10">
        <f ca="1">NPV(B5610,Project_FCF!C18:J18)+Project_FCF!B18</f>
        <v>762.92541622872091</v>
      </c>
      <c r="D5610" s="4"/>
      <c r="E5610" s="4"/>
    </row>
    <row r="5611" spans="1:5" x14ac:dyDescent="0.3">
      <c r="A5611" s="9">
        <v>5603</v>
      </c>
      <c r="B5611" s="10">
        <f t="shared" ca="1" si="87"/>
        <v>7.7550003414442556E-2</v>
      </c>
      <c r="C5611" s="10">
        <f ca="1">NPV(B5611,Project_FCF!C18:J18)+Project_FCF!B18</f>
        <v>959.16602584291854</v>
      </c>
      <c r="D5611" s="4"/>
      <c r="E5611" s="4"/>
    </row>
    <row r="5612" spans="1:5" x14ac:dyDescent="0.3">
      <c r="A5612" s="9">
        <v>5604</v>
      </c>
      <c r="B5612" s="10">
        <f t="shared" ca="1" si="87"/>
        <v>9.4377970682239951E-2</v>
      </c>
      <c r="C5612" s="10">
        <f ca="1">NPV(B5612,Project_FCF!C18:J18)+Project_FCF!B18</f>
        <v>823.96668918229102</v>
      </c>
      <c r="D5612" s="4"/>
      <c r="E5612" s="4"/>
    </row>
    <row r="5613" spans="1:5" x14ac:dyDescent="0.3">
      <c r="A5613" s="9">
        <v>5605</v>
      </c>
      <c r="B5613" s="10">
        <f t="shared" ca="1" si="87"/>
        <v>7.4543814009744552E-2</v>
      </c>
      <c r="C5613" s="10">
        <f ca="1">NPV(B5613,Project_FCF!C18:J18)+Project_FCF!B18</f>
        <v>985.27424911108483</v>
      </c>
      <c r="D5613" s="4"/>
      <c r="E5613" s="4"/>
    </row>
    <row r="5614" spans="1:5" x14ac:dyDescent="0.3">
      <c r="A5614" s="9">
        <v>5606</v>
      </c>
      <c r="B5614" s="10">
        <f t="shared" ca="1" si="87"/>
        <v>8.5502769199994708E-2</v>
      </c>
      <c r="C5614" s="10">
        <f ca="1">NPV(B5614,Project_FCF!C18:J18)+Project_FCF!B18</f>
        <v>893.03212745077212</v>
      </c>
      <c r="D5614" s="4"/>
      <c r="E5614" s="4"/>
    </row>
    <row r="5615" spans="1:5" x14ac:dyDescent="0.3">
      <c r="A5615" s="9">
        <v>5607</v>
      </c>
      <c r="B5615" s="10">
        <f t="shared" ca="1" si="87"/>
        <v>8.0984572665613569E-2</v>
      </c>
      <c r="C5615" s="10">
        <f ca="1">NPV(B5615,Project_FCF!C18:J18)+Project_FCF!B18</f>
        <v>930.09231061404967</v>
      </c>
      <c r="D5615" s="4"/>
      <c r="E5615" s="4"/>
    </row>
    <row r="5616" spans="1:5" x14ac:dyDescent="0.3">
      <c r="A5616" s="9">
        <v>5608</v>
      </c>
      <c r="B5616" s="10">
        <f t="shared" ca="1" si="87"/>
        <v>9.315373181571257E-2</v>
      </c>
      <c r="C5616" s="10">
        <f ca="1">NPV(B5616,Project_FCF!C18:J18)+Project_FCF!B18</f>
        <v>833.20992811280644</v>
      </c>
      <c r="D5616" s="4"/>
      <c r="E5616" s="4"/>
    </row>
    <row r="5617" spans="1:5" x14ac:dyDescent="0.3">
      <c r="A5617" s="9">
        <v>5609</v>
      </c>
      <c r="B5617" s="10">
        <f t="shared" ca="1" si="87"/>
        <v>7.0544115852408509E-2</v>
      </c>
      <c r="C5617" s="10">
        <f ca="1">NPV(B5617,Project_FCF!C18:J18)+Project_FCF!B18</f>
        <v>1020.9978528456093</v>
      </c>
      <c r="D5617" s="4"/>
      <c r="E5617" s="4"/>
    </row>
    <row r="5618" spans="1:5" x14ac:dyDescent="0.3">
      <c r="A5618" s="9">
        <v>5610</v>
      </c>
      <c r="B5618" s="10">
        <f t="shared" ca="1" si="87"/>
        <v>6.6481656466917088E-2</v>
      </c>
      <c r="C5618" s="10">
        <f ca="1">NPV(B5618,Project_FCF!C18:J18)+Project_FCF!B18</f>
        <v>1058.4749874463757</v>
      </c>
      <c r="D5618" s="4"/>
      <c r="E5618" s="4"/>
    </row>
    <row r="5619" spans="1:5" x14ac:dyDescent="0.3">
      <c r="A5619" s="9">
        <v>5611</v>
      </c>
      <c r="B5619" s="10">
        <f t="shared" ca="1" si="87"/>
        <v>8.3887784767857493E-2</v>
      </c>
      <c r="C5619" s="10">
        <f ca="1">NPV(B5619,Project_FCF!C18:J18)+Project_FCF!B18</f>
        <v>906.12703525084498</v>
      </c>
      <c r="D5619" s="4"/>
      <c r="E5619" s="4"/>
    </row>
    <row r="5620" spans="1:5" x14ac:dyDescent="0.3">
      <c r="A5620" s="9">
        <v>5612</v>
      </c>
      <c r="B5620" s="10">
        <f t="shared" ca="1" si="87"/>
        <v>6.5290093656377154E-2</v>
      </c>
      <c r="C5620" s="10">
        <f ca="1">NPV(B5620,Project_FCF!C18:J18)+Project_FCF!B18</f>
        <v>1069.7019641943605</v>
      </c>
      <c r="D5620" s="4"/>
      <c r="E5620" s="4"/>
    </row>
    <row r="5621" spans="1:5" x14ac:dyDescent="0.3">
      <c r="A5621" s="9">
        <v>5613</v>
      </c>
      <c r="B5621" s="10">
        <f t="shared" ca="1" si="87"/>
        <v>0.10338485011674367</v>
      </c>
      <c r="C5621" s="10">
        <f ca="1">NPV(B5621,Project_FCF!C18:J18)+Project_FCF!B18</f>
        <v>758.60901181039776</v>
      </c>
      <c r="D5621" s="4"/>
      <c r="E5621" s="4"/>
    </row>
    <row r="5622" spans="1:5" x14ac:dyDescent="0.3">
      <c r="A5622" s="9">
        <v>5614</v>
      </c>
      <c r="B5622" s="10">
        <f t="shared" ca="1" si="87"/>
        <v>9.6824545507603582E-2</v>
      </c>
      <c r="C5622" s="10">
        <f ca="1">NPV(B5622,Project_FCF!C18:J18)+Project_FCF!B18</f>
        <v>805.75746400369508</v>
      </c>
      <c r="D5622" s="4"/>
      <c r="E5622" s="4"/>
    </row>
    <row r="5623" spans="1:5" x14ac:dyDescent="0.3">
      <c r="A5623" s="9">
        <v>5615</v>
      </c>
      <c r="B5623" s="10">
        <f t="shared" ca="1" si="87"/>
        <v>7.8115686851847041E-2</v>
      </c>
      <c r="C5623" s="10">
        <f ca="1">NPV(B5623,Project_FCF!C18:J18)+Project_FCF!B18</f>
        <v>954.3227148777703</v>
      </c>
      <c r="D5623" s="4"/>
      <c r="E5623" s="4"/>
    </row>
    <row r="5624" spans="1:5" x14ac:dyDescent="0.3">
      <c r="A5624" s="9">
        <v>5616</v>
      </c>
      <c r="B5624" s="10">
        <f t="shared" ca="1" si="87"/>
        <v>0.10351518292836251</v>
      </c>
      <c r="C5624" s="10">
        <f ca="1">NPV(B5624,Project_FCF!C18:J18)+Project_FCF!B18</f>
        <v>757.69642536728247</v>
      </c>
      <c r="D5624" s="4"/>
      <c r="E5624" s="4"/>
    </row>
    <row r="5625" spans="1:5" x14ac:dyDescent="0.3">
      <c r="A5625" s="9">
        <v>5617</v>
      </c>
      <c r="B5625" s="10">
        <f t="shared" ca="1" si="87"/>
        <v>6.5668302214529573E-2</v>
      </c>
      <c r="C5625" s="10">
        <f ca="1">NPV(B5625,Project_FCF!C18:J18)+Project_FCF!B18</f>
        <v>1066.1267642369683</v>
      </c>
      <c r="D5625" s="4"/>
      <c r="E5625" s="4"/>
    </row>
    <row r="5626" spans="1:5" x14ac:dyDescent="0.3">
      <c r="A5626" s="9">
        <v>5618</v>
      </c>
      <c r="B5626" s="10">
        <f t="shared" ca="1" si="87"/>
        <v>7.0906623989856268E-2</v>
      </c>
      <c r="C5626" s="10">
        <f ca="1">NPV(B5626,Project_FCF!C18:J18)+Project_FCF!B18</f>
        <v>1017.7127036101413</v>
      </c>
      <c r="D5626" s="4"/>
      <c r="E5626" s="4"/>
    </row>
    <row r="5627" spans="1:5" x14ac:dyDescent="0.3">
      <c r="A5627" s="9">
        <v>5619</v>
      </c>
      <c r="B5627" s="10">
        <f t="shared" ca="1" si="87"/>
        <v>8.0810215247215891E-2</v>
      </c>
      <c r="C5627" s="10">
        <f ca="1">NPV(B5627,Project_FCF!C18:J18)+Project_FCF!B18</f>
        <v>931.54921573087199</v>
      </c>
      <c r="D5627" s="4"/>
      <c r="E5627" s="4"/>
    </row>
    <row r="5628" spans="1:5" x14ac:dyDescent="0.3">
      <c r="A5628" s="9">
        <v>5620</v>
      </c>
      <c r="B5628" s="10">
        <f t="shared" ca="1" si="87"/>
        <v>7.5305033215037384E-2</v>
      </c>
      <c r="C5628" s="10">
        <f ca="1">NPV(B5628,Project_FCF!C18:J18)+Project_FCF!B18</f>
        <v>978.6038710648445</v>
      </c>
      <c r="D5628" s="4"/>
      <c r="E5628" s="4"/>
    </row>
    <row r="5629" spans="1:5" x14ac:dyDescent="0.3">
      <c r="A5629" s="9">
        <v>5621</v>
      </c>
      <c r="B5629" s="10">
        <f t="shared" ca="1" si="87"/>
        <v>8.8015897422776893E-2</v>
      </c>
      <c r="C5629" s="10">
        <f ca="1">NPV(B5629,Project_FCF!C18:J18)+Project_FCF!B18</f>
        <v>872.9837959240449</v>
      </c>
      <c r="D5629" s="4"/>
      <c r="E5629" s="4"/>
    </row>
    <row r="5630" spans="1:5" x14ac:dyDescent="0.3">
      <c r="A5630" s="9">
        <v>5622</v>
      </c>
      <c r="B5630" s="10">
        <f t="shared" ca="1" si="87"/>
        <v>9.0880273016223242E-2</v>
      </c>
      <c r="C5630" s="10">
        <f ca="1">NPV(B5630,Project_FCF!C18:J18)+Project_FCF!B18</f>
        <v>850.61188667795591</v>
      </c>
      <c r="D5630" s="4"/>
      <c r="E5630" s="4"/>
    </row>
    <row r="5631" spans="1:5" x14ac:dyDescent="0.3">
      <c r="A5631" s="9">
        <v>5623</v>
      </c>
      <c r="B5631" s="10">
        <f t="shared" ca="1" si="87"/>
        <v>7.6507606612808504E-2</v>
      </c>
      <c r="C5631" s="10">
        <f ca="1">NPV(B5631,Project_FCF!C18:J18)+Project_FCF!B18</f>
        <v>968.14825346018756</v>
      </c>
      <c r="D5631" s="4"/>
      <c r="E5631" s="4"/>
    </row>
    <row r="5632" spans="1:5" x14ac:dyDescent="0.3">
      <c r="A5632" s="9">
        <v>5624</v>
      </c>
      <c r="B5632" s="10">
        <f t="shared" ca="1" si="87"/>
        <v>0.10297281967234694</v>
      </c>
      <c r="C5632" s="10">
        <f ca="1">NPV(B5632,Project_FCF!C18:J18)+Project_FCF!B18</f>
        <v>761.50010293020046</v>
      </c>
      <c r="D5632" s="4"/>
      <c r="E5632" s="4"/>
    </row>
    <row r="5633" spans="1:5" x14ac:dyDescent="0.3">
      <c r="A5633" s="9">
        <v>5625</v>
      </c>
      <c r="B5633" s="10">
        <f t="shared" ca="1" si="87"/>
        <v>0.10104370295296464</v>
      </c>
      <c r="C5633" s="10">
        <f ca="1">NPV(B5633,Project_FCF!C18:J18)+Project_FCF!B18</f>
        <v>775.15961886933678</v>
      </c>
      <c r="D5633" s="4"/>
      <c r="E5633" s="4"/>
    </row>
    <row r="5634" spans="1:5" x14ac:dyDescent="0.3">
      <c r="A5634" s="9">
        <v>5626</v>
      </c>
      <c r="B5634" s="10">
        <f t="shared" ca="1" si="87"/>
        <v>6.9632751664765055E-2</v>
      </c>
      <c r="C5634" s="10">
        <f ca="1">NPV(B5634,Project_FCF!C18:J18)+Project_FCF!B18</f>
        <v>1029.2992322945886</v>
      </c>
      <c r="D5634" s="4"/>
      <c r="E5634" s="4"/>
    </row>
    <row r="5635" spans="1:5" x14ac:dyDescent="0.3">
      <c r="A5635" s="9">
        <v>5627</v>
      </c>
      <c r="B5635" s="10">
        <f t="shared" ca="1" si="87"/>
        <v>9.0200432756118332E-2</v>
      </c>
      <c r="C5635" s="10">
        <f ca="1">NPV(B5635,Project_FCF!C18:J18)+Project_FCF!B18</f>
        <v>855.87621891241679</v>
      </c>
      <c r="D5635" s="4"/>
      <c r="E5635" s="4"/>
    </row>
    <row r="5636" spans="1:5" x14ac:dyDescent="0.3">
      <c r="A5636" s="9">
        <v>5628</v>
      </c>
      <c r="B5636" s="10">
        <f t="shared" ca="1" si="87"/>
        <v>8.6573353486306584E-2</v>
      </c>
      <c r="C5636" s="10">
        <f ca="1">NPV(B5636,Project_FCF!C18:J18)+Project_FCF!B18</f>
        <v>884.44301201519238</v>
      </c>
      <c r="D5636" s="4"/>
      <c r="E5636" s="4"/>
    </row>
    <row r="5637" spans="1:5" x14ac:dyDescent="0.3">
      <c r="A5637" s="9">
        <v>5629</v>
      </c>
      <c r="B5637" s="10">
        <f t="shared" ca="1" si="87"/>
        <v>7.518093903934385E-2</v>
      </c>
      <c r="C5637" s="10">
        <f ca="1">NPV(B5637,Project_FCF!C18:J18)+Project_FCF!B18</f>
        <v>979.68851370425909</v>
      </c>
      <c r="D5637" s="4"/>
      <c r="E5637" s="4"/>
    </row>
    <row r="5638" spans="1:5" x14ac:dyDescent="0.3">
      <c r="A5638" s="9">
        <v>5630</v>
      </c>
      <c r="B5638" s="10">
        <f t="shared" ca="1" si="87"/>
        <v>6.933336026584791E-2</v>
      </c>
      <c r="C5638" s="10">
        <f ca="1">NPV(B5638,Project_FCF!C18:J18)+Project_FCF!B18</f>
        <v>1032.0395954308176</v>
      </c>
      <c r="D5638" s="4"/>
      <c r="E5638" s="4"/>
    </row>
    <row r="5639" spans="1:5" x14ac:dyDescent="0.3">
      <c r="A5639" s="9">
        <v>5631</v>
      </c>
      <c r="B5639" s="10">
        <f t="shared" ca="1" si="87"/>
        <v>6.7295552623724997E-2</v>
      </c>
      <c r="C5639" s="10">
        <f ca="1">NPV(B5639,Project_FCF!C18:J18)+Project_FCF!B18</f>
        <v>1050.8681615948335</v>
      </c>
      <c r="D5639" s="4"/>
      <c r="E5639" s="4"/>
    </row>
    <row r="5640" spans="1:5" x14ac:dyDescent="0.3">
      <c r="A5640" s="9">
        <v>5632</v>
      </c>
      <c r="B5640" s="10">
        <f t="shared" ca="1" si="87"/>
        <v>9.1542965442294372E-2</v>
      </c>
      <c r="C5640" s="10">
        <f ca="1">NPV(B5640,Project_FCF!C18:J18)+Project_FCF!B18</f>
        <v>845.50730435021455</v>
      </c>
      <c r="D5640" s="4"/>
      <c r="E5640" s="4"/>
    </row>
    <row r="5641" spans="1:5" x14ac:dyDescent="0.3">
      <c r="A5641" s="9">
        <v>5633</v>
      </c>
      <c r="B5641" s="10">
        <f t="shared" ref="B5641:B5704" ca="1" si="88">$B$4+RAND()*($B$5-$B$4)</f>
        <v>7.0605151446131109E-2</v>
      </c>
      <c r="C5641" s="10">
        <f ca="1">NPV(B5641,Project_FCF!C18:J18)+Project_FCF!B18</f>
        <v>1020.4440622215393</v>
      </c>
      <c r="D5641" s="4"/>
      <c r="E5641" s="4"/>
    </row>
    <row r="5642" spans="1:5" x14ac:dyDescent="0.3">
      <c r="A5642" s="9">
        <v>5634</v>
      </c>
      <c r="B5642" s="10">
        <f t="shared" ca="1" si="88"/>
        <v>8.3459247727377228E-2</v>
      </c>
      <c r="C5642" s="10">
        <f ca="1">NPV(B5642,Project_FCF!C18:J18)+Project_FCF!B18</f>
        <v>909.62993458544838</v>
      </c>
      <c r="D5642" s="4"/>
      <c r="E5642" s="4"/>
    </row>
    <row r="5643" spans="1:5" x14ac:dyDescent="0.3">
      <c r="A5643" s="9">
        <v>5635</v>
      </c>
      <c r="B5643" s="10">
        <f t="shared" ca="1" si="88"/>
        <v>6.868873518224386E-2</v>
      </c>
      <c r="C5643" s="10">
        <f ca="1">NPV(B5643,Project_FCF!C18:J18)+Project_FCF!B18</f>
        <v>1037.9623494720197</v>
      </c>
      <c r="D5643" s="4"/>
      <c r="E5643" s="4"/>
    </row>
    <row r="5644" spans="1:5" x14ac:dyDescent="0.3">
      <c r="A5644" s="9">
        <v>5636</v>
      </c>
      <c r="B5644" s="10">
        <f t="shared" ca="1" si="88"/>
        <v>0.10215330739110123</v>
      </c>
      <c r="C5644" s="10">
        <f ca="1">NPV(B5644,Project_FCF!C18:J18)+Project_FCF!B18</f>
        <v>767.27787638444897</v>
      </c>
      <c r="D5644" s="4"/>
      <c r="E5644" s="4"/>
    </row>
    <row r="5645" spans="1:5" x14ac:dyDescent="0.3">
      <c r="A5645" s="9">
        <v>5637</v>
      </c>
      <c r="B5645" s="10">
        <f t="shared" ca="1" si="88"/>
        <v>8.5543717403023051E-2</v>
      </c>
      <c r="C5645" s="10">
        <f ca="1">NPV(B5645,Project_FCF!C18:J18)+Project_FCF!B18</f>
        <v>892.7022705567083</v>
      </c>
      <c r="D5645" s="4"/>
      <c r="E5645" s="4"/>
    </row>
    <row r="5646" spans="1:5" x14ac:dyDescent="0.3">
      <c r="A5646" s="9">
        <v>5638</v>
      </c>
      <c r="B5646" s="10">
        <f t="shared" ca="1" si="88"/>
        <v>8.1021785956462422E-2</v>
      </c>
      <c r="C5646" s="10">
        <f ca="1">NPV(B5646,Project_FCF!C18:J18)+Project_FCF!B18</f>
        <v>929.78162268788424</v>
      </c>
      <c r="D5646" s="4"/>
      <c r="E5646" s="4"/>
    </row>
    <row r="5647" spans="1:5" x14ac:dyDescent="0.3">
      <c r="A5647" s="9">
        <v>5639</v>
      </c>
      <c r="B5647" s="10">
        <f t="shared" ca="1" si="88"/>
        <v>0.10319397405784719</v>
      </c>
      <c r="C5647" s="10">
        <f ca="1">NPV(B5647,Project_FCF!C18:J18)+Project_FCF!B18</f>
        <v>759.94718351662323</v>
      </c>
      <c r="D5647" s="4"/>
      <c r="E5647" s="4"/>
    </row>
    <row r="5648" spans="1:5" x14ac:dyDescent="0.3">
      <c r="A5648" s="9">
        <v>5640</v>
      </c>
      <c r="B5648" s="10">
        <f t="shared" ca="1" si="88"/>
        <v>9.2576329023045995E-2</v>
      </c>
      <c r="C5648" s="10">
        <f ca="1">NPV(B5648,Project_FCF!C18:J18)+Project_FCF!B18</f>
        <v>837.60026644521486</v>
      </c>
      <c r="D5648" s="4"/>
      <c r="E5648" s="4"/>
    </row>
    <row r="5649" spans="1:5" x14ac:dyDescent="0.3">
      <c r="A5649" s="9">
        <v>5641</v>
      </c>
      <c r="B5649" s="10">
        <f t="shared" ca="1" si="88"/>
        <v>8.1374409604330802E-2</v>
      </c>
      <c r="C5649" s="10">
        <f ca="1">NPV(B5649,Project_FCF!C18:J18)+Project_FCF!B18</f>
        <v>926.84217066633551</v>
      </c>
      <c r="D5649" s="4"/>
      <c r="E5649" s="4"/>
    </row>
    <row r="5650" spans="1:5" x14ac:dyDescent="0.3">
      <c r="A5650" s="9">
        <v>5642</v>
      </c>
      <c r="B5650" s="10">
        <f t="shared" ca="1" si="88"/>
        <v>9.6098079495798211E-2</v>
      </c>
      <c r="C5650" s="10">
        <f ca="1">NPV(B5650,Project_FCF!C18:J18)+Project_FCF!B18</f>
        <v>811.12810376088169</v>
      </c>
      <c r="D5650" s="4"/>
      <c r="E5650" s="4"/>
    </row>
    <row r="5651" spans="1:5" x14ac:dyDescent="0.3">
      <c r="A5651" s="9">
        <v>5643</v>
      </c>
      <c r="B5651" s="10">
        <f t="shared" ca="1" si="88"/>
        <v>8.2428980661620299E-2</v>
      </c>
      <c r="C5651" s="10">
        <f ca="1">NPV(B5651,Project_FCF!C18:J18)+Project_FCF!B18</f>
        <v>918.10020133538274</v>
      </c>
      <c r="D5651" s="4"/>
      <c r="E5651" s="4"/>
    </row>
    <row r="5652" spans="1:5" x14ac:dyDescent="0.3">
      <c r="A5652" s="9">
        <v>5644</v>
      </c>
      <c r="B5652" s="10">
        <f t="shared" ca="1" si="88"/>
        <v>9.3687704011160361E-2</v>
      </c>
      <c r="C5652" s="10">
        <f ca="1">NPV(B5652,Project_FCF!C18:J18)+Project_FCF!B18</f>
        <v>829.16744567335422</v>
      </c>
      <c r="D5652" s="4"/>
      <c r="E5652" s="4"/>
    </row>
    <row r="5653" spans="1:5" x14ac:dyDescent="0.3">
      <c r="A5653" s="9">
        <v>5645</v>
      </c>
      <c r="B5653" s="10">
        <f t="shared" ca="1" si="88"/>
        <v>7.3776400555111657E-2</v>
      </c>
      <c r="C5653" s="10">
        <f ca="1">NPV(B5653,Project_FCF!C18:J18)+Project_FCF!B18</f>
        <v>992.04009593545993</v>
      </c>
      <c r="D5653" s="4"/>
      <c r="E5653" s="4"/>
    </row>
    <row r="5654" spans="1:5" x14ac:dyDescent="0.3">
      <c r="A5654" s="9">
        <v>5646</v>
      </c>
      <c r="B5654" s="10">
        <f t="shared" ca="1" si="88"/>
        <v>9.4983437850717709E-2</v>
      </c>
      <c r="C5654" s="10">
        <f ca="1">NPV(B5654,Project_FCF!C18:J18)+Project_FCF!B18</f>
        <v>819.42790039021611</v>
      </c>
      <c r="D5654" s="4"/>
      <c r="E5654" s="4"/>
    </row>
    <row r="5655" spans="1:5" x14ac:dyDescent="0.3">
      <c r="A5655" s="9">
        <v>5647</v>
      </c>
      <c r="B5655" s="10">
        <f t="shared" ca="1" si="88"/>
        <v>8.3807709120406679E-2</v>
      </c>
      <c r="C5655" s="10">
        <f ca="1">NPV(B5655,Project_FCF!C18:J18)+Project_FCF!B18</f>
        <v>906.78067884628058</v>
      </c>
      <c r="D5655" s="4"/>
      <c r="E5655" s="4"/>
    </row>
    <row r="5656" spans="1:5" x14ac:dyDescent="0.3">
      <c r="A5656" s="9">
        <v>5648</v>
      </c>
      <c r="B5656" s="10">
        <f t="shared" ca="1" si="88"/>
        <v>8.5100582333199157E-2</v>
      </c>
      <c r="C5656" s="10">
        <f ca="1">NPV(B5656,Project_FCF!C18:J18)+Project_FCF!B18</f>
        <v>896.27760466490736</v>
      </c>
      <c r="D5656" s="4"/>
      <c r="E5656" s="4"/>
    </row>
    <row r="5657" spans="1:5" x14ac:dyDescent="0.3">
      <c r="A5657" s="9">
        <v>5649</v>
      </c>
      <c r="B5657" s="10">
        <f t="shared" ca="1" si="88"/>
        <v>6.4290440644487315E-2</v>
      </c>
      <c r="C5657" s="10">
        <f ca="1">NPV(B5657,Project_FCF!C18:J18)+Project_FCF!B18</f>
        <v>1079.2043914175445</v>
      </c>
      <c r="D5657" s="4"/>
      <c r="E5657" s="4"/>
    </row>
    <row r="5658" spans="1:5" x14ac:dyDescent="0.3">
      <c r="A5658" s="9">
        <v>5650</v>
      </c>
      <c r="B5658" s="10">
        <f t="shared" ca="1" si="88"/>
        <v>0.10321964153587015</v>
      </c>
      <c r="C5658" s="10">
        <f ca="1">NPV(B5658,Project_FCF!C18:J18)+Project_FCF!B18</f>
        <v>759.76712180579875</v>
      </c>
      <c r="D5658" s="4"/>
      <c r="E5658" s="4"/>
    </row>
    <row r="5659" spans="1:5" x14ac:dyDescent="0.3">
      <c r="A5659" s="9">
        <v>5651</v>
      </c>
      <c r="B5659" s="10">
        <f t="shared" ca="1" si="88"/>
        <v>9.5196420875850202E-2</v>
      </c>
      <c r="C5659" s="10">
        <f ca="1">NPV(B5659,Project_FCF!C18:J18)+Project_FCF!B18</f>
        <v>817.83640617837932</v>
      </c>
      <c r="D5659" s="4"/>
      <c r="E5659" s="4"/>
    </row>
    <row r="5660" spans="1:5" x14ac:dyDescent="0.3">
      <c r="A5660" s="9">
        <v>5652</v>
      </c>
      <c r="B5660" s="10">
        <f t="shared" ca="1" si="88"/>
        <v>8.9635530302463698E-2</v>
      </c>
      <c r="C5660" s="10">
        <f ca="1">NPV(B5660,Project_FCF!C18:J18)+Project_FCF!B18</f>
        <v>860.27196584914918</v>
      </c>
      <c r="D5660" s="4"/>
      <c r="E5660" s="4"/>
    </row>
    <row r="5661" spans="1:5" x14ac:dyDescent="0.3">
      <c r="A5661" s="9">
        <v>5653</v>
      </c>
      <c r="B5661" s="10">
        <f t="shared" ca="1" si="88"/>
        <v>0.10348974633038865</v>
      </c>
      <c r="C5661" s="10">
        <f ca="1">NPV(B5661,Project_FCF!C18:J18)+Project_FCF!B18</f>
        <v>757.87445934381026</v>
      </c>
      <c r="D5661" s="4"/>
      <c r="E5661" s="4"/>
    </row>
    <row r="5662" spans="1:5" x14ac:dyDescent="0.3">
      <c r="A5662" s="9">
        <v>5654</v>
      </c>
      <c r="B5662" s="10">
        <f t="shared" ca="1" si="88"/>
        <v>9.1096672461194406E-2</v>
      </c>
      <c r="C5662" s="10">
        <f ca="1">NPV(B5662,Project_FCF!C18:J18)+Project_FCF!B18</f>
        <v>848.94208722263124</v>
      </c>
      <c r="D5662" s="4"/>
      <c r="E5662" s="4"/>
    </row>
    <row r="5663" spans="1:5" x14ac:dyDescent="0.3">
      <c r="A5663" s="9">
        <v>5655</v>
      </c>
      <c r="B5663" s="10">
        <f t="shared" ca="1" si="88"/>
        <v>9.8810523186367072E-2</v>
      </c>
      <c r="C5663" s="10">
        <f ca="1">NPV(B5663,Project_FCF!C18:J18)+Project_FCF!B18</f>
        <v>791.22973975212449</v>
      </c>
      <c r="D5663" s="4"/>
      <c r="E5663" s="4"/>
    </row>
    <row r="5664" spans="1:5" x14ac:dyDescent="0.3">
      <c r="A5664" s="9">
        <v>5656</v>
      </c>
      <c r="B5664" s="10">
        <f t="shared" ca="1" si="88"/>
        <v>6.7331578282878932E-2</v>
      </c>
      <c r="C5664" s="10">
        <f ca="1">NPV(B5664,Project_FCF!C18:J18)+Project_FCF!B18</f>
        <v>1050.5326102592685</v>
      </c>
      <c r="D5664" s="4"/>
      <c r="E5664" s="4"/>
    </row>
    <row r="5665" spans="1:5" x14ac:dyDescent="0.3">
      <c r="A5665" s="9">
        <v>5657</v>
      </c>
      <c r="B5665" s="10">
        <f t="shared" ca="1" si="88"/>
        <v>0.10285412218078725</v>
      </c>
      <c r="C5665" s="10">
        <f ca="1">NPV(B5665,Project_FCF!C18:J18)+Project_FCF!B18</f>
        <v>762.33468019500697</v>
      </c>
      <c r="D5665" s="4"/>
      <c r="E5665" s="4"/>
    </row>
    <row r="5666" spans="1:5" x14ac:dyDescent="0.3">
      <c r="A5666" s="9">
        <v>5658</v>
      </c>
      <c r="B5666" s="10">
        <f t="shared" ca="1" si="88"/>
        <v>9.6379662304163671E-2</v>
      </c>
      <c r="C5666" s="10">
        <f ca="1">NPV(B5666,Project_FCF!C18:J18)+Project_FCF!B18</f>
        <v>809.04279647426802</v>
      </c>
      <c r="D5666" s="4"/>
      <c r="E5666" s="4"/>
    </row>
    <row r="5667" spans="1:5" x14ac:dyDescent="0.3">
      <c r="A5667" s="9">
        <v>5659</v>
      </c>
      <c r="B5667" s="10">
        <f t="shared" ca="1" si="88"/>
        <v>8.3261114639719511E-2</v>
      </c>
      <c r="C5667" s="10">
        <f ca="1">NPV(B5667,Project_FCF!C18:J18)+Project_FCF!B18</f>
        <v>911.25351108056066</v>
      </c>
      <c r="D5667" s="4"/>
      <c r="E5667" s="4"/>
    </row>
    <row r="5668" spans="1:5" x14ac:dyDescent="0.3">
      <c r="A5668" s="9">
        <v>5660</v>
      </c>
      <c r="B5668" s="10">
        <f t="shared" ca="1" si="88"/>
        <v>8.5446795389643115E-2</v>
      </c>
      <c r="C5668" s="10">
        <f ca="1">NPV(B5668,Project_FCF!C18:J18)+Project_FCF!B18</f>
        <v>893.48319517102277</v>
      </c>
      <c r="D5668" s="4"/>
      <c r="E5668" s="4"/>
    </row>
    <row r="5669" spans="1:5" x14ac:dyDescent="0.3">
      <c r="A5669" s="9">
        <v>5661</v>
      </c>
      <c r="B5669" s="10">
        <f t="shared" ca="1" si="88"/>
        <v>0.10125276911410824</v>
      </c>
      <c r="C5669" s="10">
        <f ca="1">NPV(B5669,Project_FCF!C18:J18)+Project_FCF!B18</f>
        <v>773.66938700370133</v>
      </c>
      <c r="D5669" s="4"/>
      <c r="E5669" s="4"/>
    </row>
    <row r="5670" spans="1:5" x14ac:dyDescent="0.3">
      <c r="A5670" s="9">
        <v>5662</v>
      </c>
      <c r="B5670" s="10">
        <f t="shared" ca="1" si="88"/>
        <v>7.6846095844181797E-2</v>
      </c>
      <c r="C5670" s="10">
        <f ca="1">NPV(B5670,Project_FCF!C18:J18)+Project_FCF!B18</f>
        <v>965.22334207650624</v>
      </c>
      <c r="D5670" s="4"/>
      <c r="E5670" s="4"/>
    </row>
    <row r="5671" spans="1:5" x14ac:dyDescent="0.3">
      <c r="A5671" s="9">
        <v>5663</v>
      </c>
      <c r="B5671" s="10">
        <f t="shared" ca="1" si="88"/>
        <v>8.6285213913283476E-2</v>
      </c>
      <c r="C5671" s="10">
        <f ca="1">NPV(B5671,Project_FCF!C18:J18)+Project_FCF!B18</f>
        <v>886.74757621969275</v>
      </c>
      <c r="D5671" s="4"/>
      <c r="E5671" s="4"/>
    </row>
    <row r="5672" spans="1:5" x14ac:dyDescent="0.3">
      <c r="A5672" s="9">
        <v>5664</v>
      </c>
      <c r="B5672" s="10">
        <f t="shared" ca="1" si="88"/>
        <v>8.688385590071436E-2</v>
      </c>
      <c r="C5672" s="10">
        <f ca="1">NPV(B5672,Project_FCF!C18:J18)+Project_FCF!B18</f>
        <v>881.96544262145608</v>
      </c>
      <c r="D5672" s="4"/>
      <c r="E5672" s="4"/>
    </row>
    <row r="5673" spans="1:5" x14ac:dyDescent="0.3">
      <c r="A5673" s="9">
        <v>5665</v>
      </c>
      <c r="B5673" s="10">
        <f t="shared" ca="1" si="88"/>
        <v>8.792144472007786E-2</v>
      </c>
      <c r="C5673" s="10">
        <f ca="1">NPV(B5673,Project_FCF!C18:J18)+Project_FCF!B18</f>
        <v>873.73012756511525</v>
      </c>
      <c r="D5673" s="4"/>
      <c r="E5673" s="4"/>
    </row>
    <row r="5674" spans="1:5" x14ac:dyDescent="0.3">
      <c r="A5674" s="9">
        <v>5666</v>
      </c>
      <c r="B5674" s="10">
        <f t="shared" ca="1" si="88"/>
        <v>6.7442011513318814E-2</v>
      </c>
      <c r="C5674" s="10">
        <f ca="1">NPV(B5674,Project_FCF!C18:J18)+Project_FCF!B18</f>
        <v>1049.5046158980638</v>
      </c>
      <c r="D5674" s="4"/>
      <c r="E5674" s="4"/>
    </row>
    <row r="5675" spans="1:5" x14ac:dyDescent="0.3">
      <c r="A5675" s="9">
        <v>5667</v>
      </c>
      <c r="B5675" s="10">
        <f t="shared" ca="1" si="88"/>
        <v>8.0272099149386197E-2</v>
      </c>
      <c r="C5675" s="10">
        <f ca="1">NPV(B5675,Project_FCF!C18:J18)+Project_FCF!B18</f>
        <v>936.05836844020337</v>
      </c>
      <c r="D5675" s="4"/>
      <c r="E5675" s="4"/>
    </row>
    <row r="5676" spans="1:5" x14ac:dyDescent="0.3">
      <c r="A5676" s="9">
        <v>5668</v>
      </c>
      <c r="B5676" s="10">
        <f t="shared" ca="1" si="88"/>
        <v>7.2365874630857779E-2</v>
      </c>
      <c r="C5676" s="10">
        <f ca="1">NPV(B5676,Project_FCF!C18:J18)+Project_FCF!B18</f>
        <v>1004.5847301023034</v>
      </c>
      <c r="D5676" s="4"/>
      <c r="E5676" s="4"/>
    </row>
    <row r="5677" spans="1:5" x14ac:dyDescent="0.3">
      <c r="A5677" s="9">
        <v>5669</v>
      </c>
      <c r="B5677" s="10">
        <f t="shared" ca="1" si="88"/>
        <v>6.9378995181793149E-2</v>
      </c>
      <c r="C5677" s="10">
        <f ca="1">NPV(B5677,Project_FCF!C18:J18)+Project_FCF!B18</f>
        <v>1031.6214680131261</v>
      </c>
      <c r="D5677" s="4"/>
      <c r="E5677" s="4"/>
    </row>
    <row r="5678" spans="1:5" x14ac:dyDescent="0.3">
      <c r="A5678" s="9">
        <v>5670</v>
      </c>
      <c r="B5678" s="10">
        <f t="shared" ca="1" si="88"/>
        <v>8.6064892918748206E-2</v>
      </c>
      <c r="C5678" s="10">
        <f ca="1">NPV(B5678,Project_FCF!C18:J18)+Project_FCF!B18</f>
        <v>888.51325890672501</v>
      </c>
      <c r="D5678" s="4"/>
      <c r="E5678" s="4"/>
    </row>
    <row r="5679" spans="1:5" x14ac:dyDescent="0.3">
      <c r="A5679" s="9">
        <v>5671</v>
      </c>
      <c r="B5679" s="10">
        <f t="shared" ca="1" si="88"/>
        <v>9.2247682380000751E-2</v>
      </c>
      <c r="C5679" s="10">
        <f ca="1">NPV(B5679,Project_FCF!C18:J18)+Project_FCF!B18</f>
        <v>840.10804580715444</v>
      </c>
      <c r="D5679" s="4"/>
      <c r="E5679" s="4"/>
    </row>
    <row r="5680" spans="1:5" x14ac:dyDescent="0.3">
      <c r="A5680" s="9">
        <v>5672</v>
      </c>
      <c r="B5680" s="10">
        <f t="shared" ca="1" si="88"/>
        <v>7.0777881965684603E-2</v>
      </c>
      <c r="C5680" s="10">
        <f ca="1">NPV(B5680,Project_FCF!C18:J18)+Project_FCF!B18</f>
        <v>1018.8783056450163</v>
      </c>
      <c r="D5680" s="4"/>
      <c r="E5680" s="4"/>
    </row>
    <row r="5681" spans="1:5" x14ac:dyDescent="0.3">
      <c r="A5681" s="9">
        <v>5673</v>
      </c>
      <c r="B5681" s="10">
        <f t="shared" ca="1" si="88"/>
        <v>8.9721049167359901E-2</v>
      </c>
      <c r="C5681" s="10">
        <f ca="1">NPV(B5681,Project_FCF!C18:J18)+Project_FCF!B18</f>
        <v>859.60525310699154</v>
      </c>
      <c r="D5681" s="4"/>
      <c r="E5681" s="4"/>
    </row>
    <row r="5682" spans="1:5" x14ac:dyDescent="0.3">
      <c r="A5682" s="9">
        <v>5674</v>
      </c>
      <c r="B5682" s="10">
        <f t="shared" ca="1" si="88"/>
        <v>9.5275857461011734E-2</v>
      </c>
      <c r="C5682" s="10">
        <f ca="1">NPV(B5682,Project_FCF!C18:J18)+Project_FCF!B18</f>
        <v>817.24350200616641</v>
      </c>
      <c r="D5682" s="4"/>
      <c r="E5682" s="4"/>
    </row>
    <row r="5683" spans="1:5" x14ac:dyDescent="0.3">
      <c r="A5683" s="9">
        <v>5675</v>
      </c>
      <c r="B5683" s="10">
        <f t="shared" ca="1" si="88"/>
        <v>6.7033644547410731E-2</v>
      </c>
      <c r="C5683" s="10">
        <f ca="1">NPV(B5683,Project_FCF!C18:J18)+Project_FCF!B18</f>
        <v>1053.3105629915115</v>
      </c>
      <c r="D5683" s="4"/>
      <c r="E5683" s="4"/>
    </row>
    <row r="5684" spans="1:5" x14ac:dyDescent="0.3">
      <c r="A5684" s="9">
        <v>5676</v>
      </c>
      <c r="B5684" s="10">
        <f t="shared" ca="1" si="88"/>
        <v>9.5305751211900283E-2</v>
      </c>
      <c r="C5684" s="10">
        <f ca="1">NPV(B5684,Project_FCF!C18:J18)+Project_FCF!B18</f>
        <v>817.02047426376316</v>
      </c>
      <c r="D5684" s="4"/>
      <c r="E5684" s="4"/>
    </row>
    <row r="5685" spans="1:5" x14ac:dyDescent="0.3">
      <c r="A5685" s="9">
        <v>5677</v>
      </c>
      <c r="B5685" s="10">
        <f t="shared" ca="1" si="88"/>
        <v>9.2205359349720434E-2</v>
      </c>
      <c r="C5685" s="10">
        <f ca="1">NPV(B5685,Project_FCF!C18:J18)+Project_FCF!B18</f>
        <v>840.43146666621828</v>
      </c>
      <c r="D5685" s="4"/>
      <c r="E5685" s="4"/>
    </row>
    <row r="5686" spans="1:5" x14ac:dyDescent="0.3">
      <c r="A5686" s="9">
        <v>5678</v>
      </c>
      <c r="B5686" s="10">
        <f t="shared" ca="1" si="88"/>
        <v>8.8132153573808603E-2</v>
      </c>
      <c r="C5686" s="10">
        <f ca="1">NPV(B5686,Project_FCF!C18:J18)+Project_FCF!B18</f>
        <v>872.06594284037283</v>
      </c>
      <c r="D5686" s="4"/>
      <c r="E5686" s="4"/>
    </row>
    <row r="5687" spans="1:5" x14ac:dyDescent="0.3">
      <c r="A5687" s="9">
        <v>5679</v>
      </c>
      <c r="B5687" s="10">
        <f t="shared" ca="1" si="88"/>
        <v>7.2024484997044516E-2</v>
      </c>
      <c r="C5687" s="10">
        <f ca="1">NPV(B5687,Project_FCF!C18:J18)+Project_FCF!B18</f>
        <v>1007.6422586976664</v>
      </c>
      <c r="D5687" s="4"/>
      <c r="E5687" s="4"/>
    </row>
    <row r="5688" spans="1:5" x14ac:dyDescent="0.3">
      <c r="A5688" s="9">
        <v>5680</v>
      </c>
      <c r="B5688" s="10">
        <f t="shared" ca="1" si="88"/>
        <v>0.10112616017216539</v>
      </c>
      <c r="C5688" s="10">
        <f ca="1">NPV(B5688,Project_FCF!C18:J18)+Project_FCF!B18</f>
        <v>774.57157171811718</v>
      </c>
      <c r="D5688" s="4"/>
      <c r="E5688" s="4"/>
    </row>
    <row r="5689" spans="1:5" x14ac:dyDescent="0.3">
      <c r="A5689" s="9">
        <v>5681</v>
      </c>
      <c r="B5689" s="10">
        <f t="shared" ca="1" si="88"/>
        <v>6.7571538493101033E-2</v>
      </c>
      <c r="C5689" s="10">
        <f ca="1">NPV(B5689,Project_FCF!C18:J18)+Project_FCF!B18</f>
        <v>1048.3000469691247</v>
      </c>
      <c r="D5689" s="4"/>
      <c r="E5689" s="4"/>
    </row>
    <row r="5690" spans="1:5" x14ac:dyDescent="0.3">
      <c r="A5690" s="9">
        <v>5682</v>
      </c>
      <c r="B5690" s="10">
        <f t="shared" ca="1" si="88"/>
        <v>9.6337043120855004E-2</v>
      </c>
      <c r="C5690" s="10">
        <f ca="1">NPV(B5690,Project_FCF!C18:J18)+Project_FCF!B18</f>
        <v>809.35812557517602</v>
      </c>
      <c r="D5690" s="4"/>
      <c r="E5690" s="4"/>
    </row>
    <row r="5691" spans="1:5" x14ac:dyDescent="0.3">
      <c r="A5691" s="9">
        <v>5683</v>
      </c>
      <c r="B5691" s="10">
        <f t="shared" ca="1" si="88"/>
        <v>9.1919280984226581E-2</v>
      </c>
      <c r="C5691" s="10">
        <f ca="1">NPV(B5691,Project_FCF!C18:J18)+Project_FCF!B18</f>
        <v>842.62041412585222</v>
      </c>
      <c r="D5691" s="4"/>
      <c r="E5691" s="4"/>
    </row>
    <row r="5692" spans="1:5" x14ac:dyDescent="0.3">
      <c r="A5692" s="9">
        <v>5684</v>
      </c>
      <c r="B5692" s="10">
        <f t="shared" ca="1" si="88"/>
        <v>7.4941659594966015E-2</v>
      </c>
      <c r="C5692" s="10">
        <f ca="1">NPV(B5692,Project_FCF!C18:J18)+Project_FCF!B18</f>
        <v>981.78296718928186</v>
      </c>
      <c r="D5692" s="4"/>
      <c r="E5692" s="4"/>
    </row>
    <row r="5693" spans="1:5" x14ac:dyDescent="0.3">
      <c r="A5693" s="9">
        <v>5685</v>
      </c>
      <c r="B5693" s="10">
        <f t="shared" ca="1" si="88"/>
        <v>6.8358767295610412E-2</v>
      </c>
      <c r="C5693" s="10">
        <f ca="1">NPV(B5693,Project_FCF!C18:J18)+Project_FCF!B18</f>
        <v>1041.0059614040331</v>
      </c>
      <c r="D5693" s="4"/>
      <c r="E5693" s="4"/>
    </row>
    <row r="5694" spans="1:5" x14ac:dyDescent="0.3">
      <c r="A5694" s="9">
        <v>5686</v>
      </c>
      <c r="B5694" s="10">
        <f t="shared" ca="1" si="88"/>
        <v>7.2174046191389229E-2</v>
      </c>
      <c r="C5694" s="10">
        <f ca="1">NPV(B5694,Project_FCF!C18:J18)+Project_FCF!B18</f>
        <v>1006.3017406295476</v>
      </c>
      <c r="D5694" s="4"/>
      <c r="E5694" s="4"/>
    </row>
    <row r="5695" spans="1:5" x14ac:dyDescent="0.3">
      <c r="A5695" s="9">
        <v>5687</v>
      </c>
      <c r="B5695" s="10">
        <f t="shared" ca="1" si="88"/>
        <v>6.7289545787407992E-2</v>
      </c>
      <c r="C5695" s="10">
        <f ca="1">NPV(B5695,Project_FCF!C18:J18)+Project_FCF!B18</f>
        <v>1050.9241201294278</v>
      </c>
      <c r="D5695" s="4"/>
      <c r="E5695" s="4"/>
    </row>
    <row r="5696" spans="1:5" x14ac:dyDescent="0.3">
      <c r="A5696" s="9">
        <v>5688</v>
      </c>
      <c r="B5696" s="10">
        <f t="shared" ca="1" si="88"/>
        <v>0.10242898530979583</v>
      </c>
      <c r="C5696" s="10">
        <f ca="1">NPV(B5696,Project_FCF!C18:J18)+Project_FCF!B18</f>
        <v>765.33017814179107</v>
      </c>
      <c r="D5696" s="4"/>
      <c r="E5696" s="4"/>
    </row>
    <row r="5697" spans="1:5" x14ac:dyDescent="0.3">
      <c r="A5697" s="9">
        <v>5689</v>
      </c>
      <c r="B5697" s="10">
        <f t="shared" ca="1" si="88"/>
        <v>0.10143918053588126</v>
      </c>
      <c r="C5697" s="10">
        <f ca="1">NPV(B5697,Project_FCF!C18:J18)+Project_FCF!B18</f>
        <v>772.34267673937779</v>
      </c>
      <c r="D5697" s="4"/>
      <c r="E5697" s="4"/>
    </row>
    <row r="5698" spans="1:5" x14ac:dyDescent="0.3">
      <c r="A5698" s="9">
        <v>5690</v>
      </c>
      <c r="B5698" s="10">
        <f t="shared" ca="1" si="88"/>
        <v>6.940983840746498E-2</v>
      </c>
      <c r="C5698" s="10">
        <f ca="1">NPV(B5698,Project_FCF!C18:J18)+Project_FCF!B18</f>
        <v>1031.3389554605778</v>
      </c>
      <c r="D5698" s="4"/>
      <c r="E5698" s="4"/>
    </row>
    <row r="5699" spans="1:5" x14ac:dyDescent="0.3">
      <c r="A5699" s="9">
        <v>5691</v>
      </c>
      <c r="B5699" s="10">
        <f t="shared" ca="1" si="88"/>
        <v>8.6622904205982815E-2</v>
      </c>
      <c r="C5699" s="10">
        <f ca="1">NPV(B5699,Project_FCF!C18:J18)+Project_FCF!B18</f>
        <v>884.04722869481066</v>
      </c>
      <c r="D5699" s="4"/>
      <c r="E5699" s="4"/>
    </row>
    <row r="5700" spans="1:5" x14ac:dyDescent="0.3">
      <c r="A5700" s="9">
        <v>5692</v>
      </c>
      <c r="B5700" s="10">
        <f t="shared" ca="1" si="88"/>
        <v>7.2443455359474426E-2</v>
      </c>
      <c r="C5700" s="10">
        <f ca="1">NPV(B5700,Project_FCF!C18:J18)+Project_FCF!B18</f>
        <v>1003.8910723347421</v>
      </c>
      <c r="D5700" s="4"/>
      <c r="E5700" s="4"/>
    </row>
    <row r="5701" spans="1:5" x14ac:dyDescent="0.3">
      <c r="A5701" s="9">
        <v>5693</v>
      </c>
      <c r="B5701" s="10">
        <f t="shared" ca="1" si="88"/>
        <v>8.9904999935402047E-2</v>
      </c>
      <c r="C5701" s="10">
        <f ca="1">NPV(B5701,Project_FCF!C18:J18)+Project_FCF!B18</f>
        <v>858.17267395287013</v>
      </c>
      <c r="D5701" s="4"/>
      <c r="E5701" s="4"/>
    </row>
    <row r="5702" spans="1:5" x14ac:dyDescent="0.3">
      <c r="A5702" s="9">
        <v>5694</v>
      </c>
      <c r="B5702" s="10">
        <f t="shared" ca="1" si="88"/>
        <v>8.0399463351101041E-2</v>
      </c>
      <c r="C5702" s="10">
        <f ca="1">NPV(B5702,Project_FCF!C18:J18)+Project_FCF!B18</f>
        <v>934.98937747194145</v>
      </c>
      <c r="D5702" s="4"/>
      <c r="E5702" s="4"/>
    </row>
    <row r="5703" spans="1:5" x14ac:dyDescent="0.3">
      <c r="A5703" s="9">
        <v>5695</v>
      </c>
      <c r="B5703" s="10">
        <f t="shared" ca="1" si="88"/>
        <v>7.4513943721628909E-2</v>
      </c>
      <c r="C5703" s="10">
        <f ca="1">NPV(B5703,Project_FCF!C18:J18)+Project_FCF!B18</f>
        <v>985.53682300863375</v>
      </c>
      <c r="D5703" s="4"/>
      <c r="E5703" s="4"/>
    </row>
    <row r="5704" spans="1:5" x14ac:dyDescent="0.3">
      <c r="A5704" s="9">
        <v>5696</v>
      </c>
      <c r="B5704" s="10">
        <f t="shared" ca="1" si="88"/>
        <v>6.9601260369267573E-2</v>
      </c>
      <c r="C5704" s="10">
        <f ca="1">NPV(B5704,Project_FCF!C18:J18)+Project_FCF!B18</f>
        <v>1029.5871655898559</v>
      </c>
      <c r="D5704" s="4"/>
      <c r="E5704" s="4"/>
    </row>
    <row r="5705" spans="1:5" x14ac:dyDescent="0.3">
      <c r="A5705" s="9">
        <v>5697</v>
      </c>
      <c r="B5705" s="10">
        <f t="shared" ref="B5705:B5768" ca="1" si="89">$B$4+RAND()*($B$5-$B$4)</f>
        <v>9.4333516367446441E-2</v>
      </c>
      <c r="C5705" s="10">
        <f ca="1">NPV(B5705,Project_FCF!C18:J18)+Project_FCF!B18</f>
        <v>824.30078126437638</v>
      </c>
      <c r="D5705" s="4"/>
      <c r="E5705" s="4"/>
    </row>
    <row r="5706" spans="1:5" x14ac:dyDescent="0.3">
      <c r="A5706" s="9">
        <v>5698</v>
      </c>
      <c r="B5706" s="10">
        <f t="shared" ca="1" si="89"/>
        <v>6.9523500263216076E-2</v>
      </c>
      <c r="C5706" s="10">
        <f ca="1">NPV(B5706,Project_FCF!C18:J18)+Project_FCF!B18</f>
        <v>1030.2984589897449</v>
      </c>
      <c r="D5706" s="4"/>
      <c r="E5706" s="4"/>
    </row>
    <row r="5707" spans="1:5" x14ac:dyDescent="0.3">
      <c r="A5707" s="9">
        <v>5699</v>
      </c>
      <c r="B5707" s="10">
        <f t="shared" ca="1" si="89"/>
        <v>9.2944791945142713E-2</v>
      </c>
      <c r="C5707" s="10">
        <f ca="1">NPV(B5707,Project_FCF!C18:J18)+Project_FCF!B18</f>
        <v>834.79633096294833</v>
      </c>
      <c r="D5707" s="4"/>
      <c r="E5707" s="4"/>
    </row>
    <row r="5708" spans="1:5" x14ac:dyDescent="0.3">
      <c r="A5708" s="9">
        <v>5700</v>
      </c>
      <c r="B5708" s="10">
        <f t="shared" ca="1" si="89"/>
        <v>6.7805230359027954E-2</v>
      </c>
      <c r="C5708" s="10">
        <f ca="1">NPV(B5708,Project_FCF!C18:J18)+Project_FCF!B18</f>
        <v>1046.1299451051573</v>
      </c>
      <c r="D5708" s="4"/>
      <c r="E5708" s="4"/>
    </row>
    <row r="5709" spans="1:5" x14ac:dyDescent="0.3">
      <c r="A5709" s="9">
        <v>5701</v>
      </c>
      <c r="B5709" s="10">
        <f t="shared" ca="1" si="89"/>
        <v>0.10189871478236312</v>
      </c>
      <c r="C5709" s="10">
        <f ca="1">NPV(B5709,Project_FCF!C18:J18)+Project_FCF!B18</f>
        <v>769.0803058659676</v>
      </c>
      <c r="D5709" s="4"/>
      <c r="E5709" s="4"/>
    </row>
    <row r="5710" spans="1:5" x14ac:dyDescent="0.3">
      <c r="A5710" s="9">
        <v>5702</v>
      </c>
      <c r="B5710" s="10">
        <f t="shared" ca="1" si="89"/>
        <v>0.10111427122868814</v>
      </c>
      <c r="C5710" s="10">
        <f ca="1">NPV(B5710,Project_FCF!C18:J18)+Project_FCF!B18</f>
        <v>774.65633500105946</v>
      </c>
      <c r="D5710" s="4"/>
      <c r="E5710" s="4"/>
    </row>
    <row r="5711" spans="1:5" x14ac:dyDescent="0.3">
      <c r="A5711" s="9">
        <v>5703</v>
      </c>
      <c r="B5711" s="10">
        <f t="shared" ca="1" si="89"/>
        <v>9.8677235298930369E-2</v>
      </c>
      <c r="C5711" s="10">
        <f ca="1">NPV(B5711,Project_FCF!C18:J18)+Project_FCF!B18</f>
        <v>792.19774238127434</v>
      </c>
      <c r="D5711" s="4"/>
      <c r="E5711" s="4"/>
    </row>
    <row r="5712" spans="1:5" x14ac:dyDescent="0.3">
      <c r="A5712" s="9">
        <v>5704</v>
      </c>
      <c r="B5712" s="10">
        <f t="shared" ca="1" si="89"/>
        <v>6.6821411882982365E-2</v>
      </c>
      <c r="C5712" s="10">
        <f ca="1">NPV(B5712,Project_FCF!C18:J18)+Project_FCF!B18</f>
        <v>1055.2935035278565</v>
      </c>
      <c r="D5712" s="4"/>
      <c r="E5712" s="4"/>
    </row>
    <row r="5713" spans="1:5" x14ac:dyDescent="0.3">
      <c r="A5713" s="9">
        <v>5705</v>
      </c>
      <c r="B5713" s="10">
        <f t="shared" ca="1" si="89"/>
        <v>6.7088402549756801E-2</v>
      </c>
      <c r="C5713" s="10">
        <f ca="1">NPV(B5713,Project_FCF!C18:J18)+Project_FCF!B18</f>
        <v>1052.7994958383752</v>
      </c>
      <c r="D5713" s="4"/>
      <c r="E5713" s="4"/>
    </row>
    <row r="5714" spans="1:5" x14ac:dyDescent="0.3">
      <c r="A5714" s="9">
        <v>5706</v>
      </c>
      <c r="B5714" s="10">
        <f t="shared" ca="1" si="89"/>
        <v>9.10323103211607E-2</v>
      </c>
      <c r="C5714" s="10">
        <f ca="1">NPV(B5714,Project_FCF!C18:J18)+Project_FCF!B18</f>
        <v>849.43842748791235</v>
      </c>
      <c r="D5714" s="4"/>
      <c r="E5714" s="4"/>
    </row>
    <row r="5715" spans="1:5" x14ac:dyDescent="0.3">
      <c r="A5715" s="9">
        <v>5707</v>
      </c>
      <c r="B5715" s="10">
        <f t="shared" ca="1" si="89"/>
        <v>7.5345627903255968E-2</v>
      </c>
      <c r="C5715" s="10">
        <f ca="1">NPV(B5715,Project_FCF!C18:J18)+Project_FCF!B18</f>
        <v>978.24928719207423</v>
      </c>
      <c r="D5715" s="4"/>
      <c r="E5715" s="4"/>
    </row>
    <row r="5716" spans="1:5" x14ac:dyDescent="0.3">
      <c r="A5716" s="9">
        <v>5708</v>
      </c>
      <c r="B5716" s="10">
        <f t="shared" ca="1" si="89"/>
        <v>7.6159096265710005E-2</v>
      </c>
      <c r="C5716" s="10">
        <f ca="1">NPV(B5716,Project_FCF!C18:J18)+Project_FCF!B18</f>
        <v>971.16801654308529</v>
      </c>
      <c r="D5716" s="4"/>
      <c r="E5716" s="4"/>
    </row>
    <row r="5717" spans="1:5" x14ac:dyDescent="0.3">
      <c r="A5717" s="9">
        <v>5709</v>
      </c>
      <c r="B5717" s="10">
        <f t="shared" ca="1" si="89"/>
        <v>8.1861138133148589E-2</v>
      </c>
      <c r="C5717" s="10">
        <f ca="1">NPV(B5717,Project_FCF!C18:J18)+Project_FCF!B18</f>
        <v>922.79830666223575</v>
      </c>
      <c r="D5717" s="4"/>
      <c r="E5717" s="4"/>
    </row>
    <row r="5718" spans="1:5" x14ac:dyDescent="0.3">
      <c r="A5718" s="9">
        <v>5710</v>
      </c>
      <c r="B5718" s="10">
        <f t="shared" ca="1" si="89"/>
        <v>9.4752499052122061E-2</v>
      </c>
      <c r="C5718" s="10">
        <f ca="1">NPV(B5718,Project_FCF!C18:J18)+Project_FCF!B18</f>
        <v>821.15656299516354</v>
      </c>
      <c r="D5718" s="4"/>
      <c r="E5718" s="4"/>
    </row>
    <row r="5719" spans="1:5" x14ac:dyDescent="0.3">
      <c r="A5719" s="9">
        <v>5711</v>
      </c>
      <c r="B5719" s="10">
        <f t="shared" ca="1" si="89"/>
        <v>8.4014702783106354E-2</v>
      </c>
      <c r="C5719" s="10">
        <f ca="1">NPV(B5719,Project_FCF!C18:J18)+Project_FCF!B18</f>
        <v>905.09187315611962</v>
      </c>
      <c r="D5719" s="4"/>
      <c r="E5719" s="4"/>
    </row>
    <row r="5720" spans="1:5" x14ac:dyDescent="0.3">
      <c r="A5720" s="9">
        <v>5712</v>
      </c>
      <c r="B5720" s="10">
        <f t="shared" ca="1" si="89"/>
        <v>8.4370182260773086E-2</v>
      </c>
      <c r="C5720" s="10">
        <f ca="1">NPV(B5720,Project_FCF!C18:J18)+Project_FCF!B18</f>
        <v>902.1980533380322</v>
      </c>
      <c r="D5720" s="4"/>
      <c r="E5720" s="4"/>
    </row>
    <row r="5721" spans="1:5" x14ac:dyDescent="0.3">
      <c r="A5721" s="9">
        <v>5713</v>
      </c>
      <c r="B5721" s="10">
        <f t="shared" ca="1" si="89"/>
        <v>9.1244946841399652E-2</v>
      </c>
      <c r="C5721" s="10">
        <f ca="1">NPV(B5721,Project_FCF!C18:J18)+Project_FCF!B18</f>
        <v>847.79959604315968</v>
      </c>
      <c r="D5721" s="4"/>
      <c r="E5721" s="4"/>
    </row>
    <row r="5722" spans="1:5" x14ac:dyDescent="0.3">
      <c r="A5722" s="9">
        <v>5714</v>
      </c>
      <c r="B5722" s="10">
        <f t="shared" ca="1" si="89"/>
        <v>7.4563205888833445E-2</v>
      </c>
      <c r="C5722" s="10">
        <f ca="1">NPV(B5722,Project_FCF!C18:J18)+Project_FCF!B18</f>
        <v>985.10381890548501</v>
      </c>
      <c r="D5722" s="4"/>
      <c r="E5722" s="4"/>
    </row>
    <row r="5723" spans="1:5" x14ac:dyDescent="0.3">
      <c r="A5723" s="9">
        <v>5715</v>
      </c>
      <c r="B5723" s="10">
        <f t="shared" ca="1" si="89"/>
        <v>7.3876225283216052E-2</v>
      </c>
      <c r="C5723" s="10">
        <f ca="1">NPV(B5723,Project_FCF!C18:J18)+Project_FCF!B18</f>
        <v>991.1576481416721</v>
      </c>
      <c r="D5723" s="4"/>
      <c r="E5723" s="4"/>
    </row>
    <row r="5724" spans="1:5" x14ac:dyDescent="0.3">
      <c r="A5724" s="9">
        <v>5716</v>
      </c>
      <c r="B5724" s="10">
        <f t="shared" ca="1" si="89"/>
        <v>9.5283305581312122E-2</v>
      </c>
      <c r="C5724" s="10">
        <f ca="1">NPV(B5724,Project_FCF!C18:J18)+Project_FCF!B18</f>
        <v>817.18792908419368</v>
      </c>
      <c r="D5724" s="4"/>
      <c r="E5724" s="4"/>
    </row>
    <row r="5725" spans="1:5" x14ac:dyDescent="0.3">
      <c r="A5725" s="9">
        <v>5717</v>
      </c>
      <c r="B5725" s="10">
        <f t="shared" ca="1" si="89"/>
        <v>7.9811107044118562E-2</v>
      </c>
      <c r="C5725" s="10">
        <f ca="1">NPV(B5725,Project_FCF!C18:J18)+Project_FCF!B18</f>
        <v>939.93661024405583</v>
      </c>
      <c r="D5725" s="4"/>
      <c r="E5725" s="4"/>
    </row>
    <row r="5726" spans="1:5" x14ac:dyDescent="0.3">
      <c r="A5726" s="9">
        <v>5718</v>
      </c>
      <c r="B5726" s="10">
        <f t="shared" ca="1" si="89"/>
        <v>0.10158016879854051</v>
      </c>
      <c r="C5726" s="10">
        <f ca="1">NPV(B5726,Project_FCF!C18:J18)+Project_FCF!B18</f>
        <v>771.34052188540727</v>
      </c>
      <c r="D5726" s="4"/>
      <c r="E5726" s="4"/>
    </row>
    <row r="5727" spans="1:5" x14ac:dyDescent="0.3">
      <c r="A5727" s="9">
        <v>5719</v>
      </c>
      <c r="B5727" s="10">
        <f t="shared" ca="1" si="89"/>
        <v>6.8855202768190252E-2</v>
      </c>
      <c r="C5727" s="10">
        <f ca="1">NPV(B5727,Project_FCF!C18:J18)+Project_FCF!B18</f>
        <v>1036.4299205099069</v>
      </c>
      <c r="D5727" s="4"/>
      <c r="E5727" s="4"/>
    </row>
    <row r="5728" spans="1:5" x14ac:dyDescent="0.3">
      <c r="A5728" s="9">
        <v>5720</v>
      </c>
      <c r="B5728" s="10">
        <f t="shared" ca="1" si="89"/>
        <v>7.088749027224106E-2</v>
      </c>
      <c r="C5728" s="10">
        <f ca="1">NPV(B5728,Project_FCF!C18:J18)+Project_FCF!B18</f>
        <v>1017.885859942935</v>
      </c>
      <c r="D5728" s="4"/>
      <c r="E5728" s="4"/>
    </row>
    <row r="5729" spans="1:5" x14ac:dyDescent="0.3">
      <c r="A5729" s="9">
        <v>5721</v>
      </c>
      <c r="B5729" s="10">
        <f t="shared" ca="1" si="89"/>
        <v>7.8083294377399221E-2</v>
      </c>
      <c r="C5729" s="10">
        <f ca="1">NPV(B5729,Project_FCF!C18:J18)+Project_FCF!B18</f>
        <v>954.5994669219026</v>
      </c>
      <c r="D5729" s="4"/>
      <c r="E5729" s="4"/>
    </row>
    <row r="5730" spans="1:5" x14ac:dyDescent="0.3">
      <c r="A5730" s="9">
        <v>5722</v>
      </c>
      <c r="B5730" s="10">
        <f t="shared" ca="1" si="89"/>
        <v>8.5991320476161787E-2</v>
      </c>
      <c r="C5730" s="10">
        <f ca="1">NPV(B5730,Project_FCF!C18:J18)+Project_FCF!B18</f>
        <v>889.10356246256902</v>
      </c>
      <c r="D5730" s="4"/>
      <c r="E5730" s="4"/>
    </row>
    <row r="5731" spans="1:5" x14ac:dyDescent="0.3">
      <c r="A5731" s="9">
        <v>5723</v>
      </c>
      <c r="B5731" s="10">
        <f t="shared" ca="1" si="89"/>
        <v>9.739504095904486E-2</v>
      </c>
      <c r="C5731" s="10">
        <f ca="1">NPV(B5731,Project_FCF!C18:J18)+Project_FCF!B18</f>
        <v>801.56116671012501</v>
      </c>
      <c r="D5731" s="4"/>
      <c r="E5731" s="4"/>
    </row>
    <row r="5732" spans="1:5" x14ac:dyDescent="0.3">
      <c r="A5732" s="9">
        <v>5724</v>
      </c>
      <c r="B5732" s="10">
        <f t="shared" ca="1" si="89"/>
        <v>9.372286000575486E-2</v>
      </c>
      <c r="C5732" s="10">
        <f ca="1">NPV(B5732,Project_FCF!C18:J18)+Project_FCF!B18</f>
        <v>828.90188647863806</v>
      </c>
      <c r="D5732" s="4"/>
      <c r="E5732" s="4"/>
    </row>
    <row r="5733" spans="1:5" x14ac:dyDescent="0.3">
      <c r="A5733" s="9">
        <v>5725</v>
      </c>
      <c r="B5733" s="10">
        <f t="shared" ca="1" si="89"/>
        <v>6.5132844980541241E-2</v>
      </c>
      <c r="C5733" s="10">
        <f ca="1">NPV(B5733,Project_FCF!C18:J18)+Project_FCF!B18</f>
        <v>1071.1916482394133</v>
      </c>
      <c r="D5733" s="4"/>
      <c r="E5733" s="4"/>
    </row>
    <row r="5734" spans="1:5" x14ac:dyDescent="0.3">
      <c r="A5734" s="9">
        <v>5726</v>
      </c>
      <c r="B5734" s="10">
        <f t="shared" ca="1" si="89"/>
        <v>0.10384770095372627</v>
      </c>
      <c r="C5734" s="10">
        <f ca="1">NPV(B5734,Project_FCF!C18:J18)+Project_FCF!B18</f>
        <v>755.3723112946268</v>
      </c>
      <c r="D5734" s="4"/>
      <c r="E5734" s="4"/>
    </row>
    <row r="5735" spans="1:5" x14ac:dyDescent="0.3">
      <c r="A5735" s="9">
        <v>5727</v>
      </c>
      <c r="B5735" s="10">
        <f t="shared" ca="1" si="89"/>
        <v>7.4735357899544816E-2</v>
      </c>
      <c r="C5735" s="10">
        <f ca="1">NPV(B5735,Project_FCF!C18:J18)+Project_FCF!B18</f>
        <v>983.59197649897214</v>
      </c>
      <c r="D5735" s="4"/>
      <c r="E5735" s="4"/>
    </row>
    <row r="5736" spans="1:5" x14ac:dyDescent="0.3">
      <c r="A5736" s="9">
        <v>5728</v>
      </c>
      <c r="B5736" s="10">
        <f t="shared" ca="1" si="89"/>
        <v>8.9017324246557922E-2</v>
      </c>
      <c r="C5736" s="10">
        <f ca="1">NPV(B5736,Project_FCF!C18:J18)+Project_FCF!B18</f>
        <v>865.10490977165136</v>
      </c>
      <c r="D5736" s="4"/>
      <c r="E5736" s="4"/>
    </row>
    <row r="5737" spans="1:5" x14ac:dyDescent="0.3">
      <c r="A5737" s="9">
        <v>5729</v>
      </c>
      <c r="B5737" s="10">
        <f t="shared" ca="1" si="89"/>
        <v>7.5440813329469711E-2</v>
      </c>
      <c r="C5737" s="10">
        <f ca="1">NPV(B5737,Project_FCF!C18:J18)+Project_FCF!B18</f>
        <v>977.41831807787048</v>
      </c>
      <c r="D5737" s="4"/>
      <c r="E5737" s="4"/>
    </row>
    <row r="5738" spans="1:5" x14ac:dyDescent="0.3">
      <c r="A5738" s="9">
        <v>5730</v>
      </c>
      <c r="B5738" s="10">
        <f t="shared" ca="1" si="89"/>
        <v>8.2296079010966236E-2</v>
      </c>
      <c r="C5738" s="10">
        <f ca="1">NPV(B5738,Project_FCF!C18:J18)+Project_FCF!B18</f>
        <v>919.19788333652468</v>
      </c>
      <c r="D5738" s="4"/>
      <c r="E5738" s="4"/>
    </row>
    <row r="5739" spans="1:5" x14ac:dyDescent="0.3">
      <c r="A5739" s="9">
        <v>5731</v>
      </c>
      <c r="B5739" s="10">
        <f t="shared" ca="1" si="89"/>
        <v>9.0950219413086605E-2</v>
      </c>
      <c r="C5739" s="10">
        <f ca="1">NPV(B5739,Project_FCF!C18:J18)+Project_FCF!B18</f>
        <v>850.07185024890123</v>
      </c>
      <c r="D5739" s="4"/>
      <c r="E5739" s="4"/>
    </row>
    <row r="5740" spans="1:5" x14ac:dyDescent="0.3">
      <c r="A5740" s="9">
        <v>5732</v>
      </c>
      <c r="B5740" s="10">
        <f t="shared" ca="1" si="89"/>
        <v>7.8449225720315277E-2</v>
      </c>
      <c r="C5740" s="10">
        <f ca="1">NPV(B5740,Project_FCF!C18:J18)+Project_FCF!B18</f>
        <v>951.47719927770436</v>
      </c>
      <c r="D5740" s="4"/>
      <c r="E5740" s="4"/>
    </row>
    <row r="5741" spans="1:5" x14ac:dyDescent="0.3">
      <c r="A5741" s="9">
        <v>5733</v>
      </c>
      <c r="B5741" s="10">
        <f t="shared" ca="1" si="89"/>
        <v>9.9180363582167363E-2</v>
      </c>
      <c r="C5741" s="10">
        <f ca="1">NPV(B5741,Project_FCF!C18:J18)+Project_FCF!B18</f>
        <v>788.54902739730437</v>
      </c>
      <c r="D5741" s="4"/>
      <c r="E5741" s="4"/>
    </row>
    <row r="5742" spans="1:5" x14ac:dyDescent="0.3">
      <c r="A5742" s="9">
        <v>5734</v>
      </c>
      <c r="B5742" s="10">
        <f t="shared" ca="1" si="89"/>
        <v>8.116956767835061E-2</v>
      </c>
      <c r="C5742" s="10">
        <f ca="1">NPV(B5742,Project_FCF!C18:J18)+Project_FCF!B18</f>
        <v>928.54872123091263</v>
      </c>
      <c r="D5742" s="4"/>
      <c r="E5742" s="4"/>
    </row>
    <row r="5743" spans="1:5" x14ac:dyDescent="0.3">
      <c r="A5743" s="9">
        <v>5735</v>
      </c>
      <c r="B5743" s="10">
        <f t="shared" ca="1" si="89"/>
        <v>8.3460925444904785E-2</v>
      </c>
      <c r="C5743" s="10">
        <f ca="1">NPV(B5743,Project_FCF!C18:J18)+Project_FCF!B18</f>
        <v>909.61619760700751</v>
      </c>
      <c r="D5743" s="4"/>
      <c r="E5743" s="4"/>
    </row>
    <row r="5744" spans="1:5" x14ac:dyDescent="0.3">
      <c r="A5744" s="9">
        <v>5736</v>
      </c>
      <c r="B5744" s="10">
        <f t="shared" ca="1" si="89"/>
        <v>0.10067223811891121</v>
      </c>
      <c r="C5744" s="10">
        <f ca="1">NPV(B5744,Project_FCF!C18:J18)+Project_FCF!B18</f>
        <v>777.81340904417584</v>
      </c>
      <c r="D5744" s="4"/>
      <c r="E5744" s="4"/>
    </row>
    <row r="5745" spans="1:5" x14ac:dyDescent="0.3">
      <c r="A5745" s="9">
        <v>5737</v>
      </c>
      <c r="B5745" s="10">
        <f t="shared" ca="1" si="89"/>
        <v>9.7926985837205688E-2</v>
      </c>
      <c r="C5745" s="10">
        <f ca="1">NPV(B5745,Project_FCF!C18:J18)+Project_FCF!B18</f>
        <v>797.66520331059223</v>
      </c>
      <c r="D5745" s="4"/>
      <c r="E5745" s="4"/>
    </row>
    <row r="5746" spans="1:5" x14ac:dyDescent="0.3">
      <c r="A5746" s="9">
        <v>5738</v>
      </c>
      <c r="B5746" s="10">
        <f t="shared" ca="1" si="89"/>
        <v>8.4570091204305059E-2</v>
      </c>
      <c r="C5746" s="10">
        <f ca="1">NPV(B5746,Project_FCF!C18:J18)+Project_FCF!B18</f>
        <v>900.57424139315981</v>
      </c>
      <c r="D5746" s="4"/>
      <c r="E5746" s="4"/>
    </row>
    <row r="5747" spans="1:5" x14ac:dyDescent="0.3">
      <c r="A5747" s="9">
        <v>5739</v>
      </c>
      <c r="B5747" s="10">
        <f t="shared" ca="1" si="89"/>
        <v>0.10253889973635777</v>
      </c>
      <c r="C5747" s="10">
        <f ca="1">NPV(B5747,Project_FCF!C18:J18)+Project_FCF!B18</f>
        <v>764.55477911609069</v>
      </c>
      <c r="D5747" s="4"/>
      <c r="E5747" s="4"/>
    </row>
    <row r="5748" spans="1:5" x14ac:dyDescent="0.3">
      <c r="A5748" s="9">
        <v>5740</v>
      </c>
      <c r="B5748" s="10">
        <f t="shared" ca="1" si="89"/>
        <v>0.10321863267276075</v>
      </c>
      <c r="C5748" s="10">
        <f ca="1">NPV(B5748,Project_FCF!C18:J18)+Project_FCF!B18</f>
        <v>759.77419847579745</v>
      </c>
      <c r="D5748" s="4"/>
      <c r="E5748" s="4"/>
    </row>
    <row r="5749" spans="1:5" x14ac:dyDescent="0.3">
      <c r="A5749" s="9">
        <v>5741</v>
      </c>
      <c r="B5749" s="10">
        <f t="shared" ca="1" si="89"/>
        <v>6.942811548924345E-2</v>
      </c>
      <c r="C5749" s="10">
        <f ca="1">NPV(B5749,Project_FCF!C18:J18)+Project_FCF!B18</f>
        <v>1031.1715771754507</v>
      </c>
      <c r="D5749" s="4"/>
      <c r="E5749" s="4"/>
    </row>
    <row r="5750" spans="1:5" x14ac:dyDescent="0.3">
      <c r="A5750" s="9">
        <v>5742</v>
      </c>
      <c r="B5750" s="10">
        <f t="shared" ca="1" si="89"/>
        <v>9.5342237386859235E-2</v>
      </c>
      <c r="C5750" s="10">
        <f ca="1">NPV(B5750,Project_FCF!C18:J18)+Project_FCF!B18</f>
        <v>816.74833311127031</v>
      </c>
      <c r="D5750" s="4"/>
      <c r="E5750" s="4"/>
    </row>
    <row r="5751" spans="1:5" x14ac:dyDescent="0.3">
      <c r="A5751" s="9">
        <v>5743</v>
      </c>
      <c r="B5751" s="10">
        <f t="shared" ca="1" si="89"/>
        <v>9.5978899289997338E-2</v>
      </c>
      <c r="C5751" s="10">
        <f ca="1">NPV(B5751,Project_FCF!C18:J18)+Project_FCF!B18</f>
        <v>812.01209333236284</v>
      </c>
      <c r="D5751" s="4"/>
      <c r="E5751" s="4"/>
    </row>
    <row r="5752" spans="1:5" x14ac:dyDescent="0.3">
      <c r="A5752" s="9">
        <v>5744</v>
      </c>
      <c r="B5752" s="10">
        <f t="shared" ca="1" si="89"/>
        <v>8.0494233974659379E-2</v>
      </c>
      <c r="C5752" s="10">
        <f ca="1">NPV(B5752,Project_FCF!C18:J18)+Project_FCF!B18</f>
        <v>934.19465141658884</v>
      </c>
      <c r="D5752" s="4"/>
      <c r="E5752" s="4"/>
    </row>
    <row r="5753" spans="1:5" x14ac:dyDescent="0.3">
      <c r="A5753" s="9">
        <v>5745</v>
      </c>
      <c r="B5753" s="10">
        <f t="shared" ca="1" si="89"/>
        <v>7.2171143789309319E-2</v>
      </c>
      <c r="C5753" s="10">
        <f ca="1">NPV(B5753,Project_FCF!C18:J18)+Project_FCF!B18</f>
        <v>1006.3277396022047</v>
      </c>
      <c r="D5753" s="4"/>
      <c r="E5753" s="4"/>
    </row>
    <row r="5754" spans="1:5" x14ac:dyDescent="0.3">
      <c r="A5754" s="9">
        <v>5746</v>
      </c>
      <c r="B5754" s="10">
        <f t="shared" ca="1" si="89"/>
        <v>8.8261880367354342E-2</v>
      </c>
      <c r="C5754" s="10">
        <f ca="1">NPV(B5754,Project_FCF!C18:J18)+Project_FCF!B18</f>
        <v>871.0427289552722</v>
      </c>
      <c r="D5754" s="4"/>
      <c r="E5754" s="4"/>
    </row>
    <row r="5755" spans="1:5" x14ac:dyDescent="0.3">
      <c r="A5755" s="9">
        <v>5747</v>
      </c>
      <c r="B5755" s="10">
        <f t="shared" ca="1" si="89"/>
        <v>8.1239415445921434E-2</v>
      </c>
      <c r="C5755" s="10">
        <f ca="1">NPV(B5755,Project_FCF!C18:J18)+Project_FCF!B18</f>
        <v>927.96650368071505</v>
      </c>
      <c r="D5755" s="4"/>
      <c r="E5755" s="4"/>
    </row>
    <row r="5756" spans="1:5" x14ac:dyDescent="0.3">
      <c r="A5756" s="9">
        <v>5748</v>
      </c>
      <c r="B5756" s="10">
        <f t="shared" ca="1" si="89"/>
        <v>8.1203865147484747E-2</v>
      </c>
      <c r="C5756" s="10">
        <f ca="1">NPV(B5756,Project_FCF!C18:J18)+Project_FCF!B18</f>
        <v>928.26279364158859</v>
      </c>
      <c r="D5756" s="4"/>
      <c r="E5756" s="4"/>
    </row>
    <row r="5757" spans="1:5" x14ac:dyDescent="0.3">
      <c r="A5757" s="9">
        <v>5749</v>
      </c>
      <c r="B5757" s="10">
        <f t="shared" ca="1" si="89"/>
        <v>6.9149233931635024E-2</v>
      </c>
      <c r="C5757" s="10">
        <f ca="1">NPV(B5757,Project_FCF!C18:J18)+Project_FCF!B18</f>
        <v>1033.7282010921283</v>
      </c>
      <c r="D5757" s="4"/>
      <c r="E5757" s="4"/>
    </row>
    <row r="5758" spans="1:5" x14ac:dyDescent="0.3">
      <c r="A5758" s="9">
        <v>5750</v>
      </c>
      <c r="B5758" s="10">
        <f t="shared" ca="1" si="89"/>
        <v>0.10047727090455064</v>
      </c>
      <c r="C5758" s="10">
        <f ca="1">NPV(B5758,Project_FCF!C18:J18)+Project_FCF!B18</f>
        <v>779.20934509641529</v>
      </c>
      <c r="D5758" s="4"/>
      <c r="E5758" s="4"/>
    </row>
    <row r="5759" spans="1:5" x14ac:dyDescent="0.3">
      <c r="A5759" s="9">
        <v>5751</v>
      </c>
      <c r="B5759" s="10">
        <f t="shared" ca="1" si="89"/>
        <v>8.344380728822616E-2</v>
      </c>
      <c r="C5759" s="10">
        <f ca="1">NPV(B5759,Project_FCF!C18:J18)+Project_FCF!B18</f>
        <v>909.75636787424742</v>
      </c>
      <c r="D5759" s="4"/>
      <c r="E5759" s="4"/>
    </row>
    <row r="5760" spans="1:5" x14ac:dyDescent="0.3">
      <c r="A5760" s="9">
        <v>5752</v>
      </c>
      <c r="B5760" s="10">
        <f t="shared" ca="1" si="89"/>
        <v>8.9720009807715884E-2</v>
      </c>
      <c r="C5760" s="10">
        <f ca="1">NPV(B5760,Project_FCF!C18:J18)+Project_FCF!B18</f>
        <v>859.61335335843637</v>
      </c>
      <c r="D5760" s="4"/>
      <c r="E5760" s="4"/>
    </row>
    <row r="5761" spans="1:5" x14ac:dyDescent="0.3">
      <c r="A5761" s="9">
        <v>5753</v>
      </c>
      <c r="B5761" s="10">
        <f t="shared" ca="1" si="89"/>
        <v>7.2093974926626364E-2</v>
      </c>
      <c r="C5761" s="10">
        <f ca="1">NPV(B5761,Project_FCF!C18:J18)+Project_FCF!B18</f>
        <v>1007.0192201962711</v>
      </c>
      <c r="D5761" s="4"/>
      <c r="E5761" s="4"/>
    </row>
    <row r="5762" spans="1:5" x14ac:dyDescent="0.3">
      <c r="A5762" s="9">
        <v>5754</v>
      </c>
      <c r="B5762" s="10">
        <f t="shared" ca="1" si="89"/>
        <v>0.10089445956100185</v>
      </c>
      <c r="C5762" s="10">
        <f ca="1">NPV(B5762,Project_FCF!C18:J18)+Project_FCF!B18</f>
        <v>776.22491214662114</v>
      </c>
      <c r="D5762" s="4"/>
      <c r="E5762" s="4"/>
    </row>
    <row r="5763" spans="1:5" x14ac:dyDescent="0.3">
      <c r="A5763" s="9">
        <v>5755</v>
      </c>
      <c r="B5763" s="10">
        <f t="shared" ca="1" si="89"/>
        <v>8.2129632861057067E-2</v>
      </c>
      <c r="C5763" s="10">
        <f ca="1">NPV(B5763,Project_FCF!C18:J18)+Project_FCF!B18</f>
        <v>920.57425243420084</v>
      </c>
      <c r="D5763" s="4"/>
      <c r="E5763" s="4"/>
    </row>
    <row r="5764" spans="1:5" x14ac:dyDescent="0.3">
      <c r="A5764" s="9">
        <v>5756</v>
      </c>
      <c r="B5764" s="10">
        <f t="shared" ca="1" si="89"/>
        <v>9.4078863528262197E-2</v>
      </c>
      <c r="C5764" s="10">
        <f ca="1">NPV(B5764,Project_FCF!C18:J18)+Project_FCF!B18</f>
        <v>826.21683982027025</v>
      </c>
      <c r="D5764" s="4"/>
      <c r="E5764" s="4"/>
    </row>
    <row r="5765" spans="1:5" x14ac:dyDescent="0.3">
      <c r="A5765" s="9">
        <v>5757</v>
      </c>
      <c r="B5765" s="10">
        <f t="shared" ca="1" si="89"/>
        <v>9.5831901999636371E-2</v>
      </c>
      <c r="C5765" s="10">
        <f ca="1">NPV(B5765,Project_FCF!C18:J18)+Project_FCF!B18</f>
        <v>813.1035425099401</v>
      </c>
      <c r="D5765" s="4"/>
      <c r="E5765" s="4"/>
    </row>
    <row r="5766" spans="1:5" x14ac:dyDescent="0.3">
      <c r="A5766" s="9">
        <v>5758</v>
      </c>
      <c r="B5766" s="10">
        <f t="shared" ca="1" si="89"/>
        <v>9.6782665872649179E-2</v>
      </c>
      <c r="C5766" s="10">
        <f ca="1">NPV(B5766,Project_FCF!C18:J18)+Project_FCF!B18</f>
        <v>806.06624702371073</v>
      </c>
      <c r="D5766" s="4"/>
      <c r="E5766" s="4"/>
    </row>
    <row r="5767" spans="1:5" x14ac:dyDescent="0.3">
      <c r="A5767" s="9">
        <v>5759</v>
      </c>
      <c r="B5767" s="10">
        <f t="shared" ca="1" si="89"/>
        <v>9.588022552861486E-2</v>
      </c>
      <c r="C5767" s="10">
        <f ca="1">NPV(B5767,Project_FCF!C18:J18)+Project_FCF!B18</f>
        <v>812.744603984268</v>
      </c>
      <c r="D5767" s="4"/>
      <c r="E5767" s="4"/>
    </row>
    <row r="5768" spans="1:5" x14ac:dyDescent="0.3">
      <c r="A5768" s="9">
        <v>5760</v>
      </c>
      <c r="B5768" s="10">
        <f t="shared" ca="1" si="89"/>
        <v>7.4314910722277208E-2</v>
      </c>
      <c r="C5768" s="10">
        <f ca="1">NPV(B5768,Project_FCF!C18:J18)+Project_FCF!B18</f>
        <v>987.28801770321047</v>
      </c>
      <c r="D5768" s="4"/>
      <c r="E5768" s="4"/>
    </row>
    <row r="5769" spans="1:5" x14ac:dyDescent="0.3">
      <c r="A5769" s="9">
        <v>5761</v>
      </c>
      <c r="B5769" s="10">
        <f t="shared" ref="B5769:B5832" ca="1" si="90">$B$4+RAND()*($B$5-$B$4)</f>
        <v>8.8840266785207539E-2</v>
      </c>
      <c r="C5769" s="10">
        <f ca="1">NPV(B5769,Project_FCF!C18:J18)+Project_FCF!B18</f>
        <v>866.49342383756039</v>
      </c>
      <c r="D5769" s="4"/>
      <c r="E5769" s="4"/>
    </row>
    <row r="5770" spans="1:5" x14ac:dyDescent="0.3">
      <c r="A5770" s="9">
        <v>5762</v>
      </c>
      <c r="B5770" s="10">
        <f t="shared" ca="1" si="90"/>
        <v>8.7498579537332061E-2</v>
      </c>
      <c r="C5770" s="10">
        <f ca="1">NPV(B5770,Project_FCF!C18:J18)+Project_FCF!B18</f>
        <v>877.0782722724789</v>
      </c>
      <c r="D5770" s="4"/>
      <c r="E5770" s="4"/>
    </row>
    <row r="5771" spans="1:5" x14ac:dyDescent="0.3">
      <c r="A5771" s="9">
        <v>5763</v>
      </c>
      <c r="B5771" s="10">
        <f t="shared" ca="1" si="90"/>
        <v>8.1963060908497323E-2</v>
      </c>
      <c r="C5771" s="10">
        <f ca="1">NPV(B5771,Project_FCF!C18:J18)+Project_FCF!B18</f>
        <v>921.95348034425547</v>
      </c>
      <c r="D5771" s="4"/>
      <c r="E5771" s="4"/>
    </row>
    <row r="5772" spans="1:5" x14ac:dyDescent="0.3">
      <c r="A5772" s="9">
        <v>5764</v>
      </c>
      <c r="B5772" s="10">
        <f t="shared" ca="1" si="90"/>
        <v>6.4347695316042369E-2</v>
      </c>
      <c r="C5772" s="10">
        <f ca="1">NPV(B5772,Project_FCF!C18:J18)+Project_FCF!B18</f>
        <v>1078.6580705763215</v>
      </c>
      <c r="D5772" s="4"/>
      <c r="E5772" s="4"/>
    </row>
    <row r="5773" spans="1:5" x14ac:dyDescent="0.3">
      <c r="A5773" s="9">
        <v>5765</v>
      </c>
      <c r="B5773" s="10">
        <f t="shared" ca="1" si="90"/>
        <v>8.6337514875725302E-2</v>
      </c>
      <c r="C5773" s="10">
        <f ca="1">NPV(B5773,Project_FCF!C18:J18)+Project_FCF!B18</f>
        <v>886.32887964543465</v>
      </c>
      <c r="D5773" s="4"/>
      <c r="E5773" s="4"/>
    </row>
    <row r="5774" spans="1:5" x14ac:dyDescent="0.3">
      <c r="A5774" s="9">
        <v>5766</v>
      </c>
      <c r="B5774" s="10">
        <f t="shared" ca="1" si="90"/>
        <v>8.8680472581860806E-2</v>
      </c>
      <c r="C5774" s="10">
        <f ca="1">NPV(B5774,Project_FCF!C18:J18)+Project_FCF!B18</f>
        <v>867.74821788661689</v>
      </c>
      <c r="D5774" s="4"/>
      <c r="E5774" s="4"/>
    </row>
    <row r="5775" spans="1:5" x14ac:dyDescent="0.3">
      <c r="A5775" s="9">
        <v>5767</v>
      </c>
      <c r="B5775" s="10">
        <f t="shared" ca="1" si="90"/>
        <v>9.893896558049603E-2</v>
      </c>
      <c r="C5775" s="10">
        <f ca="1">NPV(B5775,Project_FCF!C18:J18)+Project_FCF!B18</f>
        <v>790.29787696011931</v>
      </c>
      <c r="D5775" s="4"/>
      <c r="E5775" s="4"/>
    </row>
    <row r="5776" spans="1:5" x14ac:dyDescent="0.3">
      <c r="A5776" s="9">
        <v>5768</v>
      </c>
      <c r="B5776" s="10">
        <f t="shared" ca="1" si="90"/>
        <v>9.6093728269929041E-2</v>
      </c>
      <c r="C5776" s="10">
        <f ca="1">NPV(B5776,Project_FCF!C18:J18)+Project_FCF!B18</f>
        <v>811.16036343727001</v>
      </c>
      <c r="D5776" s="4"/>
      <c r="E5776" s="4"/>
    </row>
    <row r="5777" spans="1:5" x14ac:dyDescent="0.3">
      <c r="A5777" s="9">
        <v>5769</v>
      </c>
      <c r="B5777" s="10">
        <f t="shared" ca="1" si="90"/>
        <v>9.805457578584309E-2</v>
      </c>
      <c r="C5777" s="10">
        <f ca="1">NPV(B5777,Project_FCF!C18:J18)+Project_FCF!B18</f>
        <v>796.733132947591</v>
      </c>
      <c r="D5777" s="4"/>
      <c r="E5777" s="4"/>
    </row>
    <row r="5778" spans="1:5" x14ac:dyDescent="0.3">
      <c r="A5778" s="9">
        <v>5770</v>
      </c>
      <c r="B5778" s="10">
        <f t="shared" ca="1" si="90"/>
        <v>8.5007747270822998E-2</v>
      </c>
      <c r="C5778" s="10">
        <f ca="1">NPV(B5778,Project_FCF!C18:J18)+Project_FCF!B18</f>
        <v>897.02820965899741</v>
      </c>
      <c r="D5778" s="4"/>
      <c r="E5778" s="4"/>
    </row>
    <row r="5779" spans="1:5" x14ac:dyDescent="0.3">
      <c r="A5779" s="9">
        <v>5771</v>
      </c>
      <c r="B5779" s="10">
        <f t="shared" ca="1" si="90"/>
        <v>9.7239497801822089E-2</v>
      </c>
      <c r="C5779" s="10">
        <f ca="1">NPV(B5779,Project_FCF!C18:J18)+Project_FCF!B18</f>
        <v>802.70341942444884</v>
      </c>
      <c r="D5779" s="4"/>
      <c r="E5779" s="4"/>
    </row>
    <row r="5780" spans="1:5" x14ac:dyDescent="0.3">
      <c r="A5780" s="9">
        <v>5772</v>
      </c>
      <c r="B5780" s="10">
        <f t="shared" ca="1" si="90"/>
        <v>6.7708784303181793E-2</v>
      </c>
      <c r="C5780" s="10">
        <f ca="1">NPV(B5780,Project_FCF!C18:J18)+Project_FCF!B18</f>
        <v>1047.0250646669169</v>
      </c>
      <c r="D5780" s="4"/>
      <c r="E5780" s="4"/>
    </row>
    <row r="5781" spans="1:5" x14ac:dyDescent="0.3">
      <c r="A5781" s="9">
        <v>5773</v>
      </c>
      <c r="B5781" s="10">
        <f t="shared" ca="1" si="90"/>
        <v>8.7957761154477898E-2</v>
      </c>
      <c r="C5781" s="10">
        <f ca="1">NPV(B5781,Project_FCF!C18:J18)+Project_FCF!B18</f>
        <v>873.44310234579166</v>
      </c>
      <c r="D5781" s="4"/>
      <c r="E5781" s="4"/>
    </row>
    <row r="5782" spans="1:5" x14ac:dyDescent="0.3">
      <c r="A5782" s="9">
        <v>5774</v>
      </c>
      <c r="B5782" s="10">
        <f t="shared" ca="1" si="90"/>
        <v>8.9530651630847793E-2</v>
      </c>
      <c r="C5782" s="10">
        <f ca="1">NPV(B5782,Project_FCF!C18:J18)+Project_FCF!B18</f>
        <v>861.09022139371609</v>
      </c>
      <c r="D5782" s="4"/>
      <c r="E5782" s="4"/>
    </row>
    <row r="5783" spans="1:5" x14ac:dyDescent="0.3">
      <c r="A5783" s="9">
        <v>5775</v>
      </c>
      <c r="B5783" s="10">
        <f t="shared" ca="1" si="90"/>
        <v>7.4944478470195239E-2</v>
      </c>
      <c r="C5783" s="10">
        <f ca="1">NPV(B5783,Project_FCF!C18:J18)+Project_FCF!B18</f>
        <v>981.75826979492149</v>
      </c>
      <c r="D5783" s="4"/>
      <c r="E5783" s="4"/>
    </row>
    <row r="5784" spans="1:5" x14ac:dyDescent="0.3">
      <c r="A5784" s="9">
        <v>5776</v>
      </c>
      <c r="B5784" s="10">
        <f t="shared" ca="1" si="90"/>
        <v>6.4888900427966273E-2</v>
      </c>
      <c r="C5784" s="10">
        <f ca="1">NPV(B5784,Project_FCF!C18:J18)+Project_FCF!B18</f>
        <v>1073.5063848330633</v>
      </c>
      <c r="D5784" s="4"/>
      <c r="E5784" s="4"/>
    </row>
    <row r="5785" spans="1:5" x14ac:dyDescent="0.3">
      <c r="A5785" s="9">
        <v>5777</v>
      </c>
      <c r="B5785" s="10">
        <f t="shared" ca="1" si="90"/>
        <v>7.3017890187698428E-2</v>
      </c>
      <c r="C5785" s="10">
        <f ca="1">NPV(B5785,Project_FCF!C18:J18)+Project_FCF!B18</f>
        <v>998.76837179460813</v>
      </c>
      <c r="D5785" s="4"/>
      <c r="E5785" s="4"/>
    </row>
    <row r="5786" spans="1:5" x14ac:dyDescent="0.3">
      <c r="A5786" s="9">
        <v>5778</v>
      </c>
      <c r="B5786" s="10">
        <f t="shared" ca="1" si="90"/>
        <v>6.9051937094263965E-2</v>
      </c>
      <c r="C5786" s="10">
        <f ca="1">NPV(B5786,Project_FCF!C18:J18)+Project_FCF!B18</f>
        <v>1034.6215109720408</v>
      </c>
      <c r="D5786" s="4"/>
      <c r="E5786" s="4"/>
    </row>
    <row r="5787" spans="1:5" x14ac:dyDescent="0.3">
      <c r="A5787" s="9">
        <v>5779</v>
      </c>
      <c r="B5787" s="10">
        <f t="shared" ca="1" si="90"/>
        <v>0.10344638559491839</v>
      </c>
      <c r="C5787" s="10">
        <f ca="1">NPV(B5787,Project_FCF!C18:J18)+Project_FCF!B18</f>
        <v>758.17802747402925</v>
      </c>
      <c r="D5787" s="4"/>
      <c r="E5787" s="4"/>
    </row>
    <row r="5788" spans="1:5" x14ac:dyDescent="0.3">
      <c r="A5788" s="9">
        <v>5780</v>
      </c>
      <c r="B5788" s="10">
        <f t="shared" ca="1" si="90"/>
        <v>6.5907342546979178E-2</v>
      </c>
      <c r="C5788" s="10">
        <f ca="1">NPV(B5788,Project_FCF!C18:J18)+Project_FCF!B18</f>
        <v>1063.872739288093</v>
      </c>
      <c r="D5788" s="4"/>
      <c r="E5788" s="4"/>
    </row>
    <row r="5789" spans="1:5" x14ac:dyDescent="0.3">
      <c r="A5789" s="9">
        <v>5781</v>
      </c>
      <c r="B5789" s="10">
        <f t="shared" ca="1" si="90"/>
        <v>8.3958392267151072E-2</v>
      </c>
      <c r="C5789" s="10">
        <f ca="1">NPV(B5789,Project_FCF!C18:J18)+Project_FCF!B18</f>
        <v>905.55102182756718</v>
      </c>
      <c r="D5789" s="4"/>
      <c r="E5789" s="4"/>
    </row>
    <row r="5790" spans="1:5" x14ac:dyDescent="0.3">
      <c r="A5790" s="9">
        <v>5782</v>
      </c>
      <c r="B5790" s="10">
        <f t="shared" ca="1" si="90"/>
        <v>8.7754625345153325E-2</v>
      </c>
      <c r="C5790" s="10">
        <f ca="1">NPV(B5790,Project_FCF!C18:J18)+Project_FCF!B18</f>
        <v>875.04963159456588</v>
      </c>
      <c r="D5790" s="4"/>
      <c r="E5790" s="4"/>
    </row>
    <row r="5791" spans="1:5" x14ac:dyDescent="0.3">
      <c r="A5791" s="9">
        <v>5783</v>
      </c>
      <c r="B5791" s="10">
        <f t="shared" ca="1" si="90"/>
        <v>6.9930833226685057E-2</v>
      </c>
      <c r="C5791" s="10">
        <f ca="1">NPV(B5791,Project_FCF!C18:J18)+Project_FCF!B18</f>
        <v>1026.5773973580829</v>
      </c>
      <c r="D5791" s="4"/>
      <c r="E5791" s="4"/>
    </row>
    <row r="5792" spans="1:5" x14ac:dyDescent="0.3">
      <c r="A5792" s="9">
        <v>5784</v>
      </c>
      <c r="B5792" s="10">
        <f t="shared" ca="1" si="90"/>
        <v>9.8070546190522412E-2</v>
      </c>
      <c r="C5792" s="10">
        <f ca="1">NPV(B5792,Project_FCF!C18:J18)+Project_FCF!B18</f>
        <v>796.61653112365821</v>
      </c>
      <c r="D5792" s="4"/>
      <c r="E5792" s="4"/>
    </row>
    <row r="5793" spans="1:5" x14ac:dyDescent="0.3">
      <c r="A5793" s="9">
        <v>5785</v>
      </c>
      <c r="B5793" s="10">
        <f t="shared" ca="1" si="90"/>
        <v>9.3881721294520284E-2</v>
      </c>
      <c r="C5793" s="10">
        <f ca="1">NPV(B5793,Project_FCF!C18:J18)+Project_FCF!B18</f>
        <v>827.70280024367776</v>
      </c>
      <c r="D5793" s="4"/>
      <c r="E5793" s="4"/>
    </row>
    <row r="5794" spans="1:5" x14ac:dyDescent="0.3">
      <c r="A5794" s="9">
        <v>5786</v>
      </c>
      <c r="B5794" s="10">
        <f t="shared" ca="1" si="90"/>
        <v>9.9296580603300849E-2</v>
      </c>
      <c r="C5794" s="10">
        <f ca="1">NPV(B5794,Project_FCF!C18:J18)+Project_FCF!B18</f>
        <v>787.70824349074496</v>
      </c>
      <c r="D5794" s="4"/>
      <c r="E5794" s="4"/>
    </row>
    <row r="5795" spans="1:5" x14ac:dyDescent="0.3">
      <c r="A5795" s="9">
        <v>5787</v>
      </c>
      <c r="B5795" s="10">
        <f t="shared" ca="1" si="90"/>
        <v>7.0433551893388402E-2</v>
      </c>
      <c r="C5795" s="10">
        <f ca="1">NPV(B5795,Project_FCF!C18:J18)+Project_FCF!B18</f>
        <v>1022.0017171955858</v>
      </c>
      <c r="D5795" s="4"/>
      <c r="E5795" s="4"/>
    </row>
    <row r="5796" spans="1:5" x14ac:dyDescent="0.3">
      <c r="A5796" s="9">
        <v>5788</v>
      </c>
      <c r="B5796" s="10">
        <f t="shared" ca="1" si="90"/>
        <v>8.151192308435673E-2</v>
      </c>
      <c r="C5796" s="10">
        <f ca="1">NPV(B5796,Project_FCF!C18:J18)+Project_FCF!B18</f>
        <v>925.69809172547934</v>
      </c>
      <c r="D5796" s="4"/>
      <c r="E5796" s="4"/>
    </row>
    <row r="5797" spans="1:5" x14ac:dyDescent="0.3">
      <c r="A5797" s="9">
        <v>5789</v>
      </c>
      <c r="B5797" s="10">
        <f t="shared" ca="1" si="90"/>
        <v>8.7887978623790497E-2</v>
      </c>
      <c r="C5797" s="10">
        <f ca="1">NPV(B5797,Project_FCF!C18:J18)+Project_FCF!B18</f>
        <v>873.99469794939341</v>
      </c>
      <c r="D5797" s="4"/>
      <c r="E5797" s="4"/>
    </row>
    <row r="5798" spans="1:5" x14ac:dyDescent="0.3">
      <c r="A5798" s="9">
        <v>5790</v>
      </c>
      <c r="B5798" s="10">
        <f t="shared" ca="1" si="90"/>
        <v>7.9161085412666837E-2</v>
      </c>
      <c r="C5798" s="10">
        <f ca="1">NPV(B5798,Project_FCF!C18:J18)+Project_FCF!B18</f>
        <v>945.42931235875585</v>
      </c>
      <c r="D5798" s="4"/>
      <c r="E5798" s="4"/>
    </row>
    <row r="5799" spans="1:5" x14ac:dyDescent="0.3">
      <c r="A5799" s="9">
        <v>5791</v>
      </c>
      <c r="B5799" s="10">
        <f t="shared" ca="1" si="90"/>
        <v>6.5061691133765406E-2</v>
      </c>
      <c r="C5799" s="10">
        <f ca="1">NPV(B5799,Project_FCF!C18:J18)+Project_FCF!B18</f>
        <v>1071.8663407150473</v>
      </c>
      <c r="D5799" s="4"/>
      <c r="E5799" s="4"/>
    </row>
    <row r="5800" spans="1:5" x14ac:dyDescent="0.3">
      <c r="A5800" s="9">
        <v>5792</v>
      </c>
      <c r="B5800" s="10">
        <f t="shared" ca="1" si="90"/>
        <v>7.2095266862400004E-2</v>
      </c>
      <c r="C5800" s="10">
        <f ca="1">NPV(B5800,Project_FCF!C18:J18)+Project_FCF!B18</f>
        <v>1007.0076401364981</v>
      </c>
      <c r="D5800" s="4"/>
      <c r="E5800" s="4"/>
    </row>
    <row r="5801" spans="1:5" x14ac:dyDescent="0.3">
      <c r="A5801" s="9">
        <v>5793</v>
      </c>
      <c r="B5801" s="10">
        <f t="shared" ca="1" si="90"/>
        <v>6.6449597452625894E-2</v>
      </c>
      <c r="C5801" s="10">
        <f ca="1">NPV(B5801,Project_FCF!C18:J18)+Project_FCF!B18</f>
        <v>1058.7756394241501</v>
      </c>
      <c r="D5801" s="4"/>
      <c r="E5801" s="4"/>
    </row>
    <row r="5802" spans="1:5" x14ac:dyDescent="0.3">
      <c r="A5802" s="9">
        <v>5794</v>
      </c>
      <c r="B5802" s="10">
        <f t="shared" ca="1" si="90"/>
        <v>7.3343547886533772E-2</v>
      </c>
      <c r="C5802" s="10">
        <f ca="1">NPV(B5802,Project_FCF!C18:J18)+Project_FCF!B18</f>
        <v>995.874661934914</v>
      </c>
      <c r="D5802" s="4"/>
      <c r="E5802" s="4"/>
    </row>
    <row r="5803" spans="1:5" x14ac:dyDescent="0.3">
      <c r="A5803" s="9">
        <v>5795</v>
      </c>
      <c r="B5803" s="10">
        <f t="shared" ca="1" si="90"/>
        <v>7.0435895526325537E-2</v>
      </c>
      <c r="C5803" s="10">
        <f ca="1">NPV(B5803,Project_FCF!C18:J18)+Project_FCF!B18</f>
        <v>1021.9804289625213</v>
      </c>
      <c r="D5803" s="4"/>
      <c r="E5803" s="4"/>
    </row>
    <row r="5804" spans="1:5" x14ac:dyDescent="0.3">
      <c r="A5804" s="9">
        <v>5796</v>
      </c>
      <c r="B5804" s="10">
        <f t="shared" ca="1" si="90"/>
        <v>0.10140794888536001</v>
      </c>
      <c r="C5804" s="10">
        <f ca="1">NPV(B5804,Project_FCF!C18:J18)+Project_FCF!B18</f>
        <v>772.5648219583818</v>
      </c>
      <c r="D5804" s="4"/>
      <c r="E5804" s="4"/>
    </row>
    <row r="5805" spans="1:5" x14ac:dyDescent="0.3">
      <c r="A5805" s="9">
        <v>5797</v>
      </c>
      <c r="B5805" s="10">
        <f t="shared" ca="1" si="90"/>
        <v>9.3219938214217424E-2</v>
      </c>
      <c r="C5805" s="10">
        <f ca="1">NPV(B5805,Project_FCF!C18:J18)+Project_FCF!B18</f>
        <v>832.70778875759243</v>
      </c>
      <c r="D5805" s="4"/>
      <c r="E5805" s="4"/>
    </row>
    <row r="5806" spans="1:5" x14ac:dyDescent="0.3">
      <c r="A5806" s="9">
        <v>5798</v>
      </c>
      <c r="B5806" s="10">
        <f t="shared" ca="1" si="90"/>
        <v>6.9187103588713272E-2</v>
      </c>
      <c r="C5806" s="10">
        <f ca="1">NPV(B5806,Project_FCF!C18:J18)+Project_FCF!B18</f>
        <v>1033.3806978292751</v>
      </c>
      <c r="D5806" s="4"/>
      <c r="E5806" s="4"/>
    </row>
    <row r="5807" spans="1:5" x14ac:dyDescent="0.3">
      <c r="A5807" s="9">
        <v>5799</v>
      </c>
      <c r="B5807" s="10">
        <f t="shared" ca="1" si="90"/>
        <v>9.9784898094124302E-2</v>
      </c>
      <c r="C5807" s="10">
        <f ca="1">NPV(B5807,Project_FCF!C18:J18)+Project_FCF!B18</f>
        <v>784.18375326548539</v>
      </c>
      <c r="D5807" s="4"/>
      <c r="E5807" s="4"/>
    </row>
    <row r="5808" spans="1:5" x14ac:dyDescent="0.3">
      <c r="A5808" s="9">
        <v>5800</v>
      </c>
      <c r="B5808" s="10">
        <f t="shared" ca="1" si="90"/>
        <v>8.5545569559508039E-2</v>
      </c>
      <c r="C5808" s="10">
        <f ca="1">NPV(B5808,Project_FCF!C18:J18)+Project_FCF!B18</f>
        <v>892.6873530919645</v>
      </c>
      <c r="D5808" s="4"/>
      <c r="E5808" s="4"/>
    </row>
    <row r="5809" spans="1:5" x14ac:dyDescent="0.3">
      <c r="A5809" s="9">
        <v>5801</v>
      </c>
      <c r="B5809" s="10">
        <f t="shared" ca="1" si="90"/>
        <v>6.8106470116586174E-2</v>
      </c>
      <c r="C5809" s="10">
        <f ca="1">NPV(B5809,Project_FCF!C18:J18)+Project_FCF!B18</f>
        <v>1043.3385971631551</v>
      </c>
      <c r="D5809" s="4"/>
      <c r="E5809" s="4"/>
    </row>
    <row r="5810" spans="1:5" x14ac:dyDescent="0.3">
      <c r="A5810" s="9">
        <v>5802</v>
      </c>
      <c r="B5810" s="10">
        <f t="shared" ca="1" si="90"/>
        <v>8.2675671000801448E-2</v>
      </c>
      <c r="C5810" s="10">
        <f ca="1">NPV(B5810,Project_FCF!C18:J18)+Project_FCF!B18</f>
        <v>916.06575864078877</v>
      </c>
      <c r="D5810" s="4"/>
      <c r="E5810" s="4"/>
    </row>
    <row r="5811" spans="1:5" x14ac:dyDescent="0.3">
      <c r="A5811" s="9">
        <v>5803</v>
      </c>
      <c r="B5811" s="10">
        <f t="shared" ca="1" si="90"/>
        <v>8.8536011124069919E-2</v>
      </c>
      <c r="C5811" s="10">
        <f ca="1">NPV(B5811,Project_FCF!C18:J18)+Project_FCF!B18</f>
        <v>868.8839691145904</v>
      </c>
      <c r="D5811" s="4"/>
      <c r="E5811" s="4"/>
    </row>
    <row r="5812" spans="1:5" x14ac:dyDescent="0.3">
      <c r="A5812" s="9">
        <v>5804</v>
      </c>
      <c r="B5812" s="10">
        <f t="shared" ca="1" si="90"/>
        <v>9.4542150557534857E-2</v>
      </c>
      <c r="C5812" s="10">
        <f ca="1">NPV(B5812,Project_FCF!C18:J18)+Project_FCF!B18</f>
        <v>822.7338172001032</v>
      </c>
      <c r="D5812" s="4"/>
      <c r="E5812" s="4"/>
    </row>
    <row r="5813" spans="1:5" x14ac:dyDescent="0.3">
      <c r="A5813" s="9">
        <v>5805</v>
      </c>
      <c r="B5813" s="10">
        <f t="shared" ca="1" si="90"/>
        <v>7.9355422945108722E-2</v>
      </c>
      <c r="C5813" s="10">
        <f ca="1">NPV(B5813,Project_FCF!C18:J18)+Project_FCF!B18</f>
        <v>943.78418001681052</v>
      </c>
      <c r="D5813" s="4"/>
      <c r="E5813" s="4"/>
    </row>
    <row r="5814" spans="1:5" x14ac:dyDescent="0.3">
      <c r="A5814" s="9">
        <v>5806</v>
      </c>
      <c r="B5814" s="10">
        <f t="shared" ca="1" si="90"/>
        <v>7.2985287270848673E-2</v>
      </c>
      <c r="C5814" s="10">
        <f ca="1">NPV(B5814,Project_FCF!C18:J18)+Project_FCF!B18</f>
        <v>999.05848833079403</v>
      </c>
      <c r="D5814" s="4"/>
      <c r="E5814" s="4"/>
    </row>
    <row r="5815" spans="1:5" x14ac:dyDescent="0.3">
      <c r="A5815" s="9">
        <v>5807</v>
      </c>
      <c r="B5815" s="10">
        <f t="shared" ca="1" si="90"/>
        <v>7.4681047260917177E-2</v>
      </c>
      <c r="C5815" s="10">
        <f ca="1">NPV(B5815,Project_FCF!C18:J18)+Project_FCF!B18</f>
        <v>984.068709136606</v>
      </c>
      <c r="D5815" s="4"/>
      <c r="E5815" s="4"/>
    </row>
    <row r="5816" spans="1:5" x14ac:dyDescent="0.3">
      <c r="A5816" s="9">
        <v>5808</v>
      </c>
      <c r="B5816" s="10">
        <f t="shared" ca="1" si="90"/>
        <v>7.8436283612939597E-2</v>
      </c>
      <c r="C5816" s="10">
        <f ca="1">NPV(B5816,Project_FCF!C18:J18)+Project_FCF!B18</f>
        <v>951.58747133577685</v>
      </c>
      <c r="D5816" s="4"/>
      <c r="E5816" s="4"/>
    </row>
    <row r="5817" spans="1:5" x14ac:dyDescent="0.3">
      <c r="A5817" s="9">
        <v>5809</v>
      </c>
      <c r="B5817" s="10">
        <f t="shared" ca="1" si="90"/>
        <v>7.5593681419976855E-2</v>
      </c>
      <c r="C5817" s="10">
        <f ca="1">NPV(B5817,Project_FCF!C18:J18)+Project_FCF!B18</f>
        <v>976.08509948279948</v>
      </c>
      <c r="D5817" s="4"/>
      <c r="E5817" s="4"/>
    </row>
    <row r="5818" spans="1:5" x14ac:dyDescent="0.3">
      <c r="A5818" s="9">
        <v>5810</v>
      </c>
      <c r="B5818" s="10">
        <f t="shared" ca="1" si="90"/>
        <v>9.6481530791605929E-2</v>
      </c>
      <c r="C5818" s="10">
        <f ca="1">NPV(B5818,Project_FCF!C18:J18)+Project_FCF!B18</f>
        <v>808.28952069360685</v>
      </c>
      <c r="D5818" s="4"/>
      <c r="E5818" s="4"/>
    </row>
    <row r="5819" spans="1:5" x14ac:dyDescent="0.3">
      <c r="A5819" s="9">
        <v>5811</v>
      </c>
      <c r="B5819" s="10">
        <f t="shared" ca="1" si="90"/>
        <v>6.4708688779539794E-2</v>
      </c>
      <c r="C5819" s="10">
        <f ca="1">NPV(B5819,Project_FCF!C18:J18)+Project_FCF!B18</f>
        <v>1075.2193042479439</v>
      </c>
      <c r="D5819" s="4"/>
      <c r="E5819" s="4"/>
    </row>
    <row r="5820" spans="1:5" x14ac:dyDescent="0.3">
      <c r="A5820" s="9">
        <v>5812</v>
      </c>
      <c r="B5820" s="10">
        <f t="shared" ca="1" si="90"/>
        <v>9.1001581131311488E-2</v>
      </c>
      <c r="C5820" s="10">
        <f ca="1">NPV(B5820,Project_FCF!C18:J18)+Project_FCF!B18</f>
        <v>849.67548961731632</v>
      </c>
      <c r="D5820" s="4"/>
      <c r="E5820" s="4"/>
    </row>
    <row r="5821" spans="1:5" x14ac:dyDescent="0.3">
      <c r="A5821" s="9">
        <v>5813</v>
      </c>
      <c r="B5821" s="10">
        <f t="shared" ca="1" si="90"/>
        <v>6.8832967837005182E-2</v>
      </c>
      <c r="C5821" s="10">
        <f ca="1">NPV(B5821,Project_FCF!C18:J18)+Project_FCF!B18</f>
        <v>1036.6344870608737</v>
      </c>
      <c r="D5821" s="4"/>
      <c r="E5821" s="4"/>
    </row>
    <row r="5822" spans="1:5" x14ac:dyDescent="0.3">
      <c r="A5822" s="9">
        <v>5814</v>
      </c>
      <c r="B5822" s="10">
        <f t="shared" ca="1" si="90"/>
        <v>6.9561501611554999E-2</v>
      </c>
      <c r="C5822" s="10">
        <f ca="1">NPV(B5822,Project_FCF!C18:J18)+Project_FCF!B18</f>
        <v>1029.9507945363634</v>
      </c>
      <c r="D5822" s="4"/>
      <c r="E5822" s="4"/>
    </row>
    <row r="5823" spans="1:5" x14ac:dyDescent="0.3">
      <c r="A5823" s="9">
        <v>5815</v>
      </c>
      <c r="B5823" s="10">
        <f t="shared" ca="1" si="90"/>
        <v>8.5334058271008692E-2</v>
      </c>
      <c r="C5823" s="10">
        <f ca="1">NPV(B5823,Project_FCF!C18:J18)+Project_FCF!B18</f>
        <v>894.39229812528811</v>
      </c>
      <c r="D5823" s="4"/>
      <c r="E5823" s="4"/>
    </row>
    <row r="5824" spans="1:5" x14ac:dyDescent="0.3">
      <c r="A5824" s="9">
        <v>5816</v>
      </c>
      <c r="B5824" s="10">
        <f t="shared" ca="1" si="90"/>
        <v>9.7817286041930851E-2</v>
      </c>
      <c r="C5824" s="10">
        <f ca="1">NPV(B5824,Project_FCF!C18:J18)+Project_FCF!B18</f>
        <v>798.46732341329971</v>
      </c>
      <c r="D5824" s="4"/>
      <c r="E5824" s="4"/>
    </row>
    <row r="5825" spans="1:5" x14ac:dyDescent="0.3">
      <c r="A5825" s="9">
        <v>5817</v>
      </c>
      <c r="B5825" s="10">
        <f t="shared" ca="1" si="90"/>
        <v>8.5441701677365811E-2</v>
      </c>
      <c r="C5825" s="10">
        <f ca="1">NPV(B5825,Project_FCF!C18:J18)+Project_FCF!B18</f>
        <v>893.5242529996608</v>
      </c>
      <c r="D5825" s="4"/>
      <c r="E5825" s="4"/>
    </row>
    <row r="5826" spans="1:5" x14ac:dyDescent="0.3">
      <c r="A5826" s="9">
        <v>5818</v>
      </c>
      <c r="B5826" s="10">
        <f t="shared" ca="1" si="90"/>
        <v>9.1613938605985518E-2</v>
      </c>
      <c r="C5826" s="10">
        <f ca="1">NPV(B5826,Project_FCF!C18:J18)+Project_FCF!B18</f>
        <v>844.96218439028576</v>
      </c>
      <c r="D5826" s="4"/>
      <c r="E5826" s="4"/>
    </row>
    <row r="5827" spans="1:5" x14ac:dyDescent="0.3">
      <c r="A5827" s="9">
        <v>5819</v>
      </c>
      <c r="B5827" s="10">
        <f t="shared" ca="1" si="90"/>
        <v>7.2215823256448278E-2</v>
      </c>
      <c r="C5827" s="10">
        <f ca="1">NPV(B5827,Project_FCF!C18:J18)+Project_FCF!B18</f>
        <v>1005.927579364474</v>
      </c>
      <c r="D5827" s="4"/>
      <c r="E5827" s="4"/>
    </row>
    <row r="5828" spans="1:5" x14ac:dyDescent="0.3">
      <c r="A5828" s="9">
        <v>5820</v>
      </c>
      <c r="B5828" s="10">
        <f t="shared" ca="1" si="90"/>
        <v>9.8638917225712025E-2</v>
      </c>
      <c r="C5828" s="10">
        <f ca="1">NPV(B5828,Project_FCF!C18:J18)+Project_FCF!B18</f>
        <v>792.47621308244766</v>
      </c>
      <c r="D5828" s="4"/>
      <c r="E5828" s="4"/>
    </row>
    <row r="5829" spans="1:5" x14ac:dyDescent="0.3">
      <c r="A5829" s="9">
        <v>5821</v>
      </c>
      <c r="B5829" s="10">
        <f t="shared" ca="1" si="90"/>
        <v>7.4763928225123955E-2</v>
      </c>
      <c r="C5829" s="10">
        <f ca="1">NPV(B5829,Project_FCF!C18:J18)+Project_FCF!B18</f>
        <v>983.34127241927058</v>
      </c>
      <c r="D5829" s="4"/>
      <c r="E5829" s="4"/>
    </row>
    <row r="5830" spans="1:5" x14ac:dyDescent="0.3">
      <c r="A5830" s="9">
        <v>5822</v>
      </c>
      <c r="B5830" s="10">
        <f t="shared" ca="1" si="90"/>
        <v>7.83700338557973E-2</v>
      </c>
      <c r="C5830" s="10">
        <f ca="1">NPV(B5830,Project_FCF!C18:J18)+Project_FCF!B18</f>
        <v>952.1521242683184</v>
      </c>
      <c r="D5830" s="4"/>
      <c r="E5830" s="4"/>
    </row>
    <row r="5831" spans="1:5" x14ac:dyDescent="0.3">
      <c r="A5831" s="9">
        <v>5823</v>
      </c>
      <c r="B5831" s="10">
        <f t="shared" ca="1" si="90"/>
        <v>6.4829193128901577E-2</v>
      </c>
      <c r="C5831" s="10">
        <f ca="1">NPV(B5831,Project_FCF!C18:J18)+Project_FCF!B18</f>
        <v>1074.073629167237</v>
      </c>
      <c r="D5831" s="4"/>
      <c r="E5831" s="4"/>
    </row>
    <row r="5832" spans="1:5" x14ac:dyDescent="0.3">
      <c r="A5832" s="9">
        <v>5824</v>
      </c>
      <c r="B5832" s="10">
        <f t="shared" ca="1" si="90"/>
        <v>8.2975287740519044E-2</v>
      </c>
      <c r="C5832" s="10">
        <f ca="1">NPV(B5832,Project_FCF!C18:J18)+Project_FCF!B18</f>
        <v>913.60017346964651</v>
      </c>
      <c r="D5832" s="4"/>
      <c r="E5832" s="4"/>
    </row>
    <row r="5833" spans="1:5" x14ac:dyDescent="0.3">
      <c r="A5833" s="9">
        <v>5825</v>
      </c>
      <c r="B5833" s="10">
        <f t="shared" ref="B5833:B5896" ca="1" si="91">$B$4+RAND()*($B$5-$B$4)</f>
        <v>7.3411208131965916E-2</v>
      </c>
      <c r="C5833" s="10">
        <f ca="1">NPV(B5833,Project_FCF!C18:J18)+Project_FCF!B18</f>
        <v>995.2743959125246</v>
      </c>
      <c r="D5833" s="4"/>
      <c r="E5833" s="4"/>
    </row>
    <row r="5834" spans="1:5" x14ac:dyDescent="0.3">
      <c r="A5834" s="9">
        <v>5826</v>
      </c>
      <c r="B5834" s="10">
        <f t="shared" ca="1" si="91"/>
        <v>8.4263499724247515E-2</v>
      </c>
      <c r="C5834" s="10">
        <f ca="1">NPV(B5834,Project_FCF!C18:J18)+Project_FCF!B18</f>
        <v>903.06566032012415</v>
      </c>
      <c r="D5834" s="4"/>
      <c r="E5834" s="4"/>
    </row>
    <row r="5835" spans="1:5" x14ac:dyDescent="0.3">
      <c r="A5835" s="9">
        <v>5827</v>
      </c>
      <c r="B5835" s="10">
        <f t="shared" ca="1" si="91"/>
        <v>8.2333416476644036E-2</v>
      </c>
      <c r="C5835" s="10">
        <f ca="1">NPV(B5835,Project_FCF!C18:J18)+Project_FCF!B18</f>
        <v>918.8893831885166</v>
      </c>
      <c r="D5835" s="4"/>
      <c r="E5835" s="4"/>
    </row>
    <row r="5836" spans="1:5" x14ac:dyDescent="0.3">
      <c r="A5836" s="9">
        <v>5828</v>
      </c>
      <c r="B5836" s="10">
        <f t="shared" ca="1" si="91"/>
        <v>7.2021735102912973E-2</v>
      </c>
      <c r="C5836" s="10">
        <f ca="1">NPV(B5836,Project_FCF!C18:J18)+Project_FCF!B18</f>
        <v>1007.6669210587975</v>
      </c>
      <c r="D5836" s="4"/>
      <c r="E5836" s="4"/>
    </row>
    <row r="5837" spans="1:5" x14ac:dyDescent="0.3">
      <c r="A5837" s="9">
        <v>5829</v>
      </c>
      <c r="B5837" s="10">
        <f t="shared" ca="1" si="91"/>
        <v>8.4937468850165551E-2</v>
      </c>
      <c r="C5837" s="10">
        <f ca="1">NPV(B5837,Project_FCF!C18:J18)+Project_FCF!B18</f>
        <v>897.59680223437203</v>
      </c>
      <c r="D5837" s="4"/>
      <c r="E5837" s="4"/>
    </row>
    <row r="5838" spans="1:5" x14ac:dyDescent="0.3">
      <c r="A5838" s="9">
        <v>5830</v>
      </c>
      <c r="B5838" s="10">
        <f t="shared" ca="1" si="91"/>
        <v>7.9083818784484672E-2</v>
      </c>
      <c r="C5838" s="10">
        <f ca="1">NPV(B5838,Project_FCF!C18:J18)+Project_FCF!B18</f>
        <v>946.08410667695807</v>
      </c>
      <c r="D5838" s="4"/>
      <c r="E5838" s="4"/>
    </row>
    <row r="5839" spans="1:5" x14ac:dyDescent="0.3">
      <c r="A5839" s="9">
        <v>5831</v>
      </c>
      <c r="B5839" s="10">
        <f t="shared" ca="1" si="91"/>
        <v>9.5787114923256658E-2</v>
      </c>
      <c r="C5839" s="10">
        <f ca="1">NPV(B5839,Project_FCF!C18:J18)+Project_FCF!B18</f>
        <v>813.43633383015958</v>
      </c>
      <c r="D5839" s="4"/>
      <c r="E5839" s="4"/>
    </row>
    <row r="5840" spans="1:5" x14ac:dyDescent="0.3">
      <c r="A5840" s="9">
        <v>5832</v>
      </c>
      <c r="B5840" s="10">
        <f t="shared" ca="1" si="91"/>
        <v>7.3212042588408854E-2</v>
      </c>
      <c r="C5840" s="10">
        <f ca="1">NPV(B5840,Project_FCF!C18:J18)+Project_FCF!B18</f>
        <v>997.04227635459847</v>
      </c>
      <c r="D5840" s="4"/>
      <c r="E5840" s="4"/>
    </row>
    <row r="5841" spans="1:5" x14ac:dyDescent="0.3">
      <c r="A5841" s="9">
        <v>5833</v>
      </c>
      <c r="B5841" s="10">
        <f t="shared" ca="1" si="91"/>
        <v>8.6821806867138168E-2</v>
      </c>
      <c r="C5841" s="10">
        <f ca="1">NPV(B5841,Project_FCF!C18:J18)+Project_FCF!B18</f>
        <v>882.46006118492346</v>
      </c>
      <c r="D5841" s="4"/>
      <c r="E5841" s="4"/>
    </row>
    <row r="5842" spans="1:5" x14ac:dyDescent="0.3">
      <c r="A5842" s="9">
        <v>5834</v>
      </c>
      <c r="B5842" s="10">
        <f t="shared" ca="1" si="91"/>
        <v>9.9930476714630498E-2</v>
      </c>
      <c r="C5842" s="10">
        <f ca="1">NPV(B5842,Project_FCF!C18:J18)+Project_FCF!B18</f>
        <v>783.13560859107724</v>
      </c>
      <c r="D5842" s="4"/>
      <c r="E5842" s="4"/>
    </row>
    <row r="5843" spans="1:5" x14ac:dyDescent="0.3">
      <c r="A5843" s="9">
        <v>5835</v>
      </c>
      <c r="B5843" s="10">
        <f t="shared" ca="1" si="91"/>
        <v>0.10356500332602367</v>
      </c>
      <c r="C5843" s="10">
        <f ca="1">NPV(B5843,Project_FCF!C18:J18)+Project_FCF!B18</f>
        <v>757.34782765338764</v>
      </c>
      <c r="D5843" s="4"/>
      <c r="E5843" s="4"/>
    </row>
    <row r="5844" spans="1:5" x14ac:dyDescent="0.3">
      <c r="A5844" s="9">
        <v>5836</v>
      </c>
      <c r="B5844" s="10">
        <f t="shared" ca="1" si="91"/>
        <v>0.10128717777448798</v>
      </c>
      <c r="C5844" s="10">
        <f ca="1">NPV(B5844,Project_FCF!C18:J18)+Project_FCF!B18</f>
        <v>773.42435238012877</v>
      </c>
      <c r="D5844" s="4"/>
      <c r="E5844" s="4"/>
    </row>
    <row r="5845" spans="1:5" x14ac:dyDescent="0.3">
      <c r="A5845" s="9">
        <v>5837</v>
      </c>
      <c r="B5845" s="10">
        <f t="shared" ca="1" si="91"/>
        <v>9.9041506045303151E-2</v>
      </c>
      <c r="C5845" s="10">
        <f ca="1">NPV(B5845,Project_FCF!C18:J18)+Project_FCF!B18</f>
        <v>789.55460355976425</v>
      </c>
      <c r="D5845" s="4"/>
      <c r="E5845" s="4"/>
    </row>
    <row r="5846" spans="1:5" x14ac:dyDescent="0.3">
      <c r="A5846" s="9">
        <v>5838</v>
      </c>
      <c r="B5846" s="10">
        <f t="shared" ca="1" si="91"/>
        <v>8.3663643859778064E-2</v>
      </c>
      <c r="C5846" s="10">
        <f ca="1">NPV(B5846,Project_FCF!C18:J18)+Project_FCF!B18</f>
        <v>907.95770145931374</v>
      </c>
      <c r="D5846" s="4"/>
      <c r="E5846" s="4"/>
    </row>
    <row r="5847" spans="1:5" x14ac:dyDescent="0.3">
      <c r="A5847" s="9">
        <v>5839</v>
      </c>
      <c r="B5847" s="10">
        <f t="shared" ca="1" si="91"/>
        <v>7.0297018267705402E-2</v>
      </c>
      <c r="C5847" s="10">
        <f ca="1">NPV(B5847,Project_FCF!C18:J18)+Project_FCF!B18</f>
        <v>1023.2426026701462</v>
      </c>
      <c r="D5847" s="4"/>
      <c r="E5847" s="4"/>
    </row>
    <row r="5848" spans="1:5" x14ac:dyDescent="0.3">
      <c r="A5848" s="9">
        <v>5840</v>
      </c>
      <c r="B5848" s="10">
        <f t="shared" ca="1" si="91"/>
        <v>6.5298791476243401E-2</v>
      </c>
      <c r="C5848" s="10">
        <f ca="1">NPV(B5848,Project_FCF!C18:J18)+Project_FCF!B18</f>
        <v>1069.6196211899205</v>
      </c>
      <c r="D5848" s="4"/>
      <c r="E5848" s="4"/>
    </row>
    <row r="5849" spans="1:5" x14ac:dyDescent="0.3">
      <c r="A5849" s="9">
        <v>5841</v>
      </c>
      <c r="B5849" s="10">
        <f t="shared" ca="1" si="91"/>
        <v>9.1670944190313686E-2</v>
      </c>
      <c r="C5849" s="10">
        <f ca="1">NPV(B5849,Project_FCF!C18:J18)+Project_FCF!B18</f>
        <v>844.52456418125985</v>
      </c>
      <c r="D5849" s="4"/>
      <c r="E5849" s="4"/>
    </row>
    <row r="5850" spans="1:5" x14ac:dyDescent="0.3">
      <c r="A5850" s="9">
        <v>5842</v>
      </c>
      <c r="B5850" s="10">
        <f t="shared" ca="1" si="91"/>
        <v>0.10201739888154854</v>
      </c>
      <c r="C5850" s="10">
        <f ca="1">NPV(B5850,Project_FCF!C18:J18)+Project_FCF!B18</f>
        <v>768.23961982611877</v>
      </c>
      <c r="D5850" s="4"/>
      <c r="E5850" s="4"/>
    </row>
    <row r="5851" spans="1:5" x14ac:dyDescent="0.3">
      <c r="A5851" s="9">
        <v>5843</v>
      </c>
      <c r="B5851" s="10">
        <f t="shared" ca="1" si="91"/>
        <v>9.1766228796279006E-2</v>
      </c>
      <c r="C5851" s="10">
        <f ca="1">NPV(B5851,Project_FCF!C18:J18)+Project_FCF!B18</f>
        <v>843.79352040448953</v>
      </c>
      <c r="D5851" s="4"/>
      <c r="E5851" s="4"/>
    </row>
    <row r="5852" spans="1:5" x14ac:dyDescent="0.3">
      <c r="A5852" s="9">
        <v>5844</v>
      </c>
      <c r="B5852" s="10">
        <f t="shared" ca="1" si="91"/>
        <v>9.5179754000788791E-2</v>
      </c>
      <c r="C5852" s="10">
        <f ca="1">NPV(B5852,Project_FCF!C18:J18)+Project_FCF!B18</f>
        <v>817.96085223542832</v>
      </c>
      <c r="D5852" s="4"/>
      <c r="E5852" s="4"/>
    </row>
    <row r="5853" spans="1:5" x14ac:dyDescent="0.3">
      <c r="A5853" s="9">
        <v>5845</v>
      </c>
      <c r="B5853" s="10">
        <f t="shared" ca="1" si="91"/>
        <v>7.4516218229621983E-2</v>
      </c>
      <c r="C5853" s="10">
        <f ca="1">NPV(B5853,Project_FCF!C18:J18)+Project_FCF!B18</f>
        <v>985.51682680815316</v>
      </c>
      <c r="D5853" s="4"/>
      <c r="E5853" s="4"/>
    </row>
    <row r="5854" spans="1:5" x14ac:dyDescent="0.3">
      <c r="A5854" s="9">
        <v>5846</v>
      </c>
      <c r="B5854" s="10">
        <f t="shared" ca="1" si="91"/>
        <v>7.4611053053744408E-2</v>
      </c>
      <c r="C5854" s="10">
        <f ca="1">NPV(B5854,Project_FCF!C18:J18)+Project_FCF!B18</f>
        <v>984.68341548982539</v>
      </c>
      <c r="D5854" s="4"/>
      <c r="E5854" s="4"/>
    </row>
    <row r="5855" spans="1:5" x14ac:dyDescent="0.3">
      <c r="A5855" s="9">
        <v>5847</v>
      </c>
      <c r="B5855" s="10">
        <f t="shared" ca="1" si="91"/>
        <v>9.9103014880026846E-2</v>
      </c>
      <c r="C5855" s="10">
        <f ca="1">NPV(B5855,Project_FCF!C18:J18)+Project_FCF!B18</f>
        <v>789.10903590497674</v>
      </c>
      <c r="D5855" s="4"/>
      <c r="E5855" s="4"/>
    </row>
    <row r="5856" spans="1:5" x14ac:dyDescent="0.3">
      <c r="A5856" s="9">
        <v>5848</v>
      </c>
      <c r="B5856" s="10">
        <f t="shared" ca="1" si="91"/>
        <v>9.9762130471014815E-2</v>
      </c>
      <c r="C5856" s="10">
        <f ca="1">NPV(B5856,Project_FCF!C18:J18)+Project_FCF!B18</f>
        <v>784.34778408783245</v>
      </c>
      <c r="D5856" s="4"/>
      <c r="E5856" s="4"/>
    </row>
    <row r="5857" spans="1:5" x14ac:dyDescent="0.3">
      <c r="A5857" s="9">
        <v>5849</v>
      </c>
      <c r="B5857" s="10">
        <f t="shared" ca="1" si="91"/>
        <v>0.10098665960947603</v>
      </c>
      <c r="C5857" s="10">
        <f ca="1">NPV(B5857,Project_FCF!C18:J18)+Project_FCF!B18</f>
        <v>775.56664621914069</v>
      </c>
      <c r="D5857" s="4"/>
      <c r="E5857" s="4"/>
    </row>
    <row r="5858" spans="1:5" x14ac:dyDescent="0.3">
      <c r="A5858" s="9">
        <v>5850</v>
      </c>
      <c r="B5858" s="10">
        <f t="shared" ca="1" si="91"/>
        <v>9.9240350389759507E-2</v>
      </c>
      <c r="C5858" s="10">
        <f ca="1">NPV(B5858,Project_FCF!C18:J18)+Project_FCF!B18</f>
        <v>788.11495180787711</v>
      </c>
      <c r="D5858" s="4"/>
      <c r="E5858" s="4"/>
    </row>
    <row r="5859" spans="1:5" x14ac:dyDescent="0.3">
      <c r="A5859" s="9">
        <v>5851</v>
      </c>
      <c r="B5859" s="10">
        <f t="shared" ca="1" si="91"/>
        <v>8.390889823858344E-2</v>
      </c>
      <c r="C5859" s="10">
        <f ca="1">NPV(B5859,Project_FCF!C18:J18)+Project_FCF!B18</f>
        <v>905.95475861013892</v>
      </c>
      <c r="D5859" s="4"/>
      <c r="E5859" s="4"/>
    </row>
    <row r="5860" spans="1:5" x14ac:dyDescent="0.3">
      <c r="A5860" s="9">
        <v>5852</v>
      </c>
      <c r="B5860" s="10">
        <f t="shared" ca="1" si="91"/>
        <v>8.9125136565624971E-2</v>
      </c>
      <c r="C5860" s="10">
        <f ca="1">NPV(B5860,Project_FCF!C18:J18)+Project_FCF!B18</f>
        <v>864.26037428902487</v>
      </c>
      <c r="D5860" s="4"/>
      <c r="E5860" s="4"/>
    </row>
    <row r="5861" spans="1:5" x14ac:dyDescent="0.3">
      <c r="A5861" s="9">
        <v>5853</v>
      </c>
      <c r="B5861" s="10">
        <f t="shared" ca="1" si="91"/>
        <v>8.839828622843518E-2</v>
      </c>
      <c r="C5861" s="10">
        <f ca="1">NPV(B5861,Project_FCF!C18:J18)+Project_FCF!B18</f>
        <v>869.96796052981995</v>
      </c>
      <c r="D5861" s="4"/>
      <c r="E5861" s="4"/>
    </row>
    <row r="5862" spans="1:5" x14ac:dyDescent="0.3">
      <c r="A5862" s="9">
        <v>5854</v>
      </c>
      <c r="B5862" s="10">
        <f t="shared" ca="1" si="91"/>
        <v>9.8799299169191585E-2</v>
      </c>
      <c r="C5862" s="10">
        <f ca="1">NPV(B5862,Project_FCF!C18:J18)+Project_FCF!B18</f>
        <v>791.31121541109519</v>
      </c>
      <c r="D5862" s="4"/>
      <c r="E5862" s="4"/>
    </row>
    <row r="5863" spans="1:5" x14ac:dyDescent="0.3">
      <c r="A5863" s="9">
        <v>5855</v>
      </c>
      <c r="B5863" s="10">
        <f t="shared" ca="1" si="91"/>
        <v>6.6274353576765158E-2</v>
      </c>
      <c r="C5863" s="10">
        <f ca="1">NPV(B5863,Project_FCF!C18:J18)+Project_FCF!B18</f>
        <v>1060.4204642253524</v>
      </c>
      <c r="D5863" s="4"/>
      <c r="E5863" s="4"/>
    </row>
    <row r="5864" spans="1:5" x14ac:dyDescent="0.3">
      <c r="A5864" s="9">
        <v>5856</v>
      </c>
      <c r="B5864" s="10">
        <f t="shared" ca="1" si="91"/>
        <v>9.1053021255710548E-2</v>
      </c>
      <c r="C5864" s="10">
        <f ca="1">NPV(B5864,Project_FCF!C18:J18)+Project_FCF!B18</f>
        <v>849.27868402028298</v>
      </c>
      <c r="D5864" s="4"/>
      <c r="E5864" s="4"/>
    </row>
    <row r="5865" spans="1:5" x14ac:dyDescent="0.3">
      <c r="A5865" s="9">
        <v>5857</v>
      </c>
      <c r="B5865" s="10">
        <f t="shared" ca="1" si="91"/>
        <v>9.9671691380904814E-2</v>
      </c>
      <c r="C5865" s="10">
        <f ca="1">NPV(B5865,Project_FCF!C18:J18)+Project_FCF!B18</f>
        <v>784.99964518852971</v>
      </c>
      <c r="D5865" s="4"/>
      <c r="E5865" s="4"/>
    </row>
    <row r="5866" spans="1:5" x14ac:dyDescent="0.3">
      <c r="A5866" s="9">
        <v>5858</v>
      </c>
      <c r="B5866" s="10">
        <f t="shared" ca="1" si="91"/>
        <v>8.2122091290511956E-2</v>
      </c>
      <c r="C5866" s="10">
        <f ca="1">NPV(B5866,Project_FCF!C18:J18)+Project_FCF!B18</f>
        <v>920.63665784940827</v>
      </c>
      <c r="D5866" s="4"/>
      <c r="E5866" s="4"/>
    </row>
    <row r="5867" spans="1:5" x14ac:dyDescent="0.3">
      <c r="A5867" s="9">
        <v>5859</v>
      </c>
      <c r="B5867" s="10">
        <f t="shared" ca="1" si="91"/>
        <v>0.10278977010267205</v>
      </c>
      <c r="C5867" s="10">
        <f ca="1">NPV(B5867,Project_FCF!C18:J18)+Project_FCF!B18</f>
        <v>762.78746884941529</v>
      </c>
      <c r="D5867" s="4"/>
      <c r="E5867" s="4"/>
    </row>
    <row r="5868" spans="1:5" x14ac:dyDescent="0.3">
      <c r="A5868" s="9">
        <v>5860</v>
      </c>
      <c r="B5868" s="10">
        <f t="shared" ca="1" si="91"/>
        <v>7.1691035820957094E-2</v>
      </c>
      <c r="C5868" s="10">
        <f ca="1">NPV(B5868,Project_FCF!C18:J18)+Project_FCF!B18</f>
        <v>1010.6367553724465</v>
      </c>
      <c r="D5868" s="4"/>
      <c r="E5868" s="4"/>
    </row>
    <row r="5869" spans="1:5" x14ac:dyDescent="0.3">
      <c r="A5869" s="9">
        <v>5861</v>
      </c>
      <c r="B5869" s="10">
        <f t="shared" ca="1" si="91"/>
        <v>9.7060258424874687E-2</v>
      </c>
      <c r="C5869" s="10">
        <f ca="1">NPV(B5869,Project_FCF!C18:J18)+Project_FCF!B18</f>
        <v>804.02140726627113</v>
      </c>
      <c r="D5869" s="4"/>
      <c r="E5869" s="4"/>
    </row>
    <row r="5870" spans="1:5" x14ac:dyDescent="0.3">
      <c r="A5870" s="9">
        <v>5862</v>
      </c>
      <c r="B5870" s="10">
        <f t="shared" ca="1" si="91"/>
        <v>7.7097031248146139E-2</v>
      </c>
      <c r="C5870" s="10">
        <f ca="1">NPV(B5870,Project_FCF!C18:J18)+Project_FCF!B18</f>
        <v>963.06007732414673</v>
      </c>
      <c r="D5870" s="4"/>
      <c r="E5870" s="4"/>
    </row>
    <row r="5871" spans="1:5" x14ac:dyDescent="0.3">
      <c r="A5871" s="9">
        <v>5863</v>
      </c>
      <c r="B5871" s="10">
        <f t="shared" ca="1" si="91"/>
        <v>8.7881169916786114E-2</v>
      </c>
      <c r="C5871" s="10">
        <f ca="1">NPV(B5871,Project_FCF!C18:J18)+Project_FCF!B18</f>
        <v>874.04853356478543</v>
      </c>
      <c r="D5871" s="4"/>
      <c r="E5871" s="4"/>
    </row>
    <row r="5872" spans="1:5" x14ac:dyDescent="0.3">
      <c r="A5872" s="9">
        <v>5864</v>
      </c>
      <c r="B5872" s="10">
        <f t="shared" ca="1" si="91"/>
        <v>8.5482666543037433E-2</v>
      </c>
      <c r="C5872" s="10">
        <f ca="1">NPV(B5872,Project_FCF!C18:J18)+Project_FCF!B18</f>
        <v>893.19410276775307</v>
      </c>
      <c r="D5872" s="4"/>
      <c r="E5872" s="4"/>
    </row>
    <row r="5873" spans="1:5" x14ac:dyDescent="0.3">
      <c r="A5873" s="9">
        <v>5865</v>
      </c>
      <c r="B5873" s="10">
        <f t="shared" ca="1" si="91"/>
        <v>0.10309796385642325</v>
      </c>
      <c r="C5873" s="10">
        <f ca="1">NPV(B5873,Project_FCF!C18:J18)+Project_FCF!B18</f>
        <v>760.62102882329759</v>
      </c>
      <c r="D5873" s="4"/>
      <c r="E5873" s="4"/>
    </row>
    <row r="5874" spans="1:5" x14ac:dyDescent="0.3">
      <c r="A5874" s="9">
        <v>5866</v>
      </c>
      <c r="B5874" s="10">
        <f t="shared" ca="1" si="91"/>
        <v>9.270983809002542E-2</v>
      </c>
      <c r="C5874" s="10">
        <f ca="1">NPV(B5874,Project_FCF!C18:J18)+Project_FCF!B18</f>
        <v>836.5833518196489</v>
      </c>
      <c r="D5874" s="4"/>
      <c r="E5874" s="4"/>
    </row>
    <row r="5875" spans="1:5" x14ac:dyDescent="0.3">
      <c r="A5875" s="9">
        <v>5867</v>
      </c>
      <c r="B5875" s="10">
        <f t="shared" ca="1" si="91"/>
        <v>8.4881161183359241E-2</v>
      </c>
      <c r="C5875" s="10">
        <f ca="1">NPV(B5875,Project_FCF!C18:J18)+Project_FCF!B18</f>
        <v>898.05259126036412</v>
      </c>
      <c r="D5875" s="4"/>
      <c r="E5875" s="4"/>
    </row>
    <row r="5876" spans="1:5" x14ac:dyDescent="0.3">
      <c r="A5876" s="9">
        <v>5868</v>
      </c>
      <c r="B5876" s="10">
        <f t="shared" ca="1" si="91"/>
        <v>6.6101475139974664E-2</v>
      </c>
      <c r="C5876" s="10">
        <f ca="1">NPV(B5876,Project_FCF!C18:J18)+Project_FCF!B18</f>
        <v>1062.0453657878836</v>
      </c>
      <c r="D5876" s="4"/>
      <c r="E5876" s="4"/>
    </row>
    <row r="5877" spans="1:5" x14ac:dyDescent="0.3">
      <c r="A5877" s="9">
        <v>5869</v>
      </c>
      <c r="B5877" s="10">
        <f t="shared" ca="1" si="91"/>
        <v>0.10270957014283399</v>
      </c>
      <c r="C5877" s="10">
        <f ca="1">NPV(B5877,Project_FCF!C18:J18)+Project_FCF!B18</f>
        <v>763.35208114355623</v>
      </c>
      <c r="D5877" s="4"/>
      <c r="E5877" s="4"/>
    </row>
    <row r="5878" spans="1:5" x14ac:dyDescent="0.3">
      <c r="A5878" s="9">
        <v>5870</v>
      </c>
      <c r="B5878" s="10">
        <f t="shared" ca="1" si="91"/>
        <v>8.2356098166076031E-2</v>
      </c>
      <c r="C5878" s="10">
        <f ca="1">NPV(B5878,Project_FCF!C18:J18)+Project_FCF!B18</f>
        <v>918.70202068079857</v>
      </c>
      <c r="D5878" s="4"/>
      <c r="E5878" s="4"/>
    </row>
    <row r="5879" spans="1:5" x14ac:dyDescent="0.3">
      <c r="A5879" s="9">
        <v>5871</v>
      </c>
      <c r="B5879" s="10">
        <f t="shared" ca="1" si="91"/>
        <v>7.7453724698763299E-2</v>
      </c>
      <c r="C5879" s="10">
        <f ca="1">NPV(B5879,Project_FCF!C18:J18)+Project_FCF!B18</f>
        <v>959.99252670162332</v>
      </c>
      <c r="D5879" s="4"/>
      <c r="E5879" s="4"/>
    </row>
    <row r="5880" spans="1:5" x14ac:dyDescent="0.3">
      <c r="A5880" s="9">
        <v>5872</v>
      </c>
      <c r="B5880" s="10">
        <f t="shared" ca="1" si="91"/>
        <v>9.4645046680747483E-2</v>
      </c>
      <c r="C5880" s="10">
        <f ca="1">NPV(B5880,Project_FCF!C18:J18)+Project_FCF!B18</f>
        <v>821.96194810405564</v>
      </c>
      <c r="D5880" s="4"/>
      <c r="E5880" s="4"/>
    </row>
    <row r="5881" spans="1:5" x14ac:dyDescent="0.3">
      <c r="A5881" s="9">
        <v>5873</v>
      </c>
      <c r="B5881" s="10">
        <f t="shared" ca="1" si="91"/>
        <v>0.10392265111893254</v>
      </c>
      <c r="C5881" s="10">
        <f ca="1">NPV(B5881,Project_FCF!C18:J18)+Project_FCF!B18</f>
        <v>754.8492773653993</v>
      </c>
      <c r="D5881" s="4"/>
      <c r="E5881" s="4"/>
    </row>
    <row r="5882" spans="1:5" x14ac:dyDescent="0.3">
      <c r="A5882" s="9">
        <v>5874</v>
      </c>
      <c r="B5882" s="10">
        <f t="shared" ca="1" si="91"/>
        <v>0.10394909495272953</v>
      </c>
      <c r="C5882" s="10">
        <f ca="1">NPV(B5882,Project_FCF!C18:J18)+Project_FCF!B18</f>
        <v>754.66481350768959</v>
      </c>
      <c r="D5882" s="4"/>
      <c r="E5882" s="4"/>
    </row>
    <row r="5883" spans="1:5" x14ac:dyDescent="0.3">
      <c r="A5883" s="9">
        <v>5875</v>
      </c>
      <c r="B5883" s="10">
        <f t="shared" ca="1" si="91"/>
        <v>9.6844314602775539E-2</v>
      </c>
      <c r="C5883" s="10">
        <f ca="1">NPV(B5883,Project_FCF!C18:J18)+Project_FCF!B18</f>
        <v>805.6117393892066</v>
      </c>
      <c r="D5883" s="4"/>
      <c r="E5883" s="4"/>
    </row>
    <row r="5884" spans="1:5" x14ac:dyDescent="0.3">
      <c r="A5884" s="9">
        <v>5876</v>
      </c>
      <c r="B5884" s="10">
        <f t="shared" ca="1" si="91"/>
        <v>9.8144030024101353E-2</v>
      </c>
      <c r="C5884" s="10">
        <f ca="1">NPV(B5884,Project_FCF!C18:J18)+Project_FCF!B18</f>
        <v>796.08020375908018</v>
      </c>
      <c r="D5884" s="4"/>
      <c r="E5884" s="4"/>
    </row>
    <row r="5885" spans="1:5" x14ac:dyDescent="0.3">
      <c r="A5885" s="9">
        <v>5877</v>
      </c>
      <c r="B5885" s="10">
        <f t="shared" ca="1" si="91"/>
        <v>9.4741941959723408E-2</v>
      </c>
      <c r="C5885" s="10">
        <f ca="1">NPV(B5885,Project_FCF!C18:J18)+Project_FCF!B18</f>
        <v>821.23566134813314</v>
      </c>
      <c r="D5885" s="4"/>
      <c r="E5885" s="4"/>
    </row>
    <row r="5886" spans="1:5" x14ac:dyDescent="0.3">
      <c r="A5886" s="9">
        <v>5878</v>
      </c>
      <c r="B5886" s="10">
        <f t="shared" ca="1" si="91"/>
        <v>6.6909860570710342E-2</v>
      </c>
      <c r="C5886" s="10">
        <f ca="1">NPV(B5886,Project_FCF!C18:J18)+Project_FCF!B18</f>
        <v>1054.4666942107667</v>
      </c>
      <c r="D5886" s="4"/>
      <c r="E5886" s="4"/>
    </row>
    <row r="5887" spans="1:5" x14ac:dyDescent="0.3">
      <c r="A5887" s="9">
        <v>5879</v>
      </c>
      <c r="B5887" s="10">
        <f t="shared" ca="1" si="91"/>
        <v>6.4049521223831618E-2</v>
      </c>
      <c r="C5887" s="10">
        <f ca="1">NPV(B5887,Project_FCF!C18:J18)+Project_FCF!B18</f>
        <v>1081.5060021755546</v>
      </c>
      <c r="D5887" s="4"/>
      <c r="E5887" s="4"/>
    </row>
    <row r="5888" spans="1:5" x14ac:dyDescent="0.3">
      <c r="A5888" s="9">
        <v>5880</v>
      </c>
      <c r="B5888" s="10">
        <f t="shared" ca="1" si="91"/>
        <v>0.10052334666424055</v>
      </c>
      <c r="C5888" s="10">
        <f ca="1">NPV(B5888,Project_FCF!C18:J18)+Project_FCF!B18</f>
        <v>778.87925877780367</v>
      </c>
      <c r="D5888" s="4"/>
      <c r="E5888" s="4"/>
    </row>
    <row r="5889" spans="1:5" x14ac:dyDescent="0.3">
      <c r="A5889" s="9">
        <v>5881</v>
      </c>
      <c r="B5889" s="10">
        <f t="shared" ca="1" si="91"/>
        <v>9.2371504890836273E-2</v>
      </c>
      <c r="C5889" s="10">
        <f ca="1">NPV(B5889,Project_FCF!C18:J18)+Project_FCF!B18</f>
        <v>839.16244431750533</v>
      </c>
      <c r="D5889" s="4"/>
      <c r="E5889" s="4"/>
    </row>
    <row r="5890" spans="1:5" x14ac:dyDescent="0.3">
      <c r="A5890" s="9">
        <v>5882</v>
      </c>
      <c r="B5890" s="10">
        <f t="shared" ca="1" si="91"/>
        <v>7.6747525910224546E-2</v>
      </c>
      <c r="C5890" s="10">
        <f ca="1">NPV(B5890,Project_FCF!C18:J18)+Project_FCF!B18</f>
        <v>966.07427816483641</v>
      </c>
      <c r="D5890" s="4"/>
      <c r="E5890" s="4"/>
    </row>
    <row r="5891" spans="1:5" x14ac:dyDescent="0.3">
      <c r="A5891" s="9">
        <v>5883</v>
      </c>
      <c r="B5891" s="10">
        <f t="shared" ca="1" si="91"/>
        <v>8.0930508937330281E-2</v>
      </c>
      <c r="C5891" s="10">
        <f ca="1">NPV(B5891,Project_FCF!C18:J18)+Project_FCF!B18</f>
        <v>930.54384366297586</v>
      </c>
      <c r="D5891" s="4"/>
      <c r="E5891" s="4"/>
    </row>
    <row r="5892" spans="1:5" x14ac:dyDescent="0.3">
      <c r="A5892" s="9">
        <v>5884</v>
      </c>
      <c r="B5892" s="10">
        <f t="shared" ca="1" si="91"/>
        <v>7.5802095981217801E-2</v>
      </c>
      <c r="C5892" s="10">
        <f ca="1">NPV(B5892,Project_FCF!C18:J18)+Project_FCF!B18</f>
        <v>974.2700580477333</v>
      </c>
      <c r="D5892" s="4"/>
      <c r="E5892" s="4"/>
    </row>
    <row r="5893" spans="1:5" x14ac:dyDescent="0.3">
      <c r="A5893" s="9">
        <v>5885</v>
      </c>
      <c r="B5893" s="10">
        <f t="shared" ca="1" si="91"/>
        <v>7.7994994944233675E-2</v>
      </c>
      <c r="C5893" s="10">
        <f ca="1">NPV(B5893,Project_FCF!C18:J18)+Project_FCF!B18</f>
        <v>955.35423447589733</v>
      </c>
      <c r="D5893" s="4"/>
      <c r="E5893" s="4"/>
    </row>
    <row r="5894" spans="1:5" x14ac:dyDescent="0.3">
      <c r="A5894" s="9">
        <v>5886</v>
      </c>
      <c r="B5894" s="10">
        <f t="shared" ca="1" si="91"/>
        <v>7.3263555165949429E-2</v>
      </c>
      <c r="C5894" s="10">
        <f ca="1">NPV(B5894,Project_FCF!C18:J18)+Project_FCF!B18</f>
        <v>996.58475809068182</v>
      </c>
      <c r="D5894" s="4"/>
      <c r="E5894" s="4"/>
    </row>
    <row r="5895" spans="1:5" x14ac:dyDescent="0.3">
      <c r="A5895" s="9">
        <v>5887</v>
      </c>
      <c r="B5895" s="10">
        <f t="shared" ca="1" si="91"/>
        <v>7.3635562515090222E-2</v>
      </c>
      <c r="C5895" s="10">
        <f ca="1">NPV(B5895,Project_FCF!C18:J18)+Project_FCF!B18</f>
        <v>993.28629881629422</v>
      </c>
      <c r="D5895" s="4"/>
      <c r="E5895" s="4"/>
    </row>
    <row r="5896" spans="1:5" x14ac:dyDescent="0.3">
      <c r="A5896" s="9">
        <v>5888</v>
      </c>
      <c r="B5896" s="10">
        <f t="shared" ca="1" si="91"/>
        <v>7.1985579632240351E-2</v>
      </c>
      <c r="C5896" s="10">
        <f ca="1">NPV(B5896,Project_FCF!C18:J18)+Project_FCF!B18</f>
        <v>1007.9912310909554</v>
      </c>
      <c r="D5896" s="4"/>
      <c r="E5896" s="4"/>
    </row>
    <row r="5897" spans="1:5" x14ac:dyDescent="0.3">
      <c r="A5897" s="9">
        <v>5889</v>
      </c>
      <c r="B5897" s="10">
        <f t="shared" ref="B5897:B5960" ca="1" si="92">$B$4+RAND()*($B$5-$B$4)</f>
        <v>8.7131916780525176E-2</v>
      </c>
      <c r="C5897" s="10">
        <f ca="1">NPV(B5897,Project_FCF!C18:J18)+Project_FCF!B18</f>
        <v>879.99046156459758</v>
      </c>
      <c r="D5897" s="4"/>
      <c r="E5897" s="4"/>
    </row>
    <row r="5898" spans="1:5" x14ac:dyDescent="0.3">
      <c r="A5898" s="9">
        <v>5890</v>
      </c>
      <c r="B5898" s="10">
        <f t="shared" ca="1" si="92"/>
        <v>7.8012072469416466E-2</v>
      </c>
      <c r="C5898" s="10">
        <f ca="1">NPV(B5898,Project_FCF!C18:J18)+Project_FCF!B18</f>
        <v>955.20821750765458</v>
      </c>
      <c r="D5898" s="4"/>
      <c r="E5898" s="4"/>
    </row>
    <row r="5899" spans="1:5" x14ac:dyDescent="0.3">
      <c r="A5899" s="9">
        <v>5891</v>
      </c>
      <c r="B5899" s="10">
        <f t="shared" ca="1" si="92"/>
        <v>6.4951530458750503E-2</v>
      </c>
      <c r="C5899" s="10">
        <f ca="1">NPV(B5899,Project_FCF!C18:J18)+Project_FCF!B18</f>
        <v>1072.9116671196837</v>
      </c>
      <c r="D5899" s="4"/>
      <c r="E5899" s="4"/>
    </row>
    <row r="5900" spans="1:5" x14ac:dyDescent="0.3">
      <c r="A5900" s="9">
        <v>5892</v>
      </c>
      <c r="B5900" s="10">
        <f t="shared" ca="1" si="92"/>
        <v>9.1032178808023168E-2</v>
      </c>
      <c r="C5900" s="10">
        <f ca="1">NPV(B5900,Project_FCF!C18:J18)+Project_FCF!B18</f>
        <v>849.43944193188645</v>
      </c>
      <c r="D5900" s="4"/>
      <c r="E5900" s="4"/>
    </row>
    <row r="5901" spans="1:5" x14ac:dyDescent="0.3">
      <c r="A5901" s="9">
        <v>5893</v>
      </c>
      <c r="B5901" s="10">
        <f t="shared" ca="1" si="92"/>
        <v>6.5020211067522357E-2</v>
      </c>
      <c r="C5901" s="10">
        <f ca="1">NPV(B5901,Project_FCF!C18:J18)+Project_FCF!B18</f>
        <v>1072.2598403740515</v>
      </c>
      <c r="D5901" s="4"/>
      <c r="E5901" s="4"/>
    </row>
    <row r="5902" spans="1:5" x14ac:dyDescent="0.3">
      <c r="A5902" s="9">
        <v>5894</v>
      </c>
      <c r="B5902" s="10">
        <f t="shared" ca="1" si="92"/>
        <v>0.10134391414820046</v>
      </c>
      <c r="C5902" s="10">
        <f ca="1">NPV(B5902,Project_FCF!C18:J18)+Project_FCF!B18</f>
        <v>773.02045813685436</v>
      </c>
      <c r="D5902" s="4"/>
      <c r="E5902" s="4"/>
    </row>
    <row r="5903" spans="1:5" x14ac:dyDescent="0.3">
      <c r="A5903" s="9">
        <v>5895</v>
      </c>
      <c r="B5903" s="10">
        <f t="shared" ca="1" si="92"/>
        <v>7.883720438823405E-2</v>
      </c>
      <c r="C5903" s="10">
        <f ca="1">NPV(B5903,Project_FCF!C18:J18)+Project_FCF!B18</f>
        <v>948.17672774189737</v>
      </c>
      <c r="D5903" s="4"/>
      <c r="E5903" s="4"/>
    </row>
    <row r="5904" spans="1:5" x14ac:dyDescent="0.3">
      <c r="A5904" s="9">
        <v>5896</v>
      </c>
      <c r="B5904" s="10">
        <f t="shared" ca="1" si="92"/>
        <v>6.5949139030625034E-2</v>
      </c>
      <c r="C5904" s="10">
        <f ca="1">NPV(B5904,Project_FCF!C18:J18)+Project_FCF!B18</f>
        <v>1063.4790665508372</v>
      </c>
      <c r="D5904" s="4"/>
      <c r="E5904" s="4"/>
    </row>
    <row r="5905" spans="1:5" x14ac:dyDescent="0.3">
      <c r="A5905" s="9">
        <v>5897</v>
      </c>
      <c r="B5905" s="10">
        <f t="shared" ca="1" si="92"/>
        <v>8.1931303707851219E-2</v>
      </c>
      <c r="C5905" s="10">
        <f ca="1">NPV(B5905,Project_FCF!C18:J18)+Project_FCF!B18</f>
        <v>922.21663898781208</v>
      </c>
      <c r="D5905" s="4"/>
      <c r="E5905" s="4"/>
    </row>
    <row r="5906" spans="1:5" x14ac:dyDescent="0.3">
      <c r="A5906" s="9">
        <v>5898</v>
      </c>
      <c r="B5906" s="10">
        <f t="shared" ca="1" si="92"/>
        <v>7.712000717496427E-2</v>
      </c>
      <c r="C5906" s="10">
        <f ca="1">NPV(B5906,Project_FCF!C18:J18)+Project_FCF!B18</f>
        <v>962.86222244025635</v>
      </c>
      <c r="D5906" s="4"/>
      <c r="E5906" s="4"/>
    </row>
    <row r="5907" spans="1:5" x14ac:dyDescent="0.3">
      <c r="A5907" s="9">
        <v>5899</v>
      </c>
      <c r="B5907" s="10">
        <f t="shared" ca="1" si="92"/>
        <v>7.9649986310680987E-2</v>
      </c>
      <c r="C5907" s="10">
        <f ca="1">NPV(B5907,Project_FCF!C18:J18)+Project_FCF!B18</f>
        <v>941.29544180230187</v>
      </c>
      <c r="D5907" s="4"/>
      <c r="E5907" s="4"/>
    </row>
    <row r="5908" spans="1:5" x14ac:dyDescent="0.3">
      <c r="A5908" s="9">
        <v>5900</v>
      </c>
      <c r="B5908" s="10">
        <f t="shared" ca="1" si="92"/>
        <v>7.4233111978205341E-2</v>
      </c>
      <c r="C5908" s="10">
        <f ca="1">NPV(B5908,Project_FCF!C18:J18)+Project_FCF!B18</f>
        <v>988.00853308728074</v>
      </c>
      <c r="D5908" s="4"/>
      <c r="E5908" s="4"/>
    </row>
    <row r="5909" spans="1:5" x14ac:dyDescent="0.3">
      <c r="A5909" s="9">
        <v>5901</v>
      </c>
      <c r="B5909" s="10">
        <f t="shared" ca="1" si="92"/>
        <v>8.3314227669504151E-2</v>
      </c>
      <c r="C5909" s="10">
        <f ca="1">NPV(B5909,Project_FCF!C18:J18)+Project_FCF!B18</f>
        <v>910.81803332186632</v>
      </c>
      <c r="D5909" s="4"/>
      <c r="E5909" s="4"/>
    </row>
    <row r="5910" spans="1:5" x14ac:dyDescent="0.3">
      <c r="A5910" s="9">
        <v>5902</v>
      </c>
      <c r="B5910" s="10">
        <f t="shared" ca="1" si="92"/>
        <v>0.10064429007643573</v>
      </c>
      <c r="C5910" s="10">
        <f ca="1">NPV(B5910,Project_FCF!C18:J18)+Project_FCF!B18</f>
        <v>778.01338307806009</v>
      </c>
      <c r="D5910" s="4"/>
      <c r="E5910" s="4"/>
    </row>
    <row r="5911" spans="1:5" x14ac:dyDescent="0.3">
      <c r="A5911" s="9">
        <v>5903</v>
      </c>
      <c r="B5911" s="10">
        <f t="shared" ca="1" si="92"/>
        <v>0.10173299255479912</v>
      </c>
      <c r="C5911" s="10">
        <f ca="1">NPV(B5911,Project_FCF!C18:J18)+Project_FCF!B18</f>
        <v>770.25547687954827</v>
      </c>
      <c r="D5911" s="4"/>
      <c r="E5911" s="4"/>
    </row>
    <row r="5912" spans="1:5" x14ac:dyDescent="0.3">
      <c r="A5912" s="9">
        <v>5904</v>
      </c>
      <c r="B5912" s="10">
        <f t="shared" ca="1" si="92"/>
        <v>8.9023826159793512E-2</v>
      </c>
      <c r="C5912" s="10">
        <f ca="1">NPV(B5912,Project_FCF!C18:J18)+Project_FCF!B18</f>
        <v>865.05395748472301</v>
      </c>
      <c r="D5912" s="4"/>
      <c r="E5912" s="4"/>
    </row>
    <row r="5913" spans="1:5" x14ac:dyDescent="0.3">
      <c r="A5913" s="9">
        <v>5905</v>
      </c>
      <c r="B5913" s="10">
        <f t="shared" ca="1" si="92"/>
        <v>9.0052737529387986E-2</v>
      </c>
      <c r="C5913" s="10">
        <f ca="1">NPV(B5913,Project_FCF!C18:J18)+Project_FCF!B18</f>
        <v>857.02361553836158</v>
      </c>
      <c r="D5913" s="4"/>
      <c r="E5913" s="4"/>
    </row>
    <row r="5914" spans="1:5" x14ac:dyDescent="0.3">
      <c r="A5914" s="9">
        <v>5906</v>
      </c>
      <c r="B5914" s="10">
        <f t="shared" ca="1" si="92"/>
        <v>9.1865490738876343E-2</v>
      </c>
      <c r="C5914" s="10">
        <f ca="1">NPV(B5914,Project_FCF!C18:J18)+Project_FCF!B18</f>
        <v>843.03254231275378</v>
      </c>
      <c r="D5914" s="4"/>
      <c r="E5914" s="4"/>
    </row>
    <row r="5915" spans="1:5" x14ac:dyDescent="0.3">
      <c r="A5915" s="9">
        <v>5907</v>
      </c>
      <c r="B5915" s="10">
        <f t="shared" ca="1" si="92"/>
        <v>6.8808711122472208E-2</v>
      </c>
      <c r="C5915" s="10">
        <f ca="1">NPV(B5915,Project_FCF!C18:J18)+Project_FCF!B18</f>
        <v>1036.8576962003624</v>
      </c>
      <c r="D5915" s="4"/>
      <c r="E5915" s="4"/>
    </row>
    <row r="5916" spans="1:5" x14ac:dyDescent="0.3">
      <c r="A5916" s="9">
        <v>5908</v>
      </c>
      <c r="B5916" s="10">
        <f t="shared" ca="1" si="92"/>
        <v>8.3268041813017973E-2</v>
      </c>
      <c r="C5916" s="10">
        <f ca="1">NPV(B5916,Project_FCF!C18:J18)+Project_FCF!B18</f>
        <v>911.19670428105655</v>
      </c>
      <c r="D5916" s="4"/>
      <c r="E5916" s="4"/>
    </row>
    <row r="5917" spans="1:5" x14ac:dyDescent="0.3">
      <c r="A5917" s="9">
        <v>5909</v>
      </c>
      <c r="B5917" s="10">
        <f t="shared" ca="1" si="92"/>
        <v>6.6461239754144738E-2</v>
      </c>
      <c r="C5917" s="10">
        <f ca="1">NPV(B5917,Project_FCF!C18:J18)+Project_FCF!B18</f>
        <v>1058.6664480135673</v>
      </c>
      <c r="D5917" s="4"/>
      <c r="E5917" s="4"/>
    </row>
    <row r="5918" spans="1:5" x14ac:dyDescent="0.3">
      <c r="A5918" s="9">
        <v>5910</v>
      </c>
      <c r="B5918" s="10">
        <f t="shared" ca="1" si="92"/>
        <v>9.1640967602330828E-2</v>
      </c>
      <c r="C5918" s="10">
        <f ca="1">NPV(B5918,Project_FCF!C18:J18)+Project_FCF!B18</f>
        <v>844.7546639246932</v>
      </c>
      <c r="D5918" s="4"/>
      <c r="E5918" s="4"/>
    </row>
    <row r="5919" spans="1:5" x14ac:dyDescent="0.3">
      <c r="A5919" s="9">
        <v>5911</v>
      </c>
      <c r="B5919" s="10">
        <f t="shared" ca="1" si="92"/>
        <v>8.2480551458374865E-2</v>
      </c>
      <c r="C5919" s="10">
        <f ca="1">NPV(B5919,Project_FCF!C18:J18)+Project_FCF!B18</f>
        <v>917.67457089799063</v>
      </c>
      <c r="D5919" s="4"/>
      <c r="E5919" s="4"/>
    </row>
    <row r="5920" spans="1:5" x14ac:dyDescent="0.3">
      <c r="A5920" s="9">
        <v>5912</v>
      </c>
      <c r="B5920" s="10">
        <f t="shared" ca="1" si="92"/>
        <v>8.8909900541949846E-2</v>
      </c>
      <c r="C5920" s="10">
        <f ca="1">NPV(B5920,Project_FCF!C18:J18)+Project_FCF!B18</f>
        <v>865.94711361764644</v>
      </c>
      <c r="D5920" s="4"/>
      <c r="E5920" s="4"/>
    </row>
    <row r="5921" spans="1:5" x14ac:dyDescent="0.3">
      <c r="A5921" s="9">
        <v>5913</v>
      </c>
      <c r="B5921" s="10">
        <f t="shared" ca="1" si="92"/>
        <v>8.7348819077504442E-2</v>
      </c>
      <c r="C5921" s="10">
        <f ca="1">NPV(B5921,Project_FCF!C18:J18)+Project_FCF!B18</f>
        <v>878.26671629967723</v>
      </c>
      <c r="D5921" s="4"/>
      <c r="E5921" s="4"/>
    </row>
    <row r="5922" spans="1:5" x14ac:dyDescent="0.3">
      <c r="A5922" s="9">
        <v>5914</v>
      </c>
      <c r="B5922" s="10">
        <f t="shared" ca="1" si="92"/>
        <v>7.2643461268167314E-2</v>
      </c>
      <c r="C5922" s="10">
        <f ca="1">NPV(B5922,Project_FCF!C18:J18)+Project_FCF!B18</f>
        <v>1002.1047838535339</v>
      </c>
      <c r="D5922" s="4"/>
      <c r="E5922" s="4"/>
    </row>
    <row r="5923" spans="1:5" x14ac:dyDescent="0.3">
      <c r="A5923" s="9">
        <v>5915</v>
      </c>
      <c r="B5923" s="10">
        <f t="shared" ca="1" si="92"/>
        <v>7.9560787876090278E-2</v>
      </c>
      <c r="C5923" s="10">
        <f ca="1">NPV(B5923,Project_FCF!C18:J18)+Project_FCF!B18</f>
        <v>942.04845617417004</v>
      </c>
      <c r="D5923" s="4"/>
      <c r="E5923" s="4"/>
    </row>
    <row r="5924" spans="1:5" x14ac:dyDescent="0.3">
      <c r="A5924" s="9">
        <v>5916</v>
      </c>
      <c r="B5924" s="10">
        <f t="shared" ca="1" si="92"/>
        <v>6.8446938031849078E-2</v>
      </c>
      <c r="C5924" s="10">
        <f ca="1">NPV(B5924,Project_FCF!C18:J18)+Project_FCF!B18</f>
        <v>1040.1918867705429</v>
      </c>
      <c r="D5924" s="4"/>
      <c r="E5924" s="4"/>
    </row>
    <row r="5925" spans="1:5" x14ac:dyDescent="0.3">
      <c r="A5925" s="9">
        <v>5917</v>
      </c>
      <c r="B5925" s="10">
        <f t="shared" ca="1" si="92"/>
        <v>8.9840129240097391E-2</v>
      </c>
      <c r="C5925" s="10">
        <f ca="1">NPV(B5925,Project_FCF!C18:J18)+Project_FCF!B18</f>
        <v>858.67764020333584</v>
      </c>
      <c r="D5925" s="4"/>
      <c r="E5925" s="4"/>
    </row>
    <row r="5926" spans="1:5" x14ac:dyDescent="0.3">
      <c r="A5926" s="9">
        <v>5918</v>
      </c>
      <c r="B5926" s="10">
        <f t="shared" ca="1" si="92"/>
        <v>8.8810134059425117E-2</v>
      </c>
      <c r="C5926" s="10">
        <f ca="1">NPV(B5926,Project_FCF!C18:J18)+Project_FCF!B18</f>
        <v>866.72992230263185</v>
      </c>
      <c r="D5926" s="4"/>
      <c r="E5926" s="4"/>
    </row>
    <row r="5927" spans="1:5" x14ac:dyDescent="0.3">
      <c r="A5927" s="9">
        <v>5919</v>
      </c>
      <c r="B5927" s="10">
        <f t="shared" ca="1" si="92"/>
        <v>9.3884281337350939E-2</v>
      </c>
      <c r="C5927" s="10">
        <f ca="1">NPV(B5927,Project_FCF!C18:J18)+Project_FCF!B18</f>
        <v>827.68348921999996</v>
      </c>
      <c r="D5927" s="4"/>
      <c r="E5927" s="4"/>
    </row>
    <row r="5928" spans="1:5" x14ac:dyDescent="0.3">
      <c r="A5928" s="9">
        <v>5920</v>
      </c>
      <c r="B5928" s="10">
        <f t="shared" ca="1" si="92"/>
        <v>8.7061049248614172E-2</v>
      </c>
      <c r="C5928" s="10">
        <f ca="1">NPV(B5928,Project_FCF!C18:J18)+Project_FCF!B18</f>
        <v>880.55429215162076</v>
      </c>
      <c r="D5928" s="4"/>
      <c r="E5928" s="4"/>
    </row>
    <row r="5929" spans="1:5" x14ac:dyDescent="0.3">
      <c r="A5929" s="9">
        <v>5921</v>
      </c>
      <c r="B5929" s="10">
        <f t="shared" ca="1" si="92"/>
        <v>9.3643723448989885E-2</v>
      </c>
      <c r="C5929" s="10">
        <f ca="1">NPV(B5929,Project_FCF!C18:J18)+Project_FCF!B18</f>
        <v>829.49976622445024</v>
      </c>
      <c r="D5929" s="4"/>
      <c r="E5929" s="4"/>
    </row>
    <row r="5930" spans="1:5" x14ac:dyDescent="0.3">
      <c r="A5930" s="9">
        <v>5922</v>
      </c>
      <c r="B5930" s="10">
        <f t="shared" ca="1" si="92"/>
        <v>8.3818284520306707E-2</v>
      </c>
      <c r="C5930" s="10">
        <f ca="1">NPV(B5930,Project_FCF!C18:J18)+Project_FCF!B18</f>
        <v>906.69432996695173</v>
      </c>
      <c r="D5930" s="4"/>
      <c r="E5930" s="4"/>
    </row>
    <row r="5931" spans="1:5" x14ac:dyDescent="0.3">
      <c r="A5931" s="9">
        <v>5923</v>
      </c>
      <c r="B5931" s="10">
        <f t="shared" ca="1" si="92"/>
        <v>9.9696507066167062E-2</v>
      </c>
      <c r="C5931" s="10">
        <f ca="1">NPV(B5931,Project_FCF!C18:J18)+Project_FCF!B18</f>
        <v>784.82073464801442</v>
      </c>
      <c r="D5931" s="4"/>
      <c r="E5931" s="4"/>
    </row>
    <row r="5932" spans="1:5" x14ac:dyDescent="0.3">
      <c r="A5932" s="9">
        <v>5924</v>
      </c>
      <c r="B5932" s="10">
        <f t="shared" ca="1" si="92"/>
        <v>7.1249483296694519E-2</v>
      </c>
      <c r="C5932" s="10">
        <f ca="1">NPV(B5932,Project_FCF!C18:J18)+Project_FCF!B18</f>
        <v>1014.6143951366462</v>
      </c>
      <c r="D5932" s="4"/>
      <c r="E5932" s="4"/>
    </row>
    <row r="5933" spans="1:5" x14ac:dyDescent="0.3">
      <c r="A5933" s="9">
        <v>5925</v>
      </c>
      <c r="B5933" s="10">
        <f t="shared" ca="1" si="92"/>
        <v>8.3050834982738159E-2</v>
      </c>
      <c r="C5933" s="10">
        <f ca="1">NPV(B5933,Project_FCF!C18:J18)+Project_FCF!B18</f>
        <v>912.97940810460295</v>
      </c>
      <c r="D5933" s="4"/>
      <c r="E5933" s="4"/>
    </row>
    <row r="5934" spans="1:5" x14ac:dyDescent="0.3">
      <c r="A5934" s="9">
        <v>5926</v>
      </c>
      <c r="B5934" s="10">
        <f t="shared" ca="1" si="92"/>
        <v>7.625850636525798E-2</v>
      </c>
      <c r="C5934" s="10">
        <f ca="1">NPV(B5934,Project_FCF!C18:J18)+Project_FCF!B18</f>
        <v>970.3057949230049</v>
      </c>
      <c r="D5934" s="4"/>
      <c r="E5934" s="4"/>
    </row>
    <row r="5935" spans="1:5" x14ac:dyDescent="0.3">
      <c r="A5935" s="9">
        <v>5927</v>
      </c>
      <c r="B5935" s="10">
        <f t="shared" ca="1" si="92"/>
        <v>8.5669450091349394E-2</v>
      </c>
      <c r="C5935" s="10">
        <f ca="1">NPV(B5935,Project_FCF!C18:J18)+Project_FCF!B18</f>
        <v>891.69010114333628</v>
      </c>
      <c r="D5935" s="4"/>
      <c r="E5935" s="4"/>
    </row>
    <row r="5936" spans="1:5" x14ac:dyDescent="0.3">
      <c r="A5936" s="9">
        <v>5928</v>
      </c>
      <c r="B5936" s="10">
        <f t="shared" ca="1" si="92"/>
        <v>8.2334624535191636E-2</v>
      </c>
      <c r="C5936" s="10">
        <f ca="1">NPV(B5936,Project_FCF!C18:J18)+Project_FCF!B18</f>
        <v>918.87940315011178</v>
      </c>
      <c r="D5936" s="4"/>
      <c r="E5936" s="4"/>
    </row>
    <row r="5937" spans="1:5" x14ac:dyDescent="0.3">
      <c r="A5937" s="9">
        <v>5929</v>
      </c>
      <c r="B5937" s="10">
        <f t="shared" ca="1" si="92"/>
        <v>8.3848829617043485E-2</v>
      </c>
      <c r="C5937" s="10">
        <f ca="1">NPV(B5937,Project_FCF!C18:J18)+Project_FCF!B18</f>
        <v>906.44496767009764</v>
      </c>
      <c r="D5937" s="4"/>
      <c r="E5937" s="4"/>
    </row>
    <row r="5938" spans="1:5" x14ac:dyDescent="0.3">
      <c r="A5938" s="9">
        <v>5930</v>
      </c>
      <c r="B5938" s="10">
        <f t="shared" ca="1" si="92"/>
        <v>0.10120184562374226</v>
      </c>
      <c r="C5938" s="10">
        <f ca="1">NPV(B5938,Project_FCF!C18:J18)+Project_FCF!B18</f>
        <v>774.03214890511777</v>
      </c>
      <c r="D5938" s="4"/>
      <c r="E5938" s="4"/>
    </row>
    <row r="5939" spans="1:5" x14ac:dyDescent="0.3">
      <c r="A5939" s="9">
        <v>5931</v>
      </c>
      <c r="B5939" s="10">
        <f t="shared" ca="1" si="92"/>
        <v>8.3743096994404367E-2</v>
      </c>
      <c r="C5939" s="10">
        <f ca="1">NPV(B5939,Project_FCF!C18:J18)+Project_FCF!B18</f>
        <v>907.30839826971464</v>
      </c>
      <c r="D5939" s="4"/>
      <c r="E5939" s="4"/>
    </row>
    <row r="5940" spans="1:5" x14ac:dyDescent="0.3">
      <c r="A5940" s="9">
        <v>5932</v>
      </c>
      <c r="B5940" s="10">
        <f t="shared" ca="1" si="92"/>
        <v>9.1390316143586559E-2</v>
      </c>
      <c r="C5940" s="10">
        <f ca="1">NPV(B5940,Project_FCF!C18:J18)+Project_FCF!B18</f>
        <v>846.68077876450093</v>
      </c>
      <c r="D5940" s="4"/>
      <c r="E5940" s="4"/>
    </row>
    <row r="5941" spans="1:5" x14ac:dyDescent="0.3">
      <c r="A5941" s="9">
        <v>5933</v>
      </c>
      <c r="B5941" s="10">
        <f t="shared" ca="1" si="92"/>
        <v>8.5552280531827812E-2</v>
      </c>
      <c r="C5941" s="10">
        <f ca="1">NPV(B5941,Project_FCF!C18:J18)+Project_FCF!B18</f>
        <v>892.63330403613372</v>
      </c>
      <c r="D5941" s="4"/>
      <c r="E5941" s="4"/>
    </row>
    <row r="5942" spans="1:5" x14ac:dyDescent="0.3">
      <c r="A5942" s="9">
        <v>5934</v>
      </c>
      <c r="B5942" s="10">
        <f t="shared" ca="1" si="92"/>
        <v>6.8365204494058335E-2</v>
      </c>
      <c r="C5942" s="10">
        <f ca="1">NPV(B5942,Project_FCF!C18:J18)+Project_FCF!B18</f>
        <v>1040.9465076340014</v>
      </c>
      <c r="D5942" s="4"/>
      <c r="E5942" s="4"/>
    </row>
    <row r="5943" spans="1:5" x14ac:dyDescent="0.3">
      <c r="A5943" s="9">
        <v>5935</v>
      </c>
      <c r="B5943" s="10">
        <f t="shared" ca="1" si="92"/>
        <v>7.9753572529126363E-2</v>
      </c>
      <c r="C5943" s="10">
        <f ca="1">NPV(B5943,Project_FCF!C18:J18)+Project_FCF!B18</f>
        <v>940.4216350239426</v>
      </c>
      <c r="D5943" s="4"/>
      <c r="E5943" s="4"/>
    </row>
    <row r="5944" spans="1:5" x14ac:dyDescent="0.3">
      <c r="A5944" s="9">
        <v>5936</v>
      </c>
      <c r="B5944" s="10">
        <f t="shared" ca="1" si="92"/>
        <v>9.0225897008709366E-2</v>
      </c>
      <c r="C5944" s="10">
        <f ca="1">NPV(B5944,Project_FCF!C18:J18)+Project_FCF!B18</f>
        <v>855.67852984109686</v>
      </c>
      <c r="D5944" s="4"/>
      <c r="E5944" s="4"/>
    </row>
    <row r="5945" spans="1:5" x14ac:dyDescent="0.3">
      <c r="A5945" s="9">
        <v>5937</v>
      </c>
      <c r="B5945" s="10">
        <f t="shared" ca="1" si="92"/>
        <v>9.6461152997196875E-2</v>
      </c>
      <c r="C5945" s="10">
        <f ca="1">NPV(B5945,Project_FCF!C18:J18)+Project_FCF!B18</f>
        <v>808.44015824784333</v>
      </c>
      <c r="D5945" s="4"/>
      <c r="E5945" s="4"/>
    </row>
    <row r="5946" spans="1:5" x14ac:dyDescent="0.3">
      <c r="A5946" s="9">
        <v>5938</v>
      </c>
      <c r="B5946" s="10">
        <f t="shared" ca="1" si="92"/>
        <v>9.804485281569178E-2</v>
      </c>
      <c r="C5946" s="10">
        <f ca="1">NPV(B5946,Project_FCF!C18:J18)+Project_FCF!B18</f>
        <v>796.80412861188779</v>
      </c>
      <c r="D5946" s="4"/>
      <c r="E5946" s="4"/>
    </row>
    <row r="5947" spans="1:5" x14ac:dyDescent="0.3">
      <c r="A5947" s="9">
        <v>5939</v>
      </c>
      <c r="B5947" s="10">
        <f t="shared" ca="1" si="92"/>
        <v>9.061927598675644E-2</v>
      </c>
      <c r="C5947" s="10">
        <f ca="1">NPV(B5947,Project_FCF!C18:J18)+Project_FCF!B18</f>
        <v>852.62959056672321</v>
      </c>
      <c r="D5947" s="4"/>
      <c r="E5947" s="4"/>
    </row>
    <row r="5948" spans="1:5" x14ac:dyDescent="0.3">
      <c r="A5948" s="9">
        <v>5940</v>
      </c>
      <c r="B5948" s="10">
        <f t="shared" ca="1" si="92"/>
        <v>7.9023334449502075E-2</v>
      </c>
      <c r="C5948" s="10">
        <f ca="1">NPV(B5948,Project_FCF!C18:J18)+Project_FCF!B18</f>
        <v>946.59696056530902</v>
      </c>
      <c r="D5948" s="4"/>
      <c r="E5948" s="4"/>
    </row>
    <row r="5949" spans="1:5" x14ac:dyDescent="0.3">
      <c r="A5949" s="9">
        <v>5941</v>
      </c>
      <c r="B5949" s="10">
        <f t="shared" ca="1" si="92"/>
        <v>7.8327527711183439E-2</v>
      </c>
      <c r="C5949" s="10">
        <f ca="1">NPV(B5949,Project_FCF!C18:J18)+Project_FCF!B18</f>
        <v>952.51456492105967</v>
      </c>
      <c r="D5949" s="4"/>
      <c r="E5949" s="4"/>
    </row>
    <row r="5950" spans="1:5" x14ac:dyDescent="0.3">
      <c r="A5950" s="9">
        <v>5942</v>
      </c>
      <c r="B5950" s="10">
        <f t="shared" ca="1" si="92"/>
        <v>6.9902173753577906E-2</v>
      </c>
      <c r="C5950" s="10">
        <f ca="1">NPV(B5950,Project_FCF!C18:J18)+Project_FCF!B18</f>
        <v>1026.8388090064298</v>
      </c>
      <c r="D5950" s="4"/>
      <c r="E5950" s="4"/>
    </row>
    <row r="5951" spans="1:5" x14ac:dyDescent="0.3">
      <c r="A5951" s="9">
        <v>5943</v>
      </c>
      <c r="B5951" s="10">
        <f t="shared" ca="1" si="92"/>
        <v>7.9885871978358766E-2</v>
      </c>
      <c r="C5951" s="10">
        <f ca="1">NPV(B5951,Project_FCF!C18:J18)+Project_FCF!B18</f>
        <v>939.30666149567014</v>
      </c>
      <c r="D5951" s="4"/>
      <c r="E5951" s="4"/>
    </row>
    <row r="5952" spans="1:5" x14ac:dyDescent="0.3">
      <c r="A5952" s="9">
        <v>5944</v>
      </c>
      <c r="B5952" s="10">
        <f t="shared" ca="1" si="92"/>
        <v>7.3185153301018727E-2</v>
      </c>
      <c r="C5952" s="10">
        <f ca="1">NPV(B5952,Project_FCF!C18:J18)+Project_FCF!B18</f>
        <v>997.2811733351441</v>
      </c>
      <c r="D5952" s="4"/>
      <c r="E5952" s="4"/>
    </row>
    <row r="5953" spans="1:5" x14ac:dyDescent="0.3">
      <c r="A5953" s="9">
        <v>5945</v>
      </c>
      <c r="B5953" s="10">
        <f t="shared" ca="1" si="92"/>
        <v>6.6944894423103155E-2</v>
      </c>
      <c r="C5953" s="10">
        <f ca="1">NPV(B5953,Project_FCF!C18:J18)+Project_FCF!B18</f>
        <v>1054.1393641965833</v>
      </c>
      <c r="D5953" s="4"/>
      <c r="E5953" s="4"/>
    </row>
    <row r="5954" spans="1:5" x14ac:dyDescent="0.3">
      <c r="A5954" s="9">
        <v>5946</v>
      </c>
      <c r="B5954" s="10">
        <f t="shared" ca="1" si="92"/>
        <v>7.5007005741416236E-2</v>
      </c>
      <c r="C5954" s="10">
        <f ca="1">NPV(B5954,Project_FCF!C18:J18)+Project_FCF!B18</f>
        <v>981.21058403827851</v>
      </c>
      <c r="D5954" s="4"/>
      <c r="E5954" s="4"/>
    </row>
    <row r="5955" spans="1:5" x14ac:dyDescent="0.3">
      <c r="A5955" s="9">
        <v>5947</v>
      </c>
      <c r="B5955" s="10">
        <f t="shared" ca="1" si="92"/>
        <v>8.7728440842931826E-2</v>
      </c>
      <c r="C5955" s="10">
        <f ca="1">NPV(B5955,Project_FCF!C18:J18)+Project_FCF!B18</f>
        <v>875.25690260846955</v>
      </c>
      <c r="D5955" s="4"/>
      <c r="E5955" s="4"/>
    </row>
    <row r="5956" spans="1:5" x14ac:dyDescent="0.3">
      <c r="A5956" s="9">
        <v>5948</v>
      </c>
      <c r="B5956" s="10">
        <f t="shared" ca="1" si="92"/>
        <v>9.4733251497104529E-2</v>
      </c>
      <c r="C5956" s="10">
        <f ca="1">NPV(B5956,Project_FCF!C18:J18)+Project_FCF!B18</f>
        <v>821.30077899249727</v>
      </c>
      <c r="D5956" s="4"/>
      <c r="E5956" s="4"/>
    </row>
    <row r="5957" spans="1:5" x14ac:dyDescent="0.3">
      <c r="A5957" s="9">
        <v>5949</v>
      </c>
      <c r="B5957" s="10">
        <f t="shared" ca="1" si="92"/>
        <v>9.0916346866793507E-2</v>
      </c>
      <c r="C5957" s="10">
        <f ca="1">NPV(B5957,Project_FCF!C18:J18)+Project_FCF!B18</f>
        <v>850.33333361642781</v>
      </c>
      <c r="D5957" s="4"/>
      <c r="E5957" s="4"/>
    </row>
    <row r="5958" spans="1:5" x14ac:dyDescent="0.3">
      <c r="A5958" s="9">
        <v>5950</v>
      </c>
      <c r="B5958" s="10">
        <f t="shared" ca="1" si="92"/>
        <v>6.4872610095487129E-2</v>
      </c>
      <c r="C5958" s="10">
        <f ca="1">NPV(B5958,Project_FCF!C18:J18)+Project_FCF!B18</f>
        <v>1073.6611226838843</v>
      </c>
      <c r="D5958" s="4"/>
      <c r="E5958" s="4"/>
    </row>
    <row r="5959" spans="1:5" x14ac:dyDescent="0.3">
      <c r="A5959" s="9">
        <v>5951</v>
      </c>
      <c r="B5959" s="10">
        <f t="shared" ca="1" si="92"/>
        <v>7.813649089738714E-2</v>
      </c>
      <c r="C5959" s="10">
        <f ca="1">NPV(B5959,Project_FCF!C18:J18)+Project_FCF!B18</f>
        <v>954.14500867987726</v>
      </c>
      <c r="D5959" s="4"/>
      <c r="E5959" s="4"/>
    </row>
    <row r="5960" spans="1:5" x14ac:dyDescent="0.3">
      <c r="A5960" s="9">
        <v>5952</v>
      </c>
      <c r="B5960" s="10">
        <f t="shared" ca="1" si="92"/>
        <v>9.5235180450468568E-2</v>
      </c>
      <c r="C5960" s="10">
        <f ca="1">NPV(B5960,Project_FCF!C18:J18)+Project_FCF!B18</f>
        <v>817.5470638719512</v>
      </c>
      <c r="D5960" s="4"/>
      <c r="E5960" s="4"/>
    </row>
    <row r="5961" spans="1:5" x14ac:dyDescent="0.3">
      <c r="A5961" s="9">
        <v>5953</v>
      </c>
      <c r="B5961" s="10">
        <f t="shared" ref="B5961:B6024" ca="1" si="93">$B$4+RAND()*($B$5-$B$4)</f>
        <v>7.268396235199584E-2</v>
      </c>
      <c r="C5961" s="10">
        <f ca="1">NPV(B5961,Project_FCF!C18:J18)+Project_FCF!B18</f>
        <v>1001.743409583544</v>
      </c>
      <c r="D5961" s="4"/>
      <c r="E5961" s="4"/>
    </row>
    <row r="5962" spans="1:5" x14ac:dyDescent="0.3">
      <c r="A5962" s="9">
        <v>5954</v>
      </c>
      <c r="B5962" s="10">
        <f t="shared" ca="1" si="93"/>
        <v>9.1850816061401441E-2</v>
      </c>
      <c r="C5962" s="10">
        <f ca="1">NPV(B5962,Project_FCF!C18:J18)+Project_FCF!B18</f>
        <v>843.1450064143221</v>
      </c>
      <c r="D5962" s="4"/>
      <c r="E5962" s="4"/>
    </row>
    <row r="5963" spans="1:5" x14ac:dyDescent="0.3">
      <c r="A5963" s="9">
        <v>5955</v>
      </c>
      <c r="B5963" s="10">
        <f t="shared" ca="1" si="93"/>
        <v>8.1715374259793222E-2</v>
      </c>
      <c r="C5963" s="10">
        <f ca="1">NPV(B5963,Project_FCF!C18:J18)+Project_FCF!B18</f>
        <v>924.00771348517878</v>
      </c>
      <c r="D5963" s="4"/>
      <c r="E5963" s="4"/>
    </row>
    <row r="5964" spans="1:5" x14ac:dyDescent="0.3">
      <c r="A5964" s="9">
        <v>5956</v>
      </c>
      <c r="B5964" s="10">
        <f t="shared" ca="1" si="93"/>
        <v>9.3183698738106988E-2</v>
      </c>
      <c r="C5964" s="10">
        <f ca="1">NPV(B5964,Project_FCF!C18:J18)+Project_FCF!B18</f>
        <v>832.98261313768489</v>
      </c>
      <c r="D5964" s="4"/>
      <c r="E5964" s="4"/>
    </row>
    <row r="5965" spans="1:5" x14ac:dyDescent="0.3">
      <c r="A5965" s="9">
        <v>5957</v>
      </c>
      <c r="B5965" s="10">
        <f t="shared" ca="1" si="93"/>
        <v>0.1039325067038865</v>
      </c>
      <c r="C5965" s="10">
        <f ca="1">NPV(B5965,Project_FCF!C18:J18)+Project_FCF!B18</f>
        <v>754.78052349531231</v>
      </c>
      <c r="D5965" s="4"/>
      <c r="E5965" s="4"/>
    </row>
    <row r="5966" spans="1:5" x14ac:dyDescent="0.3">
      <c r="A5966" s="9">
        <v>5958</v>
      </c>
      <c r="B5966" s="10">
        <f t="shared" ca="1" si="93"/>
        <v>9.5841571992720642E-2</v>
      </c>
      <c r="C5966" s="10">
        <f ca="1">NPV(B5966,Project_FCF!C18:J18)+Project_FCF!B18</f>
        <v>813.03170469416955</v>
      </c>
      <c r="D5966" s="4"/>
      <c r="E5966" s="4"/>
    </row>
    <row r="5967" spans="1:5" x14ac:dyDescent="0.3">
      <c r="A5967" s="9">
        <v>5959</v>
      </c>
      <c r="B5967" s="10">
        <f t="shared" ca="1" si="93"/>
        <v>0.10096529832511991</v>
      </c>
      <c r="C5967" s="10">
        <f ca="1">NPV(B5967,Project_FCF!C18:J18)+Project_FCF!B18</f>
        <v>775.71911402569231</v>
      </c>
      <c r="D5967" s="4"/>
      <c r="E5967" s="4"/>
    </row>
    <row r="5968" spans="1:5" x14ac:dyDescent="0.3">
      <c r="A5968" s="9">
        <v>5960</v>
      </c>
      <c r="B5968" s="10">
        <f t="shared" ca="1" si="93"/>
        <v>8.7178389855881722E-2</v>
      </c>
      <c r="C5968" s="10">
        <f ca="1">NPV(B5968,Project_FCF!C18:J18)+Project_FCF!B18</f>
        <v>879.62088712565401</v>
      </c>
      <c r="D5968" s="4"/>
      <c r="E5968" s="4"/>
    </row>
    <row r="5969" spans="1:5" x14ac:dyDescent="0.3">
      <c r="A5969" s="9">
        <v>5961</v>
      </c>
      <c r="B5969" s="10">
        <f t="shared" ca="1" si="93"/>
        <v>9.9439792536828608E-2</v>
      </c>
      <c r="C5969" s="10">
        <f ca="1">NPV(B5969,Project_FCF!C18:J18)+Project_FCF!B18</f>
        <v>786.67320686221751</v>
      </c>
      <c r="D5969" s="4"/>
      <c r="E5969" s="4"/>
    </row>
    <row r="5970" spans="1:5" x14ac:dyDescent="0.3">
      <c r="A5970" s="9">
        <v>5962</v>
      </c>
      <c r="B5970" s="10">
        <f t="shared" ca="1" si="93"/>
        <v>6.6562973544993076E-2</v>
      </c>
      <c r="C5970" s="10">
        <f ca="1">NPV(B5970,Project_FCF!C18:J18)+Project_FCF!B18</f>
        <v>1057.7127377852219</v>
      </c>
      <c r="D5970" s="4"/>
      <c r="E5970" s="4"/>
    </row>
    <row r="5971" spans="1:5" x14ac:dyDescent="0.3">
      <c r="A5971" s="9">
        <v>5963</v>
      </c>
      <c r="B5971" s="10">
        <f t="shared" ca="1" si="93"/>
        <v>7.6736015129552734E-2</v>
      </c>
      <c r="C5971" s="10">
        <f ca="1">NPV(B5971,Project_FCF!C18:J18)+Project_FCF!B18</f>
        <v>966.17369221319791</v>
      </c>
      <c r="D5971" s="4"/>
      <c r="E5971" s="4"/>
    </row>
    <row r="5972" spans="1:5" x14ac:dyDescent="0.3">
      <c r="A5972" s="9">
        <v>5964</v>
      </c>
      <c r="B5972" s="10">
        <f t="shared" ca="1" si="93"/>
        <v>8.0986101794051524E-2</v>
      </c>
      <c r="C5972" s="10">
        <f ca="1">NPV(B5972,Project_FCF!C18:J18)+Project_FCF!B18</f>
        <v>930.07954235346779</v>
      </c>
      <c r="D5972" s="4"/>
      <c r="E5972" s="4"/>
    </row>
    <row r="5973" spans="1:5" x14ac:dyDescent="0.3">
      <c r="A5973" s="9">
        <v>5965</v>
      </c>
      <c r="B5973" s="10">
        <f t="shared" ca="1" si="93"/>
        <v>7.3062154946103158E-2</v>
      </c>
      <c r="C5973" s="10">
        <f ca="1">NPV(B5973,Project_FCF!C18:J18)+Project_FCF!B18</f>
        <v>998.37460367895847</v>
      </c>
      <c r="D5973" s="4"/>
      <c r="E5973" s="4"/>
    </row>
    <row r="5974" spans="1:5" x14ac:dyDescent="0.3">
      <c r="A5974" s="9">
        <v>5966</v>
      </c>
      <c r="B5974" s="10">
        <f t="shared" ca="1" si="93"/>
        <v>7.626155665429174E-2</v>
      </c>
      <c r="C5974" s="10">
        <f ca="1">NPV(B5974,Project_FCF!C18:J18)+Project_FCF!B18</f>
        <v>970.27934941285957</v>
      </c>
      <c r="D5974" s="4"/>
      <c r="E5974" s="4"/>
    </row>
    <row r="5975" spans="1:5" x14ac:dyDescent="0.3">
      <c r="A5975" s="9">
        <v>5967</v>
      </c>
      <c r="B5975" s="10">
        <f t="shared" ca="1" si="93"/>
        <v>9.8209556552478233E-2</v>
      </c>
      <c r="C5975" s="10">
        <f ca="1">NPV(B5975,Project_FCF!C18:J18)+Project_FCF!B18</f>
        <v>795.6022121858482</v>
      </c>
      <c r="D5975" s="4"/>
      <c r="E5975" s="4"/>
    </row>
    <row r="5976" spans="1:5" x14ac:dyDescent="0.3">
      <c r="A5976" s="9">
        <v>5968</v>
      </c>
      <c r="B5976" s="10">
        <f t="shared" ca="1" si="93"/>
        <v>6.9414406117068408E-2</v>
      </c>
      <c r="C5976" s="10">
        <f ca="1">NPV(B5976,Project_FCF!C18:J18)+Project_FCF!B18</f>
        <v>1031.2971228794668</v>
      </c>
      <c r="D5976" s="4"/>
      <c r="E5976" s="4"/>
    </row>
    <row r="5977" spans="1:5" x14ac:dyDescent="0.3">
      <c r="A5977" s="9">
        <v>5969</v>
      </c>
      <c r="B5977" s="10">
        <f t="shared" ca="1" si="93"/>
        <v>9.9789980165313222E-2</v>
      </c>
      <c r="C5977" s="10">
        <f ca="1">NPV(B5977,Project_FCF!C18:J18)+Project_FCF!B18</f>
        <v>784.14714311607599</v>
      </c>
      <c r="D5977" s="4"/>
      <c r="E5977" s="4"/>
    </row>
    <row r="5978" spans="1:5" x14ac:dyDescent="0.3">
      <c r="A5978" s="9">
        <v>5970</v>
      </c>
      <c r="B5978" s="10">
        <f t="shared" ca="1" si="93"/>
        <v>6.857348277959599E-2</v>
      </c>
      <c r="C5978" s="10">
        <f ca="1">NPV(B5978,Project_FCF!C18:J18)+Project_FCF!B18</f>
        <v>1039.024515777299</v>
      </c>
      <c r="D5978" s="4"/>
      <c r="E5978" s="4"/>
    </row>
    <row r="5979" spans="1:5" x14ac:dyDescent="0.3">
      <c r="A5979" s="9">
        <v>5971</v>
      </c>
      <c r="B5979" s="10">
        <f t="shared" ca="1" si="93"/>
        <v>7.4769947583824728E-2</v>
      </c>
      <c r="C5979" s="10">
        <f ca="1">NPV(B5979,Project_FCF!C18:J18)+Project_FCF!B18</f>
        <v>983.28845995415554</v>
      </c>
      <c r="D5979" s="4"/>
      <c r="E5979" s="4"/>
    </row>
    <row r="5980" spans="1:5" x14ac:dyDescent="0.3">
      <c r="A5980" s="9">
        <v>5972</v>
      </c>
      <c r="B5980" s="10">
        <f t="shared" ca="1" si="93"/>
        <v>7.185712782060176E-2</v>
      </c>
      <c r="C5980" s="10">
        <f ca="1">NPV(B5980,Project_FCF!C18:J18)+Project_FCF!B18</f>
        <v>1009.1441877968871</v>
      </c>
      <c r="D5980" s="4"/>
      <c r="E5980" s="4"/>
    </row>
    <row r="5981" spans="1:5" x14ac:dyDescent="0.3">
      <c r="A5981" s="9">
        <v>5973</v>
      </c>
      <c r="B5981" s="10">
        <f t="shared" ca="1" si="93"/>
        <v>7.1188897208034146E-2</v>
      </c>
      <c r="C5981" s="10">
        <f ca="1">NPV(B5981,Project_FCF!C18:J18)+Project_FCF!B18</f>
        <v>1015.1612724971512</v>
      </c>
      <c r="D5981" s="4"/>
      <c r="E5981" s="4"/>
    </row>
    <row r="5982" spans="1:5" x14ac:dyDescent="0.3">
      <c r="A5982" s="9">
        <v>5974</v>
      </c>
      <c r="B5982" s="10">
        <f t="shared" ca="1" si="93"/>
        <v>8.3560164677715709E-2</v>
      </c>
      <c r="C5982" s="10">
        <f ca="1">NPV(B5982,Project_FCF!C18:J18)+Project_FCF!B18</f>
        <v>908.80396129593782</v>
      </c>
      <c r="D5982" s="4"/>
      <c r="E5982" s="4"/>
    </row>
    <row r="5983" spans="1:5" x14ac:dyDescent="0.3">
      <c r="A5983" s="9">
        <v>5975</v>
      </c>
      <c r="B5983" s="10">
        <f t="shared" ca="1" si="93"/>
        <v>9.4879426289949637E-2</v>
      </c>
      <c r="C5983" s="10">
        <f ca="1">NPV(B5983,Project_FCF!C18:J18)+Project_FCF!B18</f>
        <v>820.20607938626381</v>
      </c>
      <c r="D5983" s="4"/>
      <c r="E5983" s="4"/>
    </row>
    <row r="5984" spans="1:5" x14ac:dyDescent="0.3">
      <c r="A5984" s="9">
        <v>5976</v>
      </c>
      <c r="B5984" s="10">
        <f t="shared" ca="1" si="93"/>
        <v>9.1489289708405197E-2</v>
      </c>
      <c r="C5984" s="10">
        <f ca="1">NPV(B5984,Project_FCF!C18:J18)+Project_FCF!B18</f>
        <v>845.9197703943446</v>
      </c>
      <c r="D5984" s="4"/>
      <c r="E5984" s="4"/>
    </row>
    <row r="5985" spans="1:5" x14ac:dyDescent="0.3">
      <c r="A5985" s="9">
        <v>5977</v>
      </c>
      <c r="B5985" s="10">
        <f t="shared" ca="1" si="93"/>
        <v>6.6635212705139515E-2</v>
      </c>
      <c r="C5985" s="10">
        <f ca="1">NPV(B5985,Project_FCF!C18:J18)+Project_FCF!B18</f>
        <v>1057.0360015598749</v>
      </c>
      <c r="D5985" s="4"/>
      <c r="E5985" s="4"/>
    </row>
    <row r="5986" spans="1:5" x14ac:dyDescent="0.3">
      <c r="A5986" s="9">
        <v>5978</v>
      </c>
      <c r="B5986" s="10">
        <f t="shared" ca="1" si="93"/>
        <v>6.9206090987086147E-2</v>
      </c>
      <c r="C5986" s="10">
        <f ca="1">NPV(B5986,Project_FCF!C18:J18)+Project_FCF!B18</f>
        <v>1033.2065036033662</v>
      </c>
      <c r="D5986" s="4"/>
      <c r="E5986" s="4"/>
    </row>
    <row r="5987" spans="1:5" x14ac:dyDescent="0.3">
      <c r="A5987" s="9">
        <v>5979</v>
      </c>
      <c r="B5987" s="10">
        <f t="shared" ca="1" si="93"/>
        <v>8.5905347712191424E-2</v>
      </c>
      <c r="C5987" s="10">
        <f ca="1">NPV(B5987,Project_FCF!C18:J18)+Project_FCF!B18</f>
        <v>889.7937935032478</v>
      </c>
      <c r="D5987" s="4"/>
      <c r="E5987" s="4"/>
    </row>
    <row r="5988" spans="1:5" x14ac:dyDescent="0.3">
      <c r="A5988" s="9">
        <v>5980</v>
      </c>
      <c r="B5988" s="10">
        <f t="shared" ca="1" si="93"/>
        <v>8.3959512439124126E-2</v>
      </c>
      <c r="C5988" s="10">
        <f ca="1">NPV(B5988,Project_FCF!C18:J18)+Project_FCF!B18</f>
        <v>905.54188609672838</v>
      </c>
      <c r="D5988" s="4"/>
      <c r="E5988" s="4"/>
    </row>
    <row r="5989" spans="1:5" x14ac:dyDescent="0.3">
      <c r="A5989" s="9">
        <v>5981</v>
      </c>
      <c r="B5989" s="10">
        <f t="shared" ca="1" si="93"/>
        <v>9.3163559772222626E-2</v>
      </c>
      <c r="C5989" s="10">
        <f ca="1">NPV(B5989,Project_FCF!C18:J18)+Project_FCF!B18</f>
        <v>833.13537198083554</v>
      </c>
      <c r="D5989" s="4"/>
      <c r="E5989" s="4"/>
    </row>
    <row r="5990" spans="1:5" x14ac:dyDescent="0.3">
      <c r="A5990" s="9">
        <v>5982</v>
      </c>
      <c r="B5990" s="10">
        <f t="shared" ca="1" si="93"/>
        <v>8.0723081963298929E-2</v>
      </c>
      <c r="C5990" s="10">
        <f ca="1">NPV(B5990,Project_FCF!C18:J18)+Project_FCF!B18</f>
        <v>932.27804441274134</v>
      </c>
      <c r="D5990" s="4"/>
      <c r="E5990" s="4"/>
    </row>
    <row r="5991" spans="1:5" x14ac:dyDescent="0.3">
      <c r="A5991" s="9">
        <v>5983</v>
      </c>
      <c r="B5991" s="10">
        <f t="shared" ca="1" si="93"/>
        <v>8.2741427497704023E-2</v>
      </c>
      <c r="C5991" s="10">
        <f ca="1">NPV(B5991,Project_FCF!C18:J18)+Project_FCF!B18</f>
        <v>915.52413875396314</v>
      </c>
      <c r="D5991" s="4"/>
      <c r="E5991" s="4"/>
    </row>
    <row r="5992" spans="1:5" x14ac:dyDescent="0.3">
      <c r="A5992" s="9">
        <v>5984</v>
      </c>
      <c r="B5992" s="10">
        <f t="shared" ca="1" si="93"/>
        <v>0.10233044291875792</v>
      </c>
      <c r="C5992" s="10">
        <f ca="1">NPV(B5992,Project_FCF!C18:J18)+Project_FCF!B18</f>
        <v>766.02591421158309</v>
      </c>
      <c r="D5992" s="4"/>
      <c r="E5992" s="4"/>
    </row>
    <row r="5993" spans="1:5" x14ac:dyDescent="0.3">
      <c r="A5993" s="9">
        <v>5985</v>
      </c>
      <c r="B5993" s="10">
        <f t="shared" ca="1" si="93"/>
        <v>6.4985470265450609E-2</v>
      </c>
      <c r="C5993" s="10">
        <f ca="1">NPV(B5993,Project_FCF!C18:J18)+Project_FCF!B18</f>
        <v>1072.5895095762708</v>
      </c>
      <c r="D5993" s="4"/>
      <c r="E5993" s="4"/>
    </row>
    <row r="5994" spans="1:5" x14ac:dyDescent="0.3">
      <c r="A5994" s="9">
        <v>5986</v>
      </c>
      <c r="B5994" s="10">
        <f t="shared" ca="1" si="93"/>
        <v>9.6741485427819351E-2</v>
      </c>
      <c r="C5994" s="10">
        <f ca="1">NPV(B5994,Project_FCF!C18:J18)+Project_FCF!B18</f>
        <v>806.36997319752436</v>
      </c>
      <c r="D5994" s="4"/>
      <c r="E5994" s="4"/>
    </row>
    <row r="5995" spans="1:5" x14ac:dyDescent="0.3">
      <c r="A5995" s="9">
        <v>5987</v>
      </c>
      <c r="B5995" s="10">
        <f t="shared" ca="1" si="93"/>
        <v>6.8322894191962386E-2</v>
      </c>
      <c r="C5995" s="10">
        <f ca="1">NPV(B5995,Project_FCF!C18:J18)+Project_FCF!B18</f>
        <v>1041.3373406893136</v>
      </c>
      <c r="D5995" s="4"/>
      <c r="E5995" s="4"/>
    </row>
    <row r="5996" spans="1:5" x14ac:dyDescent="0.3">
      <c r="A5996" s="9">
        <v>5988</v>
      </c>
      <c r="B5996" s="10">
        <f t="shared" ca="1" si="93"/>
        <v>7.5690532967380306E-2</v>
      </c>
      <c r="C5996" s="10">
        <f ca="1">NPV(B5996,Project_FCF!C18:J18)+Project_FCF!B18</f>
        <v>975.24126296143982</v>
      </c>
      <c r="D5996" s="4"/>
      <c r="E5996" s="4"/>
    </row>
    <row r="5997" spans="1:5" x14ac:dyDescent="0.3">
      <c r="A5997" s="9">
        <v>5989</v>
      </c>
      <c r="B5997" s="10">
        <f t="shared" ca="1" si="93"/>
        <v>9.1500557415075123E-2</v>
      </c>
      <c r="C5997" s="10">
        <f ca="1">NPV(B5997,Project_FCF!C18:J18)+Project_FCF!B18</f>
        <v>845.83317037895767</v>
      </c>
      <c r="D5997" s="4"/>
      <c r="E5997" s="4"/>
    </row>
    <row r="5998" spans="1:5" x14ac:dyDescent="0.3">
      <c r="A5998" s="9">
        <v>5990</v>
      </c>
      <c r="B5998" s="10">
        <f t="shared" ca="1" si="93"/>
        <v>7.8185534203156076E-2</v>
      </c>
      <c r="C5998" s="10">
        <f ca="1">NPV(B5998,Project_FCF!C18:J18)+Project_FCF!B18</f>
        <v>953.726201793369</v>
      </c>
      <c r="D5998" s="4"/>
      <c r="E5998" s="4"/>
    </row>
    <row r="5999" spans="1:5" x14ac:dyDescent="0.3">
      <c r="A5999" s="9">
        <v>5991</v>
      </c>
      <c r="B5999" s="10">
        <f t="shared" ca="1" si="93"/>
        <v>9.1942539851983848E-2</v>
      </c>
      <c r="C5999" s="10">
        <f ca="1">NPV(B5999,Project_FCF!C18:J18)+Project_FCF!B18</f>
        <v>842.44226397817351</v>
      </c>
      <c r="D5999" s="4"/>
      <c r="E5999" s="4"/>
    </row>
    <row r="6000" spans="1:5" x14ac:dyDescent="0.3">
      <c r="A6000" s="9">
        <v>5992</v>
      </c>
      <c r="B6000" s="10">
        <f t="shared" ca="1" si="93"/>
        <v>9.8024778925269992E-2</v>
      </c>
      <c r="C6000" s="10">
        <f ca="1">NPV(B6000,Project_FCF!C18:J18)+Project_FCF!B18</f>
        <v>796.95072214654101</v>
      </c>
      <c r="D6000" s="4"/>
      <c r="E6000" s="4"/>
    </row>
    <row r="6001" spans="1:5" x14ac:dyDescent="0.3">
      <c r="A6001" s="9">
        <v>5993</v>
      </c>
      <c r="B6001" s="10">
        <f t="shared" ca="1" si="93"/>
        <v>7.6646122046702014E-2</v>
      </c>
      <c r="C6001" s="10">
        <f ca="1">NPV(B6001,Project_FCF!C18:J18)+Project_FCF!B18</f>
        <v>966.95037695808492</v>
      </c>
      <c r="D6001" s="4"/>
      <c r="E6001" s="4"/>
    </row>
    <row r="6002" spans="1:5" x14ac:dyDescent="0.3">
      <c r="A6002" s="9">
        <v>5994</v>
      </c>
      <c r="B6002" s="10">
        <f t="shared" ca="1" si="93"/>
        <v>8.116466411297403E-2</v>
      </c>
      <c r="C6002" s="10">
        <f ca="1">NPV(B6002,Project_FCF!C18:J18)+Project_FCF!B18</f>
        <v>928.58960712295516</v>
      </c>
      <c r="D6002" s="4"/>
      <c r="E6002" s="4"/>
    </row>
    <row r="6003" spans="1:5" x14ac:dyDescent="0.3">
      <c r="A6003" s="9">
        <v>5995</v>
      </c>
      <c r="B6003" s="10">
        <f t="shared" ca="1" si="93"/>
        <v>9.6537990907213794E-2</v>
      </c>
      <c r="C6003" s="10">
        <f ca="1">NPV(B6003,Project_FCF!C18:J18)+Project_FCF!B18</f>
        <v>807.87227901932124</v>
      </c>
      <c r="D6003" s="4"/>
      <c r="E6003" s="4"/>
    </row>
    <row r="6004" spans="1:5" x14ac:dyDescent="0.3">
      <c r="A6004" s="9">
        <v>5996</v>
      </c>
      <c r="B6004" s="10">
        <f t="shared" ca="1" si="93"/>
        <v>8.929782148238237E-2</v>
      </c>
      <c r="C6004" s="10">
        <f ca="1">NPV(B6004,Project_FCF!C18:J18)+Project_FCF!B18</f>
        <v>862.90915769429739</v>
      </c>
      <c r="D6004" s="4"/>
      <c r="E6004" s="4"/>
    </row>
    <row r="6005" spans="1:5" x14ac:dyDescent="0.3">
      <c r="A6005" s="9">
        <v>5997</v>
      </c>
      <c r="B6005" s="10">
        <f t="shared" ca="1" si="93"/>
        <v>8.8174744352690765E-2</v>
      </c>
      <c r="C6005" s="10">
        <f ca="1">NPV(B6005,Project_FCF!C18:J18)+Project_FCF!B18</f>
        <v>871.72989488911298</v>
      </c>
      <c r="D6005" s="4"/>
      <c r="E6005" s="4"/>
    </row>
    <row r="6006" spans="1:5" x14ac:dyDescent="0.3">
      <c r="A6006" s="9">
        <v>5998</v>
      </c>
      <c r="B6006" s="10">
        <f t="shared" ca="1" si="93"/>
        <v>8.7911266553712328E-2</v>
      </c>
      <c r="C6006" s="10">
        <f ca="1">NPV(B6006,Project_FCF!C18:J18)+Project_FCF!B18</f>
        <v>873.8105849470694</v>
      </c>
      <c r="D6006" s="4"/>
      <c r="E6006" s="4"/>
    </row>
    <row r="6007" spans="1:5" x14ac:dyDescent="0.3">
      <c r="A6007" s="9">
        <v>5999</v>
      </c>
      <c r="B6007" s="10">
        <f t="shared" ca="1" si="93"/>
        <v>7.9735294360300246E-2</v>
      </c>
      <c r="C6007" s="10">
        <f ca="1">NPV(B6007,Project_FCF!C18:J18)+Project_FCF!B18</f>
        <v>940.57576919569419</v>
      </c>
      <c r="D6007" s="4"/>
      <c r="E6007" s="4"/>
    </row>
    <row r="6008" spans="1:5" x14ac:dyDescent="0.3">
      <c r="A6008" s="9">
        <v>6000</v>
      </c>
      <c r="B6008" s="10">
        <f t="shared" ca="1" si="93"/>
        <v>8.0407828429856054E-2</v>
      </c>
      <c r="C6008" s="10">
        <f ca="1">NPV(B6008,Project_FCF!C18:J18)+Project_FCF!B18</f>
        <v>934.91920566111457</v>
      </c>
      <c r="D6008" s="4"/>
      <c r="E6008" s="4"/>
    </row>
    <row r="6009" spans="1:5" x14ac:dyDescent="0.3">
      <c r="A6009" s="9">
        <v>6001</v>
      </c>
      <c r="B6009" s="10">
        <f t="shared" ca="1" si="93"/>
        <v>7.4885042957286527E-2</v>
      </c>
      <c r="C6009" s="10">
        <f ca="1">NPV(B6009,Project_FCF!C18:J18)+Project_FCF!B18</f>
        <v>982.27912797074782</v>
      </c>
      <c r="D6009" s="4"/>
      <c r="E6009" s="4"/>
    </row>
    <row r="6010" spans="1:5" x14ac:dyDescent="0.3">
      <c r="A6010" s="9">
        <v>6002</v>
      </c>
      <c r="B6010" s="10">
        <f t="shared" ca="1" si="93"/>
        <v>9.2110332636201706E-2</v>
      </c>
      <c r="C6010" s="10">
        <f ca="1">NPV(B6010,Project_FCF!C18:J18)+Project_FCF!B18</f>
        <v>841.15802543944983</v>
      </c>
      <c r="D6010" s="4"/>
      <c r="E6010" s="4"/>
    </row>
    <row r="6011" spans="1:5" x14ac:dyDescent="0.3">
      <c r="A6011" s="9">
        <v>6003</v>
      </c>
      <c r="B6011" s="10">
        <f t="shared" ca="1" si="93"/>
        <v>9.1129352290425542E-2</v>
      </c>
      <c r="C6011" s="10">
        <f ca="1">NPV(B6011,Project_FCF!C18:J18)+Project_FCF!B18</f>
        <v>848.69016675737657</v>
      </c>
      <c r="D6011" s="4"/>
      <c r="E6011" s="4"/>
    </row>
    <row r="6012" spans="1:5" x14ac:dyDescent="0.3">
      <c r="A6012" s="9">
        <v>6004</v>
      </c>
      <c r="B6012" s="10">
        <f t="shared" ca="1" si="93"/>
        <v>7.7057470470998313E-2</v>
      </c>
      <c r="C6012" s="10">
        <f ca="1">NPV(B6012,Project_FCF!C18:J18)+Project_FCF!B18</f>
        <v>963.40083586145101</v>
      </c>
      <c r="D6012" s="4"/>
      <c r="E6012" s="4"/>
    </row>
    <row r="6013" spans="1:5" x14ac:dyDescent="0.3">
      <c r="A6013" s="9">
        <v>6005</v>
      </c>
      <c r="B6013" s="10">
        <f t="shared" ca="1" si="93"/>
        <v>8.5115195962234505E-2</v>
      </c>
      <c r="C6013" s="10">
        <f ca="1">NPV(B6013,Project_FCF!C18:J18)+Project_FCF!B18</f>
        <v>896.15949832896104</v>
      </c>
      <c r="D6013" s="4"/>
      <c r="E6013" s="4"/>
    </row>
    <row r="6014" spans="1:5" x14ac:dyDescent="0.3">
      <c r="A6014" s="9">
        <v>6006</v>
      </c>
      <c r="B6014" s="10">
        <f t="shared" ca="1" si="93"/>
        <v>7.8273006410863752E-2</v>
      </c>
      <c r="C6014" s="10">
        <f ca="1">NPV(B6014,Project_FCF!C18:J18)+Project_FCF!B18</f>
        <v>952.97963568168279</v>
      </c>
      <c r="D6014" s="4"/>
      <c r="E6014" s="4"/>
    </row>
    <row r="6015" spans="1:5" x14ac:dyDescent="0.3">
      <c r="A6015" s="9">
        <v>6007</v>
      </c>
      <c r="B6015" s="10">
        <f t="shared" ca="1" si="93"/>
        <v>9.7253189049207281E-2</v>
      </c>
      <c r="C6015" s="10">
        <f ca="1">NPV(B6015,Project_FCF!C18:J18)+Project_FCF!B18</f>
        <v>802.60282025996003</v>
      </c>
      <c r="D6015" s="4"/>
      <c r="E6015" s="4"/>
    </row>
    <row r="6016" spans="1:5" x14ac:dyDescent="0.3">
      <c r="A6016" s="9">
        <v>6008</v>
      </c>
      <c r="B6016" s="10">
        <f t="shared" ca="1" si="93"/>
        <v>6.7177735136886782E-2</v>
      </c>
      <c r="C6016" s="10">
        <f ca="1">NPV(B6016,Project_FCF!C18:J18)+Project_FCF!B18</f>
        <v>1051.9662209994447</v>
      </c>
      <c r="D6016" s="4"/>
      <c r="E6016" s="4"/>
    </row>
    <row r="6017" spans="1:5" x14ac:dyDescent="0.3">
      <c r="A6017" s="9">
        <v>6009</v>
      </c>
      <c r="B6017" s="10">
        <f t="shared" ca="1" si="93"/>
        <v>6.4496117645185716E-2</v>
      </c>
      <c r="C6017" s="10">
        <f ca="1">NPV(B6017,Project_FCF!C18:J18)+Project_FCF!B18</f>
        <v>1077.2430091504082</v>
      </c>
      <c r="D6017" s="4"/>
      <c r="E6017" s="4"/>
    </row>
    <row r="6018" spans="1:5" x14ac:dyDescent="0.3">
      <c r="A6018" s="9">
        <v>6010</v>
      </c>
      <c r="B6018" s="10">
        <f t="shared" ca="1" si="93"/>
        <v>6.9657675632935345E-2</v>
      </c>
      <c r="C6018" s="10">
        <f ca="1">NPV(B6018,Project_FCF!C18:J18)+Project_FCF!B18</f>
        <v>1029.0713974488724</v>
      </c>
      <c r="D6018" s="4"/>
      <c r="E6018" s="4"/>
    </row>
    <row r="6019" spans="1:5" x14ac:dyDescent="0.3">
      <c r="A6019" s="9">
        <v>6011</v>
      </c>
      <c r="B6019" s="10">
        <f t="shared" ca="1" si="93"/>
        <v>7.9238947696011697E-2</v>
      </c>
      <c r="C6019" s="10">
        <f ca="1">NPV(B6019,Project_FCF!C18:J18)+Project_FCF!B18</f>
        <v>944.76987690225451</v>
      </c>
      <c r="D6019" s="4"/>
      <c r="E6019" s="4"/>
    </row>
    <row r="6020" spans="1:5" x14ac:dyDescent="0.3">
      <c r="A6020" s="9">
        <v>6012</v>
      </c>
      <c r="B6020" s="10">
        <f t="shared" ca="1" si="93"/>
        <v>8.2221207060853882E-2</v>
      </c>
      <c r="C6020" s="10">
        <f ca="1">NPV(B6020,Project_FCF!C18:J18)+Project_FCF!B18</f>
        <v>919.81678653709059</v>
      </c>
      <c r="D6020" s="4"/>
      <c r="E6020" s="4"/>
    </row>
    <row r="6021" spans="1:5" x14ac:dyDescent="0.3">
      <c r="A6021" s="9">
        <v>6013</v>
      </c>
      <c r="B6021" s="10">
        <f t="shared" ca="1" si="93"/>
        <v>7.9635137706237952E-2</v>
      </c>
      <c r="C6021" s="10">
        <f ca="1">NPV(B6021,Project_FCF!C18:J18)+Project_FCF!B18</f>
        <v>941.42075689590115</v>
      </c>
      <c r="D6021" s="4"/>
      <c r="E6021" s="4"/>
    </row>
    <row r="6022" spans="1:5" x14ac:dyDescent="0.3">
      <c r="A6022" s="9">
        <v>6014</v>
      </c>
      <c r="B6022" s="10">
        <f t="shared" ca="1" si="93"/>
        <v>9.5016327106288698E-2</v>
      </c>
      <c r="C6022" s="10">
        <f ca="1">NPV(B6022,Project_FCF!C18:J18)+Project_FCF!B18</f>
        <v>819.18196579533947</v>
      </c>
      <c r="D6022" s="4"/>
      <c r="E6022" s="4"/>
    </row>
    <row r="6023" spans="1:5" x14ac:dyDescent="0.3">
      <c r="A6023" s="9">
        <v>6015</v>
      </c>
      <c r="B6023" s="10">
        <f t="shared" ca="1" si="93"/>
        <v>9.8241484036491439E-2</v>
      </c>
      <c r="C6023" s="10">
        <f ca="1">NPV(B6023,Project_FCF!C18:J18)+Project_FCF!B18</f>
        <v>795.36940145893186</v>
      </c>
      <c r="D6023" s="4"/>
      <c r="E6023" s="4"/>
    </row>
    <row r="6024" spans="1:5" x14ac:dyDescent="0.3">
      <c r="A6024" s="9">
        <v>6016</v>
      </c>
      <c r="B6024" s="10">
        <f t="shared" ca="1" si="93"/>
        <v>7.6473685257788124E-2</v>
      </c>
      <c r="C6024" s="10">
        <f ca="1">NPV(B6024,Project_FCF!C18:J18)+Project_FCF!B18</f>
        <v>968.44180580915304</v>
      </c>
      <c r="D6024" s="4"/>
      <c r="E6024" s="4"/>
    </row>
    <row r="6025" spans="1:5" x14ac:dyDescent="0.3">
      <c r="A6025" s="9">
        <v>6017</v>
      </c>
      <c r="B6025" s="10">
        <f t="shared" ref="B6025:B6088" ca="1" si="94">$B$4+RAND()*($B$5-$B$4)</f>
        <v>0.1011917124495865</v>
      </c>
      <c r="C6025" s="10">
        <f ca="1">NPV(B6025,Project_FCF!C18:J18)+Project_FCF!B18</f>
        <v>774.10435135206444</v>
      </c>
      <c r="D6025" s="4"/>
      <c r="E6025" s="4"/>
    </row>
    <row r="6026" spans="1:5" x14ac:dyDescent="0.3">
      <c r="A6026" s="9">
        <v>6018</v>
      </c>
      <c r="B6026" s="10">
        <f t="shared" ca="1" si="94"/>
        <v>7.1306845083138518E-2</v>
      </c>
      <c r="C6026" s="10">
        <f ca="1">NPV(B6026,Project_FCF!C18:J18)+Project_FCF!B18</f>
        <v>1014.0968665638554</v>
      </c>
      <c r="D6026" s="4"/>
      <c r="E6026" s="4"/>
    </row>
    <row r="6027" spans="1:5" x14ac:dyDescent="0.3">
      <c r="A6027" s="9">
        <v>6019</v>
      </c>
      <c r="B6027" s="10">
        <f t="shared" ca="1" si="94"/>
        <v>7.8126594210554651E-2</v>
      </c>
      <c r="C6027" s="10">
        <f ca="1">NPV(B6027,Project_FCF!C18:J18)+Project_FCF!B18</f>
        <v>954.22954157774302</v>
      </c>
      <c r="D6027" s="4"/>
      <c r="E6027" s="4"/>
    </row>
    <row r="6028" spans="1:5" x14ac:dyDescent="0.3">
      <c r="A6028" s="9">
        <v>6020</v>
      </c>
      <c r="B6028" s="10">
        <f t="shared" ca="1" si="94"/>
        <v>8.136650684466501E-2</v>
      </c>
      <c r="C6028" s="10">
        <f ca="1">NPV(B6028,Project_FCF!C18:J18)+Project_FCF!B18</f>
        <v>926.9079576346744</v>
      </c>
      <c r="D6028" s="4"/>
      <c r="E6028" s="4"/>
    </row>
    <row r="6029" spans="1:5" x14ac:dyDescent="0.3">
      <c r="A6029" s="9">
        <v>6021</v>
      </c>
      <c r="B6029" s="10">
        <f t="shared" ca="1" si="94"/>
        <v>0.10396080483893422</v>
      </c>
      <c r="C6029" s="10">
        <f ca="1">NPV(B6029,Project_FCF!C18:J18)+Project_FCF!B18</f>
        <v>754.58314108725472</v>
      </c>
      <c r="D6029" s="4"/>
      <c r="E6029" s="4"/>
    </row>
    <row r="6030" spans="1:5" x14ac:dyDescent="0.3">
      <c r="A6030" s="9">
        <v>6022</v>
      </c>
      <c r="B6030" s="10">
        <f t="shared" ca="1" si="94"/>
        <v>9.9458680360133833E-2</v>
      </c>
      <c r="C6030" s="10">
        <f ca="1">NPV(B6030,Project_FCF!C18:J18)+Project_FCF!B18</f>
        <v>786.53678478483585</v>
      </c>
      <c r="D6030" s="4"/>
      <c r="E6030" s="4"/>
    </row>
    <row r="6031" spans="1:5" x14ac:dyDescent="0.3">
      <c r="A6031" s="9">
        <v>6023</v>
      </c>
      <c r="B6031" s="10">
        <f t="shared" ca="1" si="94"/>
        <v>8.5088032908186118E-2</v>
      </c>
      <c r="C6031" s="10">
        <f ca="1">NPV(B6031,Project_FCF!C18:J18)+Project_FCF!B18</f>
        <v>896.37903912746856</v>
      </c>
      <c r="D6031" s="4"/>
      <c r="E6031" s="4"/>
    </row>
    <row r="6032" spans="1:5" x14ac:dyDescent="0.3">
      <c r="A6032" s="9">
        <v>6024</v>
      </c>
      <c r="B6032" s="10">
        <f t="shared" ca="1" si="94"/>
        <v>8.7837438201445781E-2</v>
      </c>
      <c r="C6032" s="10">
        <f ca="1">NPV(B6032,Project_FCF!C18:J18)+Project_FCF!B18</f>
        <v>874.39438371737378</v>
      </c>
      <c r="D6032" s="4"/>
      <c r="E6032" s="4"/>
    </row>
    <row r="6033" spans="1:5" x14ac:dyDescent="0.3">
      <c r="A6033" s="9">
        <v>6025</v>
      </c>
      <c r="B6033" s="10">
        <f t="shared" ca="1" si="94"/>
        <v>7.1036280836650798E-2</v>
      </c>
      <c r="C6033" s="10">
        <f ca="1">NPV(B6033,Project_FCF!C18:J18)+Project_FCF!B18</f>
        <v>1016.5400348880798</v>
      </c>
      <c r="D6033" s="4"/>
      <c r="E6033" s="4"/>
    </row>
    <row r="6034" spans="1:5" x14ac:dyDescent="0.3">
      <c r="A6034" s="9">
        <v>6026</v>
      </c>
      <c r="B6034" s="10">
        <f t="shared" ca="1" si="94"/>
        <v>9.159670774798602E-2</v>
      </c>
      <c r="C6034" s="10">
        <f ca="1">NPV(B6034,Project_FCF!C18:J18)+Project_FCF!B18</f>
        <v>845.09450067294551</v>
      </c>
      <c r="D6034" s="4"/>
      <c r="E6034" s="4"/>
    </row>
    <row r="6035" spans="1:5" x14ac:dyDescent="0.3">
      <c r="A6035" s="9">
        <v>6027</v>
      </c>
      <c r="B6035" s="10">
        <f t="shared" ca="1" si="94"/>
        <v>9.2887489400897819E-2</v>
      </c>
      <c r="C6035" s="10">
        <f ca="1">NPV(B6035,Project_FCF!C18:J18)+Project_FCF!B18</f>
        <v>835.23186164531489</v>
      </c>
      <c r="D6035" s="4"/>
      <c r="E6035" s="4"/>
    </row>
    <row r="6036" spans="1:5" x14ac:dyDescent="0.3">
      <c r="A6036" s="9">
        <v>6028</v>
      </c>
      <c r="B6036" s="10">
        <f t="shared" ca="1" si="94"/>
        <v>9.2426206773424752E-2</v>
      </c>
      <c r="C6036" s="10">
        <f ca="1">NPV(B6036,Project_FCF!C18:J18)+Project_FCF!B18</f>
        <v>838.74499186779167</v>
      </c>
      <c r="D6036" s="4"/>
      <c r="E6036" s="4"/>
    </row>
    <row r="6037" spans="1:5" x14ac:dyDescent="0.3">
      <c r="A6037" s="9">
        <v>6029</v>
      </c>
      <c r="B6037" s="10">
        <f t="shared" ca="1" si="94"/>
        <v>7.3725205648645029E-2</v>
      </c>
      <c r="C6037" s="10">
        <f ca="1">NPV(B6037,Project_FCF!C18:J18)+Project_FCF!B18</f>
        <v>992.49293079263202</v>
      </c>
      <c r="D6037" s="4"/>
      <c r="E6037" s="4"/>
    </row>
    <row r="6038" spans="1:5" x14ac:dyDescent="0.3">
      <c r="A6038" s="9">
        <v>6030</v>
      </c>
      <c r="B6038" s="10">
        <f t="shared" ca="1" si="94"/>
        <v>0.10384656955176488</v>
      </c>
      <c r="C6038" s="10">
        <f ca="1">NPV(B6038,Project_FCF!C18:J18)+Project_FCF!B18</f>
        <v>755.38020902041035</v>
      </c>
      <c r="D6038" s="4"/>
      <c r="E6038" s="4"/>
    </row>
    <row r="6039" spans="1:5" x14ac:dyDescent="0.3">
      <c r="A6039" s="9">
        <v>6031</v>
      </c>
      <c r="B6039" s="10">
        <f t="shared" ca="1" si="94"/>
        <v>6.4475302406386381E-2</v>
      </c>
      <c r="C6039" s="10">
        <f ca="1">NPV(B6039,Project_FCF!C18:J18)+Project_FCF!B18</f>
        <v>1077.4413597783648</v>
      </c>
      <c r="D6039" s="4"/>
      <c r="E6039" s="4"/>
    </row>
    <row r="6040" spans="1:5" x14ac:dyDescent="0.3">
      <c r="A6040" s="9">
        <v>6032</v>
      </c>
      <c r="B6040" s="10">
        <f t="shared" ca="1" si="94"/>
        <v>9.9810566700887088E-2</v>
      </c>
      <c r="C6040" s="10">
        <f ca="1">NPV(B6040,Project_FCF!C18:J18)+Project_FCF!B18</f>
        <v>783.99885692977864</v>
      </c>
      <c r="D6040" s="4"/>
      <c r="E6040" s="4"/>
    </row>
    <row r="6041" spans="1:5" x14ac:dyDescent="0.3">
      <c r="A6041" s="9">
        <v>6033</v>
      </c>
      <c r="B6041" s="10">
        <f t="shared" ca="1" si="94"/>
        <v>7.4864307357428689E-2</v>
      </c>
      <c r="C6041" s="10">
        <f ca="1">NPV(B6041,Project_FCF!C18:J18)+Project_FCF!B18</f>
        <v>982.4609008580826</v>
      </c>
      <c r="D6041" s="4"/>
      <c r="E6041" s="4"/>
    </row>
    <row r="6042" spans="1:5" x14ac:dyDescent="0.3">
      <c r="A6042" s="9">
        <v>6034</v>
      </c>
      <c r="B6042" s="10">
        <f t="shared" ca="1" si="94"/>
        <v>8.5874056763642501E-2</v>
      </c>
      <c r="C6042" s="10">
        <f ca="1">NPV(B6042,Project_FCF!C18:J18)+Project_FCF!B18</f>
        <v>890.0451286679945</v>
      </c>
      <c r="D6042" s="4"/>
      <c r="E6042" s="4"/>
    </row>
    <row r="6043" spans="1:5" x14ac:dyDescent="0.3">
      <c r="A6043" s="9">
        <v>6035</v>
      </c>
      <c r="B6043" s="10">
        <f t="shared" ca="1" si="94"/>
        <v>9.9285683811672937E-2</v>
      </c>
      <c r="C6043" s="10">
        <f ca="1">NPV(B6043,Project_FCF!C18:J18)+Project_FCF!B18</f>
        <v>787.78704515651043</v>
      </c>
      <c r="D6043" s="4"/>
      <c r="E6043" s="4"/>
    </row>
    <row r="6044" spans="1:5" x14ac:dyDescent="0.3">
      <c r="A6044" s="9">
        <v>6036</v>
      </c>
      <c r="B6044" s="10">
        <f t="shared" ca="1" si="94"/>
        <v>9.52695802335978E-2</v>
      </c>
      <c r="C6044" s="10">
        <f ca="1">NPV(B6044,Project_FCF!C18:J18)+Project_FCF!B18</f>
        <v>817.29034101476032</v>
      </c>
      <c r="D6044" s="4"/>
      <c r="E6044" s="4"/>
    </row>
    <row r="6045" spans="1:5" x14ac:dyDescent="0.3">
      <c r="A6045" s="9">
        <v>6037</v>
      </c>
      <c r="B6045" s="10">
        <f t="shared" ca="1" si="94"/>
        <v>0.10087529547842687</v>
      </c>
      <c r="C6045" s="10">
        <f ca="1">NPV(B6045,Project_FCF!C18:J18)+Project_FCF!B18</f>
        <v>776.36179404064046</v>
      </c>
      <c r="D6045" s="4"/>
      <c r="E6045" s="4"/>
    </row>
    <row r="6046" spans="1:5" x14ac:dyDescent="0.3">
      <c r="A6046" s="9">
        <v>6038</v>
      </c>
      <c r="B6046" s="10">
        <f t="shared" ca="1" si="94"/>
        <v>6.8028806483039078E-2</v>
      </c>
      <c r="C6046" s="10">
        <f ca="1">NPV(B6046,Project_FCF!C18:J18)+Project_FCF!B18</f>
        <v>1044.0575967166574</v>
      </c>
      <c r="D6046" s="4"/>
      <c r="E6046" s="4"/>
    </row>
    <row r="6047" spans="1:5" x14ac:dyDescent="0.3">
      <c r="A6047" s="9">
        <v>6039</v>
      </c>
      <c r="B6047" s="10">
        <f t="shared" ca="1" si="94"/>
        <v>9.2429795947813628E-2</v>
      </c>
      <c r="C6047" s="10">
        <f ca="1">NPV(B6047,Project_FCF!C18:J18)+Project_FCF!B18</f>
        <v>838.71760766432317</v>
      </c>
      <c r="D6047" s="4"/>
      <c r="E6047" s="4"/>
    </row>
    <row r="6048" spans="1:5" x14ac:dyDescent="0.3">
      <c r="A6048" s="9">
        <v>6040</v>
      </c>
      <c r="B6048" s="10">
        <f t="shared" ca="1" si="94"/>
        <v>8.0895159904735905E-2</v>
      </c>
      <c r="C6048" s="10">
        <f ca="1">NPV(B6048,Project_FCF!C18:J18)+Project_FCF!B18</f>
        <v>930.83917880588069</v>
      </c>
      <c r="D6048" s="4"/>
      <c r="E6048" s="4"/>
    </row>
    <row r="6049" spans="1:5" x14ac:dyDescent="0.3">
      <c r="A6049" s="9">
        <v>6041</v>
      </c>
      <c r="B6049" s="10">
        <f t="shared" ca="1" si="94"/>
        <v>8.4556359184300017E-2</v>
      </c>
      <c r="C6049" s="10">
        <f ca="1">NPV(B6049,Project_FCF!C18:J18)+Project_FCF!B18</f>
        <v>900.68570122213896</v>
      </c>
      <c r="D6049" s="4"/>
      <c r="E6049" s="4"/>
    </row>
    <row r="6050" spans="1:5" x14ac:dyDescent="0.3">
      <c r="A6050" s="9">
        <v>6042</v>
      </c>
      <c r="B6050" s="10">
        <f t="shared" ca="1" si="94"/>
        <v>7.8102347783445256E-2</v>
      </c>
      <c r="C6050" s="10">
        <f ca="1">NPV(B6050,Project_FCF!C18:J18)+Project_FCF!B18</f>
        <v>954.43667142528943</v>
      </c>
      <c r="D6050" s="4"/>
      <c r="E6050" s="4"/>
    </row>
    <row r="6051" spans="1:5" x14ac:dyDescent="0.3">
      <c r="A6051" s="9">
        <v>6043</v>
      </c>
      <c r="B6051" s="10">
        <f t="shared" ca="1" si="94"/>
        <v>7.7213019158782398E-2</v>
      </c>
      <c r="C6051" s="10">
        <f ca="1">NPV(B6051,Project_FCF!C18:J18)+Project_FCF!B18</f>
        <v>962.06162906085046</v>
      </c>
      <c r="D6051" s="4"/>
      <c r="E6051" s="4"/>
    </row>
    <row r="6052" spans="1:5" x14ac:dyDescent="0.3">
      <c r="A6052" s="9">
        <v>6044</v>
      </c>
      <c r="B6052" s="10">
        <f t="shared" ca="1" si="94"/>
        <v>0.10313618926582049</v>
      </c>
      <c r="C6052" s="10">
        <f ca="1">NPV(B6052,Project_FCF!C18:J18)+Project_FCF!B18</f>
        <v>760.35268466047478</v>
      </c>
      <c r="D6052" s="4"/>
      <c r="E6052" s="4"/>
    </row>
    <row r="6053" spans="1:5" x14ac:dyDescent="0.3">
      <c r="A6053" s="9">
        <v>6045</v>
      </c>
      <c r="B6053" s="10">
        <f t="shared" ca="1" si="94"/>
        <v>7.4664918929329513E-2</v>
      </c>
      <c r="C6053" s="10">
        <f ca="1">NPV(B6053,Project_FCF!C18:J18)+Project_FCF!B18</f>
        <v>984.21032164014127</v>
      </c>
      <c r="D6053" s="4"/>
      <c r="E6053" s="4"/>
    </row>
    <row r="6054" spans="1:5" x14ac:dyDescent="0.3">
      <c r="A6054" s="9">
        <v>6046</v>
      </c>
      <c r="B6054" s="10">
        <f t="shared" ca="1" si="94"/>
        <v>8.6936817638610858E-2</v>
      </c>
      <c r="C6054" s="10">
        <f ca="1">NPV(B6054,Project_FCF!C18:J18)+Project_FCF!B18</f>
        <v>881.54345399654653</v>
      </c>
      <c r="D6054" s="4"/>
      <c r="E6054" s="4"/>
    </row>
    <row r="6055" spans="1:5" x14ac:dyDescent="0.3">
      <c r="A6055" s="9">
        <v>6047</v>
      </c>
      <c r="B6055" s="10">
        <f t="shared" ca="1" si="94"/>
        <v>9.1617031899673684E-2</v>
      </c>
      <c r="C6055" s="10">
        <f ca="1">NPV(B6055,Project_FCF!C18:J18)+Project_FCF!B18</f>
        <v>844.93843278701934</v>
      </c>
      <c r="D6055" s="4"/>
      <c r="E6055" s="4"/>
    </row>
    <row r="6056" spans="1:5" x14ac:dyDescent="0.3">
      <c r="A6056" s="9">
        <v>6048</v>
      </c>
      <c r="B6056" s="10">
        <f t="shared" ca="1" si="94"/>
        <v>9.4302046724724406E-2</v>
      </c>
      <c r="C6056" s="10">
        <f ca="1">NPV(B6056,Project_FCF!C18:J18)+Project_FCF!B18</f>
        <v>824.53735852139516</v>
      </c>
      <c r="D6056" s="4"/>
      <c r="E6056" s="4"/>
    </row>
    <row r="6057" spans="1:5" x14ac:dyDescent="0.3">
      <c r="A6057" s="9">
        <v>6049</v>
      </c>
      <c r="B6057" s="10">
        <f t="shared" ca="1" si="94"/>
        <v>0.10040793299517456</v>
      </c>
      <c r="C6057" s="10">
        <f ca="1">NPV(B6057,Project_FCF!C18:J18)+Project_FCF!B18</f>
        <v>779.70630396095953</v>
      </c>
      <c r="D6057" s="4"/>
      <c r="E6057" s="4"/>
    </row>
    <row r="6058" spans="1:5" x14ac:dyDescent="0.3">
      <c r="A6058" s="9">
        <v>6050</v>
      </c>
      <c r="B6058" s="10">
        <f t="shared" ca="1" si="94"/>
        <v>7.2905134472943056E-2</v>
      </c>
      <c r="C6058" s="10">
        <f ca="1">NPV(B6058,Project_FCF!C18:J18)+Project_FCF!B18</f>
        <v>999.77204862560939</v>
      </c>
      <c r="D6058" s="4"/>
      <c r="E6058" s="4"/>
    </row>
    <row r="6059" spans="1:5" x14ac:dyDescent="0.3">
      <c r="A6059" s="9">
        <v>6051</v>
      </c>
      <c r="B6059" s="10">
        <f t="shared" ca="1" si="94"/>
        <v>7.796180807629384E-2</v>
      </c>
      <c r="C6059" s="10">
        <f ca="1">NPV(B6059,Project_FCF!C18:J18)+Project_FCF!B18</f>
        <v>955.63804698777835</v>
      </c>
      <c r="D6059" s="4"/>
      <c r="E6059" s="4"/>
    </row>
    <row r="6060" spans="1:5" x14ac:dyDescent="0.3">
      <c r="A6060" s="9">
        <v>6052</v>
      </c>
      <c r="B6060" s="10">
        <f t="shared" ca="1" si="94"/>
        <v>7.9273207264489692E-2</v>
      </c>
      <c r="C6060" s="10">
        <f ca="1">NPV(B6060,Project_FCF!C18:J18)+Project_FCF!B18</f>
        <v>944.47985318732344</v>
      </c>
      <c r="D6060" s="4"/>
      <c r="E6060" s="4"/>
    </row>
    <row r="6061" spans="1:5" x14ac:dyDescent="0.3">
      <c r="A6061" s="9">
        <v>6053</v>
      </c>
      <c r="B6061" s="10">
        <f t="shared" ca="1" si="94"/>
        <v>8.2076212753176517E-2</v>
      </c>
      <c r="C6061" s="10">
        <f ca="1">NPV(B6061,Project_FCF!C18:J18)+Project_FCF!B18</f>
        <v>921.01637653021567</v>
      </c>
      <c r="D6061" s="4"/>
      <c r="E6061" s="4"/>
    </row>
    <row r="6062" spans="1:5" x14ac:dyDescent="0.3">
      <c r="A6062" s="9">
        <v>6054</v>
      </c>
      <c r="B6062" s="10">
        <f t="shared" ca="1" si="94"/>
        <v>9.371466773119537E-2</v>
      </c>
      <c r="C6062" s="10">
        <f ca="1">NPV(B6062,Project_FCF!C18:J18)+Project_FCF!B18</f>
        <v>828.96376225146719</v>
      </c>
      <c r="D6062" s="4"/>
      <c r="E6062" s="4"/>
    </row>
    <row r="6063" spans="1:5" x14ac:dyDescent="0.3">
      <c r="A6063" s="9">
        <v>6055</v>
      </c>
      <c r="B6063" s="10">
        <f t="shared" ca="1" si="94"/>
        <v>9.5016580610491425E-2</v>
      </c>
      <c r="C6063" s="10">
        <f ca="1">NPV(B6063,Project_FCF!C18:J18)+Project_FCF!B18</f>
        <v>819.18007042313525</v>
      </c>
      <c r="D6063" s="4"/>
      <c r="E6063" s="4"/>
    </row>
    <row r="6064" spans="1:5" x14ac:dyDescent="0.3">
      <c r="A6064" s="9">
        <v>6056</v>
      </c>
      <c r="B6064" s="10">
        <f t="shared" ca="1" si="94"/>
        <v>7.5008127450645987E-2</v>
      </c>
      <c r="C6064" s="10">
        <f ca="1">NPV(B6064,Project_FCF!C18:J18)+Project_FCF!B18</f>
        <v>981.20076131547694</v>
      </c>
      <c r="D6064" s="4"/>
      <c r="E6064" s="4"/>
    </row>
    <row r="6065" spans="1:5" x14ac:dyDescent="0.3">
      <c r="A6065" s="9">
        <v>6057</v>
      </c>
      <c r="B6065" s="10">
        <f t="shared" ca="1" si="94"/>
        <v>9.9911853556467409E-2</v>
      </c>
      <c r="C6065" s="10">
        <f ca="1">NPV(B6065,Project_FCF!C18:J18)+Project_FCF!B18</f>
        <v>783.26962644500486</v>
      </c>
      <c r="D6065" s="4"/>
      <c r="E6065" s="4"/>
    </row>
    <row r="6066" spans="1:5" x14ac:dyDescent="0.3">
      <c r="A6066" s="9">
        <v>6058</v>
      </c>
      <c r="B6066" s="10">
        <f t="shared" ca="1" si="94"/>
        <v>6.4585628096793232E-2</v>
      </c>
      <c r="C6066" s="10">
        <f ca="1">NPV(B6066,Project_FCF!C18:J18)+Project_FCF!B18</f>
        <v>1076.3904344754942</v>
      </c>
      <c r="D6066" s="4"/>
      <c r="E6066" s="4"/>
    </row>
    <row r="6067" spans="1:5" x14ac:dyDescent="0.3">
      <c r="A6067" s="9">
        <v>6059</v>
      </c>
      <c r="B6067" s="10">
        <f t="shared" ca="1" si="94"/>
        <v>8.149386932009077E-2</v>
      </c>
      <c r="C6067" s="10">
        <f ca="1">NPV(B6067,Project_FCF!C18:J18)+Project_FCF!B18</f>
        <v>925.84822355237884</v>
      </c>
      <c r="D6067" s="4"/>
      <c r="E6067" s="4"/>
    </row>
    <row r="6068" spans="1:5" x14ac:dyDescent="0.3">
      <c r="A6068" s="9">
        <v>6060</v>
      </c>
      <c r="B6068" s="10">
        <f t="shared" ca="1" si="94"/>
        <v>8.3759668110457763E-2</v>
      </c>
      <c r="C6068" s="10">
        <f ca="1">NPV(B6068,Project_FCF!C18:J18)+Project_FCF!B18</f>
        <v>907.17302799323556</v>
      </c>
      <c r="D6068" s="4"/>
      <c r="E6068" s="4"/>
    </row>
    <row r="6069" spans="1:5" x14ac:dyDescent="0.3">
      <c r="A6069" s="9">
        <v>6061</v>
      </c>
      <c r="B6069" s="10">
        <f t="shared" ca="1" si="94"/>
        <v>8.6325598043711316E-2</v>
      </c>
      <c r="C6069" s="10">
        <f ca="1">NPV(B6069,Project_FCF!C18:J18)+Project_FCF!B18</f>
        <v>886.42426492793857</v>
      </c>
      <c r="D6069" s="4"/>
      <c r="E6069" s="4"/>
    </row>
    <row r="6070" spans="1:5" x14ac:dyDescent="0.3">
      <c r="A6070" s="9">
        <v>6062</v>
      </c>
      <c r="B6070" s="10">
        <f t="shared" ca="1" si="94"/>
        <v>6.4737755728047713E-2</v>
      </c>
      <c r="C6070" s="10">
        <f ca="1">NPV(B6070,Project_FCF!C18:J18)+Project_FCF!B18</f>
        <v>1074.9428530290809</v>
      </c>
      <c r="D6070" s="4"/>
      <c r="E6070" s="4"/>
    </row>
    <row r="6071" spans="1:5" x14ac:dyDescent="0.3">
      <c r="A6071" s="9">
        <v>6063</v>
      </c>
      <c r="B6071" s="10">
        <f t="shared" ca="1" si="94"/>
        <v>0.10243416597893978</v>
      </c>
      <c r="C6071" s="10">
        <f ca="1">NPV(B6071,Project_FCF!C18:J18)+Project_FCF!B18</f>
        <v>765.29361591165753</v>
      </c>
      <c r="D6071" s="4"/>
      <c r="E6071" s="4"/>
    </row>
    <row r="6072" spans="1:5" x14ac:dyDescent="0.3">
      <c r="A6072" s="9">
        <v>6064</v>
      </c>
      <c r="B6072" s="10">
        <f t="shared" ca="1" si="94"/>
        <v>0.10289294625472936</v>
      </c>
      <c r="C6072" s="10">
        <f ca="1">NPV(B6072,Project_FCF!C18:J18)+Project_FCF!B18</f>
        <v>762.06161869332595</v>
      </c>
      <c r="D6072" s="4"/>
      <c r="E6072" s="4"/>
    </row>
    <row r="6073" spans="1:5" x14ac:dyDescent="0.3">
      <c r="A6073" s="9">
        <v>6065</v>
      </c>
      <c r="B6073" s="10">
        <f t="shared" ca="1" si="94"/>
        <v>9.9446220210332448E-2</v>
      </c>
      <c r="C6073" s="10">
        <f ca="1">NPV(B6073,Project_FCF!C18:J18)+Project_FCF!B18</f>
        <v>786.62677911662558</v>
      </c>
      <c r="D6073" s="4"/>
      <c r="E6073" s="4"/>
    </row>
    <row r="6074" spans="1:5" x14ac:dyDescent="0.3">
      <c r="A6074" s="9">
        <v>6066</v>
      </c>
      <c r="B6074" s="10">
        <f t="shared" ca="1" si="94"/>
        <v>8.4291752129764197E-2</v>
      </c>
      <c r="C6074" s="10">
        <f ca="1">NPV(B6074,Project_FCF!C18:J18)+Project_FCF!B18</f>
        <v>902.83582342053069</v>
      </c>
      <c r="D6074" s="4"/>
      <c r="E6074" s="4"/>
    </row>
    <row r="6075" spans="1:5" x14ac:dyDescent="0.3">
      <c r="A6075" s="9">
        <v>6067</v>
      </c>
      <c r="B6075" s="10">
        <f t="shared" ca="1" si="94"/>
        <v>8.9557349511387052E-2</v>
      </c>
      <c r="C6075" s="10">
        <f ca="1">NPV(B6075,Project_FCF!C18:J18)+Project_FCF!B18</f>
        <v>860.88186252535183</v>
      </c>
      <c r="D6075" s="4"/>
      <c r="E6075" s="4"/>
    </row>
    <row r="6076" spans="1:5" x14ac:dyDescent="0.3">
      <c r="A6076" s="9">
        <v>6068</v>
      </c>
      <c r="B6076" s="10">
        <f t="shared" ca="1" si="94"/>
        <v>0.1014242989191928</v>
      </c>
      <c r="C6076" s="10">
        <f ca="1">NPV(B6076,Project_FCF!C18:J18)+Project_FCF!B18</f>
        <v>772.44852033805591</v>
      </c>
      <c r="D6076" s="4"/>
      <c r="E6076" s="4"/>
    </row>
    <row r="6077" spans="1:5" x14ac:dyDescent="0.3">
      <c r="A6077" s="9">
        <v>6069</v>
      </c>
      <c r="B6077" s="10">
        <f t="shared" ca="1" si="94"/>
        <v>6.5448909785256054E-2</v>
      </c>
      <c r="C6077" s="10">
        <f ca="1">NPV(B6077,Project_FCF!C18:J18)+Project_FCF!B18</f>
        <v>1068.1993486883712</v>
      </c>
      <c r="D6077" s="4"/>
      <c r="E6077" s="4"/>
    </row>
    <row r="6078" spans="1:5" x14ac:dyDescent="0.3">
      <c r="A6078" s="9">
        <v>6070</v>
      </c>
      <c r="B6078" s="10">
        <f t="shared" ca="1" si="94"/>
        <v>6.5958172994590489E-2</v>
      </c>
      <c r="C6078" s="10">
        <f ca="1">NPV(B6078,Project_FCF!C18:J18)+Project_FCF!B18</f>
        <v>1063.3939948868372</v>
      </c>
      <c r="D6078" s="4"/>
      <c r="E6078" s="4"/>
    </row>
    <row r="6079" spans="1:5" x14ac:dyDescent="0.3">
      <c r="A6079" s="9">
        <v>6071</v>
      </c>
      <c r="B6079" s="10">
        <f t="shared" ca="1" si="94"/>
        <v>9.1681844804847853E-2</v>
      </c>
      <c r="C6079" s="10">
        <f ca="1">NPV(B6079,Project_FCF!C18:J18)+Project_FCF!B18</f>
        <v>844.44090467313049</v>
      </c>
      <c r="D6079" s="4"/>
      <c r="E6079" s="4"/>
    </row>
    <row r="6080" spans="1:5" x14ac:dyDescent="0.3">
      <c r="A6080" s="9">
        <v>6072</v>
      </c>
      <c r="B6080" s="10">
        <f t="shared" ca="1" si="94"/>
        <v>0.10109632458030124</v>
      </c>
      <c r="C6080" s="10">
        <f ca="1">NPV(B6080,Project_FCF!C18:J18)+Project_FCF!B18</f>
        <v>774.78430204911228</v>
      </c>
      <c r="D6080" s="4"/>
      <c r="E6080" s="4"/>
    </row>
    <row r="6081" spans="1:5" x14ac:dyDescent="0.3">
      <c r="A6081" s="9">
        <v>6073</v>
      </c>
      <c r="B6081" s="10">
        <f t="shared" ca="1" si="94"/>
        <v>7.2877080625617319E-2</v>
      </c>
      <c r="C6081" s="10">
        <f ca="1">NPV(B6081,Project_FCF!C18:J18)+Project_FCF!B18</f>
        <v>1000.0219061724638</v>
      </c>
      <c r="D6081" s="4"/>
      <c r="E6081" s="4"/>
    </row>
    <row r="6082" spans="1:5" x14ac:dyDescent="0.3">
      <c r="A6082" s="9">
        <v>6074</v>
      </c>
      <c r="B6082" s="10">
        <f t="shared" ca="1" si="94"/>
        <v>8.8224130838810866E-2</v>
      </c>
      <c r="C6082" s="10">
        <f ca="1">NPV(B6082,Project_FCF!C18:J18)+Project_FCF!B18</f>
        <v>871.34036877855215</v>
      </c>
      <c r="D6082" s="4"/>
      <c r="E6082" s="4"/>
    </row>
    <row r="6083" spans="1:5" x14ac:dyDescent="0.3">
      <c r="A6083" s="9">
        <v>6075</v>
      </c>
      <c r="B6083" s="10">
        <f t="shared" ca="1" si="94"/>
        <v>8.5131452408150635E-2</v>
      </c>
      <c r="C6083" s="10">
        <f ca="1">NPV(B6083,Project_FCF!C18:J18)+Project_FCF!B18</f>
        <v>896.02813087665004</v>
      </c>
      <c r="D6083" s="4"/>
      <c r="E6083" s="4"/>
    </row>
    <row r="6084" spans="1:5" x14ac:dyDescent="0.3">
      <c r="A6084" s="9">
        <v>6076</v>
      </c>
      <c r="B6084" s="10">
        <f t="shared" ca="1" si="94"/>
        <v>6.7904333260368627E-2</v>
      </c>
      <c r="C6084" s="10">
        <f ca="1">NPV(B6084,Project_FCF!C18:J18)+Project_FCF!B18</f>
        <v>1045.2108907782017</v>
      </c>
      <c r="D6084" s="4"/>
      <c r="E6084" s="4"/>
    </row>
    <row r="6085" spans="1:5" x14ac:dyDescent="0.3">
      <c r="A6085" s="9">
        <v>6077</v>
      </c>
      <c r="B6085" s="10">
        <f t="shared" ca="1" si="94"/>
        <v>0.10341922917104171</v>
      </c>
      <c r="C6085" s="10">
        <f ca="1">NPV(B6085,Project_FCF!C18:J18)+Project_FCF!B18</f>
        <v>758.36820127075202</v>
      </c>
      <c r="D6085" s="4"/>
      <c r="E6085" s="4"/>
    </row>
    <row r="6086" spans="1:5" x14ac:dyDescent="0.3">
      <c r="A6086" s="9">
        <v>6078</v>
      </c>
      <c r="B6086" s="10">
        <f t="shared" ca="1" si="94"/>
        <v>6.7873308122651785E-2</v>
      </c>
      <c r="C6086" s="10">
        <f ca="1">NPV(B6086,Project_FCF!C18:J18)+Project_FCF!B18</f>
        <v>1045.4985309568533</v>
      </c>
      <c r="D6086" s="4"/>
      <c r="E6086" s="4"/>
    </row>
    <row r="6087" spans="1:5" x14ac:dyDescent="0.3">
      <c r="A6087" s="9">
        <v>6079</v>
      </c>
      <c r="B6087" s="10">
        <f t="shared" ca="1" si="94"/>
        <v>6.5125768114385446E-2</v>
      </c>
      <c r="C6087" s="10">
        <f ca="1">NPV(B6087,Project_FCF!C18:J18)+Project_FCF!B18</f>
        <v>1071.2587348946779</v>
      </c>
      <c r="D6087" s="4"/>
      <c r="E6087" s="4"/>
    </row>
    <row r="6088" spans="1:5" x14ac:dyDescent="0.3">
      <c r="A6088" s="9">
        <v>6080</v>
      </c>
      <c r="B6088" s="10">
        <f t="shared" ca="1" si="94"/>
        <v>8.8237416188521295E-2</v>
      </c>
      <c r="C6088" s="10">
        <f ca="1">NPV(B6088,Project_FCF!C18:J18)+Project_FCF!B18</f>
        <v>871.23560906295415</v>
      </c>
      <c r="D6088" s="4"/>
      <c r="E6088" s="4"/>
    </row>
    <row r="6089" spans="1:5" x14ac:dyDescent="0.3">
      <c r="A6089" s="9">
        <v>6081</v>
      </c>
      <c r="B6089" s="10">
        <f t="shared" ref="B6089:B6152" ca="1" si="95">$B$4+RAND()*($B$5-$B$4)</f>
        <v>8.9181295517348755E-2</v>
      </c>
      <c r="C6089" s="10">
        <f ca="1">NPV(B6089,Project_FCF!C18:J18)+Project_FCF!B18</f>
        <v>863.8207431034275</v>
      </c>
      <c r="D6089" s="4"/>
      <c r="E6089" s="4"/>
    </row>
    <row r="6090" spans="1:5" x14ac:dyDescent="0.3">
      <c r="A6090" s="9">
        <v>6082</v>
      </c>
      <c r="B6090" s="10">
        <f t="shared" ca="1" si="95"/>
        <v>9.4389211638463477E-2</v>
      </c>
      <c r="C6090" s="10">
        <f ca="1">NPV(B6090,Project_FCF!C18:J18)+Project_FCF!B18</f>
        <v>823.88222726225331</v>
      </c>
      <c r="D6090" s="4"/>
      <c r="E6090" s="4"/>
    </row>
    <row r="6091" spans="1:5" x14ac:dyDescent="0.3">
      <c r="A6091" s="9">
        <v>6083</v>
      </c>
      <c r="B6091" s="10">
        <f t="shared" ca="1" si="95"/>
        <v>9.2822640258829581E-2</v>
      </c>
      <c r="C6091" s="10">
        <f ca="1">NPV(B6091,Project_FCF!C18:J18)+Project_FCF!B18</f>
        <v>835.72498642399319</v>
      </c>
      <c r="D6091" s="4"/>
      <c r="E6091" s="4"/>
    </row>
    <row r="6092" spans="1:5" x14ac:dyDescent="0.3">
      <c r="A6092" s="9">
        <v>6084</v>
      </c>
      <c r="B6092" s="10">
        <f t="shared" ca="1" si="95"/>
        <v>9.0884107667338301E-2</v>
      </c>
      <c r="C6092" s="10">
        <f ca="1">NPV(B6092,Project_FCF!C18:J18)+Project_FCF!B18</f>
        <v>850.58227273494913</v>
      </c>
      <c r="D6092" s="4"/>
      <c r="E6092" s="4"/>
    </row>
    <row r="6093" spans="1:5" x14ac:dyDescent="0.3">
      <c r="A6093" s="9">
        <v>6085</v>
      </c>
      <c r="B6093" s="10">
        <f t="shared" ca="1" si="95"/>
        <v>7.9289102858561736E-2</v>
      </c>
      <c r="C6093" s="10">
        <f ca="1">NPV(B6093,Project_FCF!C18:J18)+Project_FCF!B18</f>
        <v>944.34531616303161</v>
      </c>
      <c r="D6093" s="4"/>
      <c r="E6093" s="4"/>
    </row>
    <row r="6094" spans="1:5" x14ac:dyDescent="0.3">
      <c r="A6094" s="9">
        <v>6086</v>
      </c>
      <c r="B6094" s="10">
        <f t="shared" ca="1" si="95"/>
        <v>9.584313987404422E-2</v>
      </c>
      <c r="C6094" s="10">
        <f ca="1">NPV(B6094,Project_FCF!C18:J18)+Project_FCF!B18</f>
        <v>813.02005750600779</v>
      </c>
      <c r="D6094" s="4"/>
      <c r="E6094" s="4"/>
    </row>
    <row r="6095" spans="1:5" x14ac:dyDescent="0.3">
      <c r="A6095" s="9">
        <v>6087</v>
      </c>
      <c r="B6095" s="10">
        <f t="shared" ca="1" si="95"/>
        <v>9.261263442546129E-2</v>
      </c>
      <c r="C6095" s="10">
        <f ca="1">NPV(B6095,Project_FCF!C18:J18)+Project_FCF!B18</f>
        <v>837.32362940758208</v>
      </c>
      <c r="D6095" s="4"/>
      <c r="E6095" s="4"/>
    </row>
    <row r="6096" spans="1:5" x14ac:dyDescent="0.3">
      <c r="A6096" s="9">
        <v>6088</v>
      </c>
      <c r="B6096" s="10">
        <f t="shared" ca="1" si="95"/>
        <v>0.1013377976414081</v>
      </c>
      <c r="C6096" s="10">
        <f ca="1">NPV(B6096,Project_FCF!C18:J18)+Project_FCF!B18</f>
        <v>773.06399170273744</v>
      </c>
      <c r="D6096" s="4"/>
      <c r="E6096" s="4"/>
    </row>
    <row r="6097" spans="1:5" x14ac:dyDescent="0.3">
      <c r="A6097" s="9">
        <v>6089</v>
      </c>
      <c r="B6097" s="10">
        <f t="shared" ca="1" si="95"/>
        <v>6.962620324757747E-2</v>
      </c>
      <c r="C6097" s="10">
        <f ca="1">NPV(B6097,Project_FCF!C18:J18)+Project_FCF!B18</f>
        <v>1029.3591002177491</v>
      </c>
      <c r="D6097" s="4"/>
      <c r="E6097" s="4"/>
    </row>
    <row r="6098" spans="1:5" x14ac:dyDescent="0.3">
      <c r="A6098" s="9">
        <v>6090</v>
      </c>
      <c r="B6098" s="10">
        <f t="shared" ca="1" si="95"/>
        <v>8.9389393187750701E-2</v>
      </c>
      <c r="C6098" s="10">
        <f ca="1">NPV(B6098,Project_FCF!C18:J18)+Project_FCF!B18</f>
        <v>862.19337586863935</v>
      </c>
      <c r="D6098" s="4"/>
      <c r="E6098" s="4"/>
    </row>
    <row r="6099" spans="1:5" x14ac:dyDescent="0.3">
      <c r="A6099" s="9">
        <v>6091</v>
      </c>
      <c r="B6099" s="10">
        <f t="shared" ca="1" si="95"/>
        <v>7.466996609631503E-2</v>
      </c>
      <c r="C6099" s="10">
        <f ca="1">NPV(B6099,Project_FCF!C18:J18)+Project_FCF!B18</f>
        <v>984.16600375247594</v>
      </c>
      <c r="D6099" s="4"/>
      <c r="E6099" s="4"/>
    </row>
    <row r="6100" spans="1:5" x14ac:dyDescent="0.3">
      <c r="A6100" s="9">
        <v>6092</v>
      </c>
      <c r="B6100" s="10">
        <f t="shared" ca="1" si="95"/>
        <v>7.2860157526489847E-2</v>
      </c>
      <c r="C6100" s="10">
        <f ca="1">NPV(B6100,Project_FCF!C18:J18)+Project_FCF!B18</f>
        <v>1000.1726564472269</v>
      </c>
      <c r="D6100" s="4"/>
      <c r="E6100" s="4"/>
    </row>
    <row r="6101" spans="1:5" x14ac:dyDescent="0.3">
      <c r="A6101" s="9">
        <v>6093</v>
      </c>
      <c r="B6101" s="10">
        <f t="shared" ca="1" si="95"/>
        <v>6.8876332796740117E-2</v>
      </c>
      <c r="C6101" s="10">
        <f ca="1">NPV(B6101,Project_FCF!C18:J18)+Project_FCF!B18</f>
        <v>1036.2355532041545</v>
      </c>
      <c r="D6101" s="4"/>
      <c r="E6101" s="4"/>
    </row>
    <row r="6102" spans="1:5" x14ac:dyDescent="0.3">
      <c r="A6102" s="9">
        <v>6094</v>
      </c>
      <c r="B6102" s="10">
        <f t="shared" ca="1" si="95"/>
        <v>8.6260312446378287E-2</v>
      </c>
      <c r="C6102" s="10">
        <f ca="1">NPV(B6102,Project_FCF!C18:J18)+Project_FCF!B18</f>
        <v>886.94698620107215</v>
      </c>
      <c r="D6102" s="4"/>
      <c r="E6102" s="4"/>
    </row>
    <row r="6103" spans="1:5" x14ac:dyDescent="0.3">
      <c r="A6103" s="9">
        <v>6095</v>
      </c>
      <c r="B6103" s="10">
        <f t="shared" ca="1" si="95"/>
        <v>8.9533706475696209E-2</v>
      </c>
      <c r="C6103" s="10">
        <f ca="1">NPV(B6103,Project_FCF!C18:J18)+Project_FCF!B18</f>
        <v>861.0663781841165</v>
      </c>
      <c r="D6103" s="4"/>
      <c r="E6103" s="4"/>
    </row>
    <row r="6104" spans="1:5" x14ac:dyDescent="0.3">
      <c r="A6104" s="9">
        <v>6096</v>
      </c>
      <c r="B6104" s="10">
        <f t="shared" ca="1" si="95"/>
        <v>8.9915618020755955E-2</v>
      </c>
      <c r="C6104" s="10">
        <f ca="1">NPV(B6104,Project_FCF!C18:J18)+Project_FCF!B18</f>
        <v>858.09004519796099</v>
      </c>
      <c r="D6104" s="4"/>
      <c r="E6104" s="4"/>
    </row>
    <row r="6105" spans="1:5" x14ac:dyDescent="0.3">
      <c r="A6105" s="9">
        <v>6097</v>
      </c>
      <c r="B6105" s="10">
        <f t="shared" ca="1" si="95"/>
        <v>7.7504847842700661E-2</v>
      </c>
      <c r="C6105" s="10">
        <f ca="1">NPV(B6105,Project_FCF!C18:J18)+Project_FCF!B18</f>
        <v>959.55358316827483</v>
      </c>
      <c r="D6105" s="4"/>
      <c r="E6105" s="4"/>
    </row>
    <row r="6106" spans="1:5" x14ac:dyDescent="0.3">
      <c r="A6106" s="9">
        <v>6098</v>
      </c>
      <c r="B6106" s="10">
        <f t="shared" ca="1" si="95"/>
        <v>7.5529900922497659E-2</v>
      </c>
      <c r="C6106" s="10">
        <f ca="1">NPV(B6106,Project_FCF!C18:J18)+Project_FCF!B18</f>
        <v>976.64115481329418</v>
      </c>
      <c r="D6106" s="4"/>
      <c r="E6106" s="4"/>
    </row>
    <row r="6107" spans="1:5" x14ac:dyDescent="0.3">
      <c r="A6107" s="9">
        <v>6099</v>
      </c>
      <c r="B6107" s="10">
        <f t="shared" ca="1" si="95"/>
        <v>7.7237446938267423E-2</v>
      </c>
      <c r="C6107" s="10">
        <f ca="1">NPV(B6107,Project_FCF!C18:J18)+Project_FCF!B18</f>
        <v>961.85146719806471</v>
      </c>
      <c r="D6107" s="4"/>
      <c r="E6107" s="4"/>
    </row>
    <row r="6108" spans="1:5" x14ac:dyDescent="0.3">
      <c r="A6108" s="9">
        <v>6100</v>
      </c>
      <c r="B6108" s="10">
        <f t="shared" ca="1" si="95"/>
        <v>9.9558425561321634E-2</v>
      </c>
      <c r="C6108" s="10">
        <f ca="1">NPV(B6108,Project_FCF!C18:J18)+Project_FCF!B18</f>
        <v>785.81668206884933</v>
      </c>
      <c r="D6108" s="4"/>
      <c r="E6108" s="4"/>
    </row>
    <row r="6109" spans="1:5" x14ac:dyDescent="0.3">
      <c r="A6109" s="9">
        <v>6101</v>
      </c>
      <c r="B6109" s="10">
        <f t="shared" ca="1" si="95"/>
        <v>7.939375313364222E-2</v>
      </c>
      <c r="C6109" s="10">
        <f ca="1">NPV(B6109,Project_FCF!C18:J18)+Project_FCF!B18</f>
        <v>943.46000204370125</v>
      </c>
      <c r="D6109" s="4"/>
      <c r="E6109" s="4"/>
    </row>
    <row r="6110" spans="1:5" x14ac:dyDescent="0.3">
      <c r="A6110" s="9">
        <v>6102</v>
      </c>
      <c r="B6110" s="10">
        <f t="shared" ca="1" si="95"/>
        <v>7.7953399333787116E-2</v>
      </c>
      <c r="C6110" s="10">
        <f ca="1">NPV(B6110,Project_FCF!C18:J18)+Project_FCF!B18</f>
        <v>955.70997005799177</v>
      </c>
      <c r="D6110" s="4"/>
      <c r="E6110" s="4"/>
    </row>
    <row r="6111" spans="1:5" x14ac:dyDescent="0.3">
      <c r="A6111" s="9">
        <v>6103</v>
      </c>
      <c r="B6111" s="10">
        <f t="shared" ca="1" si="95"/>
        <v>7.1993983165182254E-2</v>
      </c>
      <c r="C6111" s="10">
        <f ca="1">NPV(B6111,Project_FCF!C18:J18)+Project_FCF!B18</f>
        <v>1007.9158440755718</v>
      </c>
      <c r="D6111" s="4"/>
      <c r="E6111" s="4"/>
    </row>
    <row r="6112" spans="1:5" x14ac:dyDescent="0.3">
      <c r="A6112" s="9">
        <v>6104</v>
      </c>
      <c r="B6112" s="10">
        <f t="shared" ca="1" si="95"/>
        <v>9.7332661219412711E-2</v>
      </c>
      <c r="C6112" s="10">
        <f ca="1">NPV(B6112,Project_FCF!C18:J18)+Project_FCF!B18</f>
        <v>802.01909465118979</v>
      </c>
      <c r="D6112" s="4"/>
      <c r="E6112" s="4"/>
    </row>
    <row r="6113" spans="1:5" x14ac:dyDescent="0.3">
      <c r="A6113" s="9">
        <v>6105</v>
      </c>
      <c r="B6113" s="10">
        <f t="shared" ca="1" si="95"/>
        <v>9.2125837254421222E-2</v>
      </c>
      <c r="C6113" s="10">
        <f ca="1">NPV(B6113,Project_FCF!C18:J18)+Project_FCF!B18</f>
        <v>841.0394427059091</v>
      </c>
      <c r="D6113" s="4"/>
      <c r="E6113" s="4"/>
    </row>
    <row r="6114" spans="1:5" x14ac:dyDescent="0.3">
      <c r="A6114" s="9">
        <v>6106</v>
      </c>
      <c r="B6114" s="10">
        <f t="shared" ca="1" si="95"/>
        <v>9.1172387405471636E-2</v>
      </c>
      <c r="C6114" s="10">
        <f ca="1">NPV(B6114,Project_FCF!C18:J18)+Project_FCF!B18</f>
        <v>848.35851856851968</v>
      </c>
      <c r="D6114" s="4"/>
      <c r="E6114" s="4"/>
    </row>
    <row r="6115" spans="1:5" x14ac:dyDescent="0.3">
      <c r="A6115" s="9">
        <v>6107</v>
      </c>
      <c r="B6115" s="10">
        <f t="shared" ca="1" si="95"/>
        <v>9.3365597377314161E-2</v>
      </c>
      <c r="C6115" s="10">
        <f ca="1">NPV(B6115,Project_FCF!C18:J18)+Project_FCF!B18</f>
        <v>831.60395936469445</v>
      </c>
      <c r="D6115" s="4"/>
      <c r="E6115" s="4"/>
    </row>
    <row r="6116" spans="1:5" x14ac:dyDescent="0.3">
      <c r="A6116" s="9">
        <v>6108</v>
      </c>
      <c r="B6116" s="10">
        <f t="shared" ca="1" si="95"/>
        <v>9.303167339489915E-2</v>
      </c>
      <c r="C6116" s="10">
        <f ca="1">NPV(B6116,Project_FCF!C18:J18)+Project_FCF!B18</f>
        <v>834.13635711859615</v>
      </c>
      <c r="D6116" s="4"/>
      <c r="E6116" s="4"/>
    </row>
    <row r="6117" spans="1:5" x14ac:dyDescent="0.3">
      <c r="A6117" s="9">
        <v>6109</v>
      </c>
      <c r="B6117" s="10">
        <f t="shared" ca="1" si="95"/>
        <v>7.674424880629914E-2</v>
      </c>
      <c r="C6117" s="10">
        <f ca="1">NPV(B6117,Project_FCF!C18:J18)+Project_FCF!B18</f>
        <v>966.10258028329508</v>
      </c>
      <c r="D6117" s="4"/>
      <c r="E6117" s="4"/>
    </row>
    <row r="6118" spans="1:5" x14ac:dyDescent="0.3">
      <c r="A6118" s="9">
        <v>6110</v>
      </c>
      <c r="B6118" s="10">
        <f t="shared" ca="1" si="95"/>
        <v>6.7342207733705875E-2</v>
      </c>
      <c r="C6118" s="10">
        <f ca="1">NPV(B6118,Project_FCF!C18:J18)+Project_FCF!B18</f>
        <v>1050.4336236884426</v>
      </c>
      <c r="D6118" s="4"/>
      <c r="E6118" s="4"/>
    </row>
    <row r="6119" spans="1:5" x14ac:dyDescent="0.3">
      <c r="A6119" s="9">
        <v>6111</v>
      </c>
      <c r="B6119" s="10">
        <f t="shared" ca="1" si="95"/>
        <v>7.3117399556346455E-2</v>
      </c>
      <c r="C6119" s="10">
        <f ca="1">NPV(B6119,Project_FCF!C18:J18)+Project_FCF!B18</f>
        <v>997.88335720376654</v>
      </c>
      <c r="D6119" s="4"/>
      <c r="E6119" s="4"/>
    </row>
    <row r="6120" spans="1:5" x14ac:dyDescent="0.3">
      <c r="A6120" s="9">
        <v>6112</v>
      </c>
      <c r="B6120" s="10">
        <f t="shared" ca="1" si="95"/>
        <v>7.1495781309743781E-2</v>
      </c>
      <c r="C6120" s="10">
        <f ca="1">NPV(B6120,Project_FCF!C18:J18)+Project_FCF!B18</f>
        <v>1012.3939312715033</v>
      </c>
      <c r="D6120" s="4"/>
      <c r="E6120" s="4"/>
    </row>
    <row r="6121" spans="1:5" x14ac:dyDescent="0.3">
      <c r="A6121" s="9">
        <v>6113</v>
      </c>
      <c r="B6121" s="10">
        <f t="shared" ca="1" si="95"/>
        <v>9.9014288362580638E-2</v>
      </c>
      <c r="C6121" s="10">
        <f ca="1">NPV(B6121,Project_FCF!C18:J18)+Project_FCF!B18</f>
        <v>789.75183547469601</v>
      </c>
      <c r="D6121" s="4"/>
      <c r="E6121" s="4"/>
    </row>
    <row r="6122" spans="1:5" x14ac:dyDescent="0.3">
      <c r="A6122" s="9">
        <v>6114</v>
      </c>
      <c r="B6122" s="10">
        <f t="shared" ca="1" si="95"/>
        <v>6.5147425211820986E-2</v>
      </c>
      <c r="C6122" s="10">
        <f ca="1">NPV(B6122,Project_FCF!C18:J18)+Project_FCF!B18</f>
        <v>1071.0534439220307</v>
      </c>
      <c r="D6122" s="4"/>
      <c r="E6122" s="4"/>
    </row>
    <row r="6123" spans="1:5" x14ac:dyDescent="0.3">
      <c r="A6123" s="9">
        <v>6115</v>
      </c>
      <c r="B6123" s="10">
        <f t="shared" ca="1" si="95"/>
        <v>8.6070574496136365E-2</v>
      </c>
      <c r="C6123" s="10">
        <f ca="1">NPV(B6123,Project_FCF!C18:J18)+Project_FCF!B18</f>
        <v>888.46768740327684</v>
      </c>
      <c r="D6123" s="4"/>
      <c r="E6123" s="4"/>
    </row>
    <row r="6124" spans="1:5" x14ac:dyDescent="0.3">
      <c r="A6124" s="9">
        <v>6116</v>
      </c>
      <c r="B6124" s="10">
        <f t="shared" ca="1" si="95"/>
        <v>8.59079013707017E-2</v>
      </c>
      <c r="C6124" s="10">
        <f ca="1">NPV(B6124,Project_FCF!C18:J18)+Project_FCF!B18</f>
        <v>889.77328474572414</v>
      </c>
      <c r="D6124" s="4"/>
      <c r="E6124" s="4"/>
    </row>
    <row r="6125" spans="1:5" x14ac:dyDescent="0.3">
      <c r="A6125" s="9">
        <v>6117</v>
      </c>
      <c r="B6125" s="10">
        <f t="shared" ca="1" si="95"/>
        <v>7.5364245946963851E-2</v>
      </c>
      <c r="C6125" s="10">
        <f ca="1">NPV(B6125,Project_FCF!C18:J18)+Project_FCF!B18</f>
        <v>978.08670193062335</v>
      </c>
      <c r="D6125" s="4"/>
      <c r="E6125" s="4"/>
    </row>
    <row r="6126" spans="1:5" x14ac:dyDescent="0.3">
      <c r="A6126" s="9">
        <v>6118</v>
      </c>
      <c r="B6126" s="10">
        <f t="shared" ca="1" si="95"/>
        <v>6.4715735275603287E-2</v>
      </c>
      <c r="C6126" s="10">
        <f ca="1">NPV(B6126,Project_FCF!C18:J18)+Project_FCF!B18</f>
        <v>1075.1522801626261</v>
      </c>
      <c r="D6126" s="4"/>
      <c r="E6126" s="4"/>
    </row>
    <row r="6127" spans="1:5" x14ac:dyDescent="0.3">
      <c r="A6127" s="9">
        <v>6119</v>
      </c>
      <c r="B6127" s="10">
        <f t="shared" ca="1" si="95"/>
        <v>8.639281971119897E-2</v>
      </c>
      <c r="C6127" s="10">
        <f ca="1">NPV(B6127,Project_FCF!C18:J18)+Project_FCF!B18</f>
        <v>885.88632334633371</v>
      </c>
      <c r="D6127" s="4"/>
      <c r="E6127" s="4"/>
    </row>
    <row r="6128" spans="1:5" x14ac:dyDescent="0.3">
      <c r="A6128" s="9">
        <v>6120</v>
      </c>
      <c r="B6128" s="10">
        <f t="shared" ca="1" si="95"/>
        <v>9.8958465420501934E-2</v>
      </c>
      <c r="C6128" s="10">
        <f ca="1">NPV(B6128,Project_FCF!C18:J18)+Project_FCF!B18</f>
        <v>790.15648502374279</v>
      </c>
      <c r="D6128" s="4"/>
      <c r="E6128" s="4"/>
    </row>
    <row r="6129" spans="1:5" x14ac:dyDescent="0.3">
      <c r="A6129" s="9">
        <v>6121</v>
      </c>
      <c r="B6129" s="10">
        <f t="shared" ca="1" si="95"/>
        <v>0.10353615528647137</v>
      </c>
      <c r="C6129" s="10">
        <f ca="1">NPV(B6129,Project_FCF!C18:J18)+Project_FCF!B18</f>
        <v>757.54966354129533</v>
      </c>
      <c r="D6129" s="4"/>
      <c r="E6129" s="4"/>
    </row>
    <row r="6130" spans="1:5" x14ac:dyDescent="0.3">
      <c r="A6130" s="9">
        <v>6122</v>
      </c>
      <c r="B6130" s="10">
        <f t="shared" ca="1" si="95"/>
        <v>0.1034275840342829</v>
      </c>
      <c r="C6130" s="10">
        <f ca="1">NPV(B6130,Project_FCF!C18:J18)+Project_FCF!B18</f>
        <v>758.3096887166696</v>
      </c>
      <c r="D6130" s="4"/>
      <c r="E6130" s="4"/>
    </row>
    <row r="6131" spans="1:5" x14ac:dyDescent="0.3">
      <c r="A6131" s="9">
        <v>6123</v>
      </c>
      <c r="B6131" s="10">
        <f t="shared" ca="1" si="95"/>
        <v>7.344809357680554E-2</v>
      </c>
      <c r="C6131" s="10">
        <f ca="1">NPV(B6131,Project_FCF!C18:J18)+Project_FCF!B18</f>
        <v>994.94729360209885</v>
      </c>
      <c r="D6131" s="4"/>
      <c r="E6131" s="4"/>
    </row>
    <row r="6132" spans="1:5" x14ac:dyDescent="0.3">
      <c r="A6132" s="9">
        <v>6124</v>
      </c>
      <c r="B6132" s="10">
        <f t="shared" ca="1" si="95"/>
        <v>0.10302502469094915</v>
      </c>
      <c r="C6132" s="10">
        <f ca="1">NPV(B6132,Project_FCF!C18:J18)+Project_FCF!B18</f>
        <v>761.13328568129623</v>
      </c>
      <c r="D6132" s="4"/>
      <c r="E6132" s="4"/>
    </row>
    <row r="6133" spans="1:5" x14ac:dyDescent="0.3">
      <c r="A6133" s="9">
        <v>6125</v>
      </c>
      <c r="B6133" s="10">
        <f t="shared" ca="1" si="95"/>
        <v>9.1404336680990447E-2</v>
      </c>
      <c r="C6133" s="10">
        <f ca="1">NPV(B6133,Project_FCF!C18:J18)+Project_FCF!B18</f>
        <v>846.57293883998909</v>
      </c>
      <c r="D6133" s="4"/>
      <c r="E6133" s="4"/>
    </row>
    <row r="6134" spans="1:5" x14ac:dyDescent="0.3">
      <c r="A6134" s="9">
        <v>6126</v>
      </c>
      <c r="B6134" s="10">
        <f t="shared" ca="1" si="95"/>
        <v>7.9196954089152713E-2</v>
      </c>
      <c r="C6134" s="10">
        <f ca="1">NPV(B6134,Project_FCF!C18:J18)+Project_FCF!B18</f>
        <v>945.12548072297568</v>
      </c>
      <c r="D6134" s="4"/>
      <c r="E6134" s="4"/>
    </row>
    <row r="6135" spans="1:5" x14ac:dyDescent="0.3">
      <c r="A6135" s="9">
        <v>6127</v>
      </c>
      <c r="B6135" s="10">
        <f t="shared" ca="1" si="95"/>
        <v>7.3229817243710527E-2</v>
      </c>
      <c r="C6135" s="10">
        <f ca="1">NPV(B6135,Project_FCF!C18:J18)+Project_FCF!B18</f>
        <v>996.8843862347444</v>
      </c>
      <c r="D6135" s="4"/>
      <c r="E6135" s="4"/>
    </row>
    <row r="6136" spans="1:5" x14ac:dyDescent="0.3">
      <c r="A6136" s="9">
        <v>6128</v>
      </c>
      <c r="B6136" s="10">
        <f t="shared" ca="1" si="95"/>
        <v>7.779760118033982E-2</v>
      </c>
      <c r="C6136" s="10">
        <f ca="1">NPV(B6136,Project_FCF!C18:J18)+Project_FCF!B18</f>
        <v>957.04344033370762</v>
      </c>
      <c r="D6136" s="4"/>
      <c r="E6136" s="4"/>
    </row>
    <row r="6137" spans="1:5" x14ac:dyDescent="0.3">
      <c r="A6137" s="9">
        <v>6129</v>
      </c>
      <c r="B6137" s="10">
        <f t="shared" ca="1" si="95"/>
        <v>0.10266467672032781</v>
      </c>
      <c r="C6137" s="10">
        <f ca="1">NPV(B6137,Project_FCF!C18:J18)+Project_FCF!B18</f>
        <v>763.66828661587965</v>
      </c>
      <c r="D6137" s="4"/>
      <c r="E6137" s="4"/>
    </row>
    <row r="6138" spans="1:5" x14ac:dyDescent="0.3">
      <c r="A6138" s="9">
        <v>6130</v>
      </c>
      <c r="B6138" s="10">
        <f t="shared" ca="1" si="95"/>
        <v>8.1597358482571242E-2</v>
      </c>
      <c r="C6138" s="10">
        <f ca="1">NPV(B6138,Project_FCF!C18:J18)+Project_FCF!B18</f>
        <v>924.98791787644723</v>
      </c>
      <c r="D6138" s="4"/>
      <c r="E6138" s="4"/>
    </row>
    <row r="6139" spans="1:5" x14ac:dyDescent="0.3">
      <c r="A6139" s="9">
        <v>6131</v>
      </c>
      <c r="B6139" s="10">
        <f t="shared" ca="1" si="95"/>
        <v>6.7507853451458988E-2</v>
      </c>
      <c r="C6139" s="10">
        <f ca="1">NPV(B6139,Project_FCF!C18:J18)+Project_FCF!B18</f>
        <v>1048.8921451541771</v>
      </c>
      <c r="D6139" s="4"/>
      <c r="E6139" s="4"/>
    </row>
    <row r="6140" spans="1:5" x14ac:dyDescent="0.3">
      <c r="A6140" s="9">
        <v>6132</v>
      </c>
      <c r="B6140" s="10">
        <f t="shared" ca="1" si="95"/>
        <v>7.5735622499481167E-2</v>
      </c>
      <c r="C6140" s="10">
        <f ca="1">NPV(B6140,Project_FCF!C18:J18)+Project_FCF!B18</f>
        <v>974.84863473010182</v>
      </c>
      <c r="D6140" s="4"/>
      <c r="E6140" s="4"/>
    </row>
    <row r="6141" spans="1:5" x14ac:dyDescent="0.3">
      <c r="A6141" s="9">
        <v>6133</v>
      </c>
      <c r="B6141" s="10">
        <f t="shared" ca="1" si="95"/>
        <v>9.4577679070627502E-2</v>
      </c>
      <c r="C6141" s="10">
        <f ca="1">NPV(B6141,Project_FCF!C18:J18)+Project_FCF!B18</f>
        <v>822.46723200852489</v>
      </c>
      <c r="D6141" s="4"/>
      <c r="E6141" s="4"/>
    </row>
    <row r="6142" spans="1:5" x14ac:dyDescent="0.3">
      <c r="A6142" s="9">
        <v>6134</v>
      </c>
      <c r="B6142" s="10">
        <f t="shared" ca="1" si="95"/>
        <v>9.8974976346086652E-2</v>
      </c>
      <c r="C6142" s="10">
        <f ca="1">NPV(B6142,Project_FCF!C18:J18)+Project_FCF!B18</f>
        <v>790.03678226131797</v>
      </c>
      <c r="D6142" s="4"/>
      <c r="E6142" s="4"/>
    </row>
    <row r="6143" spans="1:5" x14ac:dyDescent="0.3">
      <c r="A6143" s="9">
        <v>6135</v>
      </c>
      <c r="B6143" s="10">
        <f t="shared" ca="1" si="95"/>
        <v>8.9872559440116032E-2</v>
      </c>
      <c r="C6143" s="10">
        <f ca="1">NPV(B6143,Project_FCF!C18:J18)+Project_FCF!B18</f>
        <v>858.42516497442989</v>
      </c>
      <c r="D6143" s="4"/>
      <c r="E6143" s="4"/>
    </row>
    <row r="6144" spans="1:5" x14ac:dyDescent="0.3">
      <c r="A6144" s="9">
        <v>6136</v>
      </c>
      <c r="B6144" s="10">
        <f t="shared" ca="1" si="95"/>
        <v>7.7180956777693974E-2</v>
      </c>
      <c r="C6144" s="10">
        <f ca="1">NPV(B6144,Project_FCF!C18:J18)+Project_FCF!B18</f>
        <v>962.33753650039307</v>
      </c>
      <c r="D6144" s="4"/>
      <c r="E6144" s="4"/>
    </row>
    <row r="6145" spans="1:5" x14ac:dyDescent="0.3">
      <c r="A6145" s="9">
        <v>6137</v>
      </c>
      <c r="B6145" s="10">
        <f t="shared" ca="1" si="95"/>
        <v>8.3309064728342958E-2</v>
      </c>
      <c r="C6145" s="10">
        <f ca="1">NPV(B6145,Project_FCF!C18:J18)+Project_FCF!B18</f>
        <v>910.86035663675239</v>
      </c>
      <c r="D6145" s="4"/>
      <c r="E6145" s="4"/>
    </row>
    <row r="6146" spans="1:5" x14ac:dyDescent="0.3">
      <c r="A6146" s="9">
        <v>6138</v>
      </c>
      <c r="B6146" s="10">
        <f t="shared" ca="1" si="95"/>
        <v>6.6083535396656984E-2</v>
      </c>
      <c r="C6146" s="10">
        <f ca="1">NPV(B6146,Project_FCF!C18:J18)+Project_FCF!B18</f>
        <v>1062.2141129650838</v>
      </c>
      <c r="D6146" s="4"/>
      <c r="E6146" s="4"/>
    </row>
    <row r="6147" spans="1:5" x14ac:dyDescent="0.3">
      <c r="A6147" s="9">
        <v>6139</v>
      </c>
      <c r="B6147" s="10">
        <f t="shared" ca="1" si="95"/>
        <v>6.4815132142742204E-2</v>
      </c>
      <c r="C6147" s="10">
        <f ca="1">NPV(B6147,Project_FCF!C18:J18)+Project_FCF!B18</f>
        <v>1074.2072542112317</v>
      </c>
      <c r="D6147" s="4"/>
      <c r="E6147" s="4"/>
    </row>
    <row r="6148" spans="1:5" x14ac:dyDescent="0.3">
      <c r="A6148" s="9">
        <v>6140</v>
      </c>
      <c r="B6148" s="10">
        <f t="shared" ca="1" si="95"/>
        <v>7.9064150681496956E-2</v>
      </c>
      <c r="C6148" s="10">
        <f ca="1">NPV(B6148,Project_FCF!C18:J18)+Project_FCF!B18</f>
        <v>946.25084780981956</v>
      </c>
      <c r="D6148" s="4"/>
      <c r="E6148" s="4"/>
    </row>
    <row r="6149" spans="1:5" x14ac:dyDescent="0.3">
      <c r="A6149" s="9">
        <v>6141</v>
      </c>
      <c r="B6149" s="10">
        <f t="shared" ca="1" si="95"/>
        <v>9.2321426102392967E-2</v>
      </c>
      <c r="C6149" s="10">
        <f ca="1">NPV(B6149,Project_FCF!C18:J18)+Project_FCF!B18</f>
        <v>839.54477297299104</v>
      </c>
      <c r="D6149" s="4"/>
      <c r="E6149" s="4"/>
    </row>
    <row r="6150" spans="1:5" x14ac:dyDescent="0.3">
      <c r="A6150" s="9">
        <v>6142</v>
      </c>
      <c r="B6150" s="10">
        <f t="shared" ca="1" si="95"/>
        <v>7.6035426415110172E-2</v>
      </c>
      <c r="C6150" s="10">
        <f ca="1">NPV(B6150,Project_FCF!C18:J18)+Project_FCF!B18</f>
        <v>972.24160686034156</v>
      </c>
      <c r="D6150" s="4"/>
      <c r="E6150" s="4"/>
    </row>
    <row r="6151" spans="1:5" x14ac:dyDescent="0.3">
      <c r="A6151" s="9">
        <v>6143</v>
      </c>
      <c r="B6151" s="10">
        <f t="shared" ca="1" si="95"/>
        <v>9.8311735621689184E-2</v>
      </c>
      <c r="C6151" s="10">
        <f ca="1">NPV(B6151,Project_FCF!C18:J18)+Project_FCF!B18</f>
        <v>794.85734050879296</v>
      </c>
      <c r="D6151" s="4"/>
      <c r="E6151" s="4"/>
    </row>
    <row r="6152" spans="1:5" x14ac:dyDescent="0.3">
      <c r="A6152" s="9">
        <v>6144</v>
      </c>
      <c r="B6152" s="10">
        <f t="shared" ca="1" si="95"/>
        <v>8.0077143650967242E-2</v>
      </c>
      <c r="C6152" s="10">
        <f ca="1">NPV(B6152,Project_FCF!C18:J18)+Project_FCF!B18</f>
        <v>937.69676074391487</v>
      </c>
      <c r="D6152" s="4"/>
      <c r="E6152" s="4"/>
    </row>
    <row r="6153" spans="1:5" x14ac:dyDescent="0.3">
      <c r="A6153" s="9">
        <v>6145</v>
      </c>
      <c r="B6153" s="10">
        <f t="shared" ref="B6153:B6216" ca="1" si="96">$B$4+RAND()*($B$5-$B$4)</f>
        <v>0.10215546701867477</v>
      </c>
      <c r="C6153" s="10">
        <f ca="1">NPV(B6153,Project_FCF!C18:J18)+Project_FCF!B18</f>
        <v>767.26260216766286</v>
      </c>
      <c r="D6153" s="4"/>
      <c r="E6153" s="4"/>
    </row>
    <row r="6154" spans="1:5" x14ac:dyDescent="0.3">
      <c r="A6154" s="9">
        <v>6146</v>
      </c>
      <c r="B6154" s="10">
        <f t="shared" ca="1" si="96"/>
        <v>7.1537915876740354E-2</v>
      </c>
      <c r="C6154" s="10">
        <f ca="1">NPV(B6154,Project_FCF!C18:J18)+Project_FCF!B18</f>
        <v>1012.0145121943356</v>
      </c>
      <c r="D6154" s="4"/>
      <c r="E6154" s="4"/>
    </row>
    <row r="6155" spans="1:5" x14ac:dyDescent="0.3">
      <c r="A6155" s="9">
        <v>6147</v>
      </c>
      <c r="B6155" s="10">
        <f t="shared" ca="1" si="96"/>
        <v>7.9068224201006843E-2</v>
      </c>
      <c r="C6155" s="10">
        <f ca="1">NPV(B6155,Project_FCF!C18:J18)+Project_FCF!B18</f>
        <v>946.2163114153384</v>
      </c>
      <c r="D6155" s="4"/>
      <c r="E6155" s="4"/>
    </row>
    <row r="6156" spans="1:5" x14ac:dyDescent="0.3">
      <c r="A6156" s="9">
        <v>6148</v>
      </c>
      <c r="B6156" s="10">
        <f t="shared" ca="1" si="96"/>
        <v>6.6950070360605282E-2</v>
      </c>
      <c r="C6156" s="10">
        <f ca="1">NPV(B6156,Project_FCF!C18:J18)+Project_FCF!B18</f>
        <v>1054.091011954843</v>
      </c>
      <c r="D6156" s="4"/>
      <c r="E6156" s="4"/>
    </row>
    <row r="6157" spans="1:5" x14ac:dyDescent="0.3">
      <c r="A6157" s="9">
        <v>6149</v>
      </c>
      <c r="B6157" s="10">
        <f t="shared" ca="1" si="96"/>
        <v>8.9079924411081327E-2</v>
      </c>
      <c r="C6157" s="10">
        <f ca="1">NPV(B6157,Project_FCF!C18:J18)+Project_FCF!B18</f>
        <v>864.61445135929443</v>
      </c>
      <c r="D6157" s="4"/>
      <c r="E6157" s="4"/>
    </row>
    <row r="6158" spans="1:5" x14ac:dyDescent="0.3">
      <c r="A6158" s="9">
        <v>6150</v>
      </c>
      <c r="B6158" s="10">
        <f t="shared" ca="1" si="96"/>
        <v>8.9055816606460517E-2</v>
      </c>
      <c r="C6158" s="10">
        <f ca="1">NPV(B6158,Project_FCF!C18:J18)+Project_FCF!B18</f>
        <v>864.80330207607267</v>
      </c>
      <c r="D6158" s="4"/>
      <c r="E6158" s="4"/>
    </row>
    <row r="6159" spans="1:5" x14ac:dyDescent="0.3">
      <c r="A6159" s="9">
        <v>6151</v>
      </c>
      <c r="B6159" s="10">
        <f t="shared" ca="1" si="96"/>
        <v>6.720285542837233E-2</v>
      </c>
      <c r="C6159" s="10">
        <f ca="1">NPV(B6159,Project_FCF!C18:J18)+Project_FCF!B18</f>
        <v>1051.7320123927279</v>
      </c>
      <c r="D6159" s="4"/>
      <c r="E6159" s="4"/>
    </row>
    <row r="6160" spans="1:5" x14ac:dyDescent="0.3">
      <c r="A6160" s="9">
        <v>6152</v>
      </c>
      <c r="B6160" s="10">
        <f t="shared" ca="1" si="96"/>
        <v>9.0515345513592166E-2</v>
      </c>
      <c r="C6160" s="10">
        <f ca="1">NPV(B6160,Project_FCF!C18:J18)+Project_FCF!B18</f>
        <v>853.4342031440774</v>
      </c>
      <c r="D6160" s="4"/>
      <c r="E6160" s="4"/>
    </row>
    <row r="6161" spans="1:5" x14ac:dyDescent="0.3">
      <c r="A6161" s="9">
        <v>6153</v>
      </c>
      <c r="B6161" s="10">
        <f t="shared" ca="1" si="96"/>
        <v>0.10037521217328209</v>
      </c>
      <c r="C6161" s="10">
        <f ca="1">NPV(B6161,Project_FCF!C18:J18)+Project_FCF!B18</f>
        <v>779.94091371127934</v>
      </c>
      <c r="D6161" s="4"/>
      <c r="E6161" s="4"/>
    </row>
    <row r="6162" spans="1:5" x14ac:dyDescent="0.3">
      <c r="A6162" s="9">
        <v>6154</v>
      </c>
      <c r="B6162" s="10">
        <f t="shared" ca="1" si="96"/>
        <v>8.7027293137039718E-2</v>
      </c>
      <c r="C6162" s="10">
        <f ca="1">NPV(B6162,Project_FCF!C18:J18)+Project_FCF!B18</f>
        <v>880.82297057298001</v>
      </c>
      <c r="D6162" s="4"/>
      <c r="E6162" s="4"/>
    </row>
    <row r="6163" spans="1:5" x14ac:dyDescent="0.3">
      <c r="A6163" s="9">
        <v>6155</v>
      </c>
      <c r="B6163" s="10">
        <f t="shared" ca="1" si="96"/>
        <v>8.2254463283483181E-2</v>
      </c>
      <c r="C6163" s="10">
        <f ca="1">NPV(B6163,Project_FCF!C18:J18)+Project_FCF!B18</f>
        <v>919.54184010220047</v>
      </c>
      <c r="D6163" s="4"/>
      <c r="E6163" s="4"/>
    </row>
    <row r="6164" spans="1:5" x14ac:dyDescent="0.3">
      <c r="A6164" s="9">
        <v>6156</v>
      </c>
      <c r="B6164" s="10">
        <f t="shared" ca="1" si="96"/>
        <v>6.4806151346442173E-2</v>
      </c>
      <c r="C6164" s="10">
        <f ca="1">NPV(B6164,Project_FCF!C18:J18)+Project_FCF!B18</f>
        <v>1074.2926088892445</v>
      </c>
      <c r="D6164" s="4"/>
      <c r="E6164" s="4"/>
    </row>
    <row r="6165" spans="1:5" x14ac:dyDescent="0.3">
      <c r="A6165" s="9">
        <v>6157</v>
      </c>
      <c r="B6165" s="10">
        <f t="shared" ca="1" si="96"/>
        <v>8.9343196442379286E-2</v>
      </c>
      <c r="C6165" s="10">
        <f ca="1">NPV(B6165,Project_FCF!C18:J18)+Project_FCF!B18</f>
        <v>862.55441416680878</v>
      </c>
      <c r="D6165" s="4"/>
      <c r="E6165" s="4"/>
    </row>
    <row r="6166" spans="1:5" x14ac:dyDescent="0.3">
      <c r="A6166" s="9">
        <v>6158</v>
      </c>
      <c r="B6166" s="10">
        <f t="shared" ca="1" si="96"/>
        <v>7.490083585207892E-2</v>
      </c>
      <c r="C6166" s="10">
        <f ca="1">NPV(B6166,Project_FCF!C18:J18)+Project_FCF!B18</f>
        <v>982.14070413021545</v>
      </c>
      <c r="D6166" s="4"/>
      <c r="E6166" s="4"/>
    </row>
    <row r="6167" spans="1:5" x14ac:dyDescent="0.3">
      <c r="A6167" s="9">
        <v>6159</v>
      </c>
      <c r="B6167" s="10">
        <f t="shared" ca="1" si="96"/>
        <v>9.9767281733089852E-2</v>
      </c>
      <c r="C6167" s="10">
        <f ca="1">NPV(B6167,Project_FCF!C18:J18)+Project_FCF!B18</f>
        <v>784.31066894375408</v>
      </c>
      <c r="D6167" s="4"/>
      <c r="E6167" s="4"/>
    </row>
    <row r="6168" spans="1:5" x14ac:dyDescent="0.3">
      <c r="A6168" s="9">
        <v>6160</v>
      </c>
      <c r="B6168" s="10">
        <f t="shared" ca="1" si="96"/>
        <v>6.5678742639065493E-2</v>
      </c>
      <c r="C6168" s="10">
        <f ca="1">NPV(B6168,Project_FCF!C18:J18)+Project_FCF!B18</f>
        <v>1066.0282257135973</v>
      </c>
      <c r="D6168" s="4"/>
      <c r="E6168" s="4"/>
    </row>
    <row r="6169" spans="1:5" x14ac:dyDescent="0.3">
      <c r="A6169" s="9">
        <v>6161</v>
      </c>
      <c r="B6169" s="10">
        <f t="shared" ca="1" si="96"/>
        <v>6.8076756075650155E-2</v>
      </c>
      <c r="C6169" s="10">
        <f ca="1">NPV(B6169,Project_FCF!C18:J18)+Project_FCF!B18</f>
        <v>1043.6136327235236</v>
      </c>
      <c r="D6169" s="4"/>
      <c r="E6169" s="4"/>
    </row>
    <row r="6170" spans="1:5" x14ac:dyDescent="0.3">
      <c r="A6170" s="9">
        <v>6162</v>
      </c>
      <c r="B6170" s="10">
        <f t="shared" ca="1" si="96"/>
        <v>6.4045848118852888E-2</v>
      </c>
      <c r="C6170" s="10">
        <f ca="1">NPV(B6170,Project_FCF!C18:J18)+Project_FCF!B18</f>
        <v>1081.5411276775412</v>
      </c>
      <c r="D6170" s="4"/>
      <c r="E6170" s="4"/>
    </row>
    <row r="6171" spans="1:5" x14ac:dyDescent="0.3">
      <c r="A6171" s="9">
        <v>6163</v>
      </c>
      <c r="B6171" s="10">
        <f t="shared" ca="1" si="96"/>
        <v>9.840010457922406E-2</v>
      </c>
      <c r="C6171" s="10">
        <f ca="1">NPV(B6171,Project_FCF!C18:J18)+Project_FCF!B18</f>
        <v>794.21362038663074</v>
      </c>
      <c r="D6171" s="4"/>
      <c r="E6171" s="4"/>
    </row>
    <row r="6172" spans="1:5" x14ac:dyDescent="0.3">
      <c r="A6172" s="9">
        <v>6164</v>
      </c>
      <c r="B6172" s="10">
        <f t="shared" ca="1" si="96"/>
        <v>9.0398965374773044E-2</v>
      </c>
      <c r="C6172" s="10">
        <f ca="1">NPV(B6172,Project_FCF!C18:J18)+Project_FCF!B18</f>
        <v>854.33597863187583</v>
      </c>
      <c r="D6172" s="4"/>
      <c r="E6172" s="4"/>
    </row>
    <row r="6173" spans="1:5" x14ac:dyDescent="0.3">
      <c r="A6173" s="9">
        <v>6165</v>
      </c>
      <c r="B6173" s="10">
        <f t="shared" ca="1" si="96"/>
        <v>7.8792663758653417E-2</v>
      </c>
      <c r="C6173" s="10">
        <f ca="1">NPV(B6173,Project_FCF!C18:J18)+Project_FCF!B18</f>
        <v>948.55511036395092</v>
      </c>
      <c r="D6173" s="4"/>
      <c r="E6173" s="4"/>
    </row>
    <row r="6174" spans="1:5" x14ac:dyDescent="0.3">
      <c r="A6174" s="9">
        <v>6166</v>
      </c>
      <c r="B6174" s="10">
        <f t="shared" ca="1" si="96"/>
        <v>8.9403158682009418E-2</v>
      </c>
      <c r="C6174" s="10">
        <f ca="1">NPV(B6174,Project_FCF!C18:J18)+Project_FCF!B18</f>
        <v>862.08582068728265</v>
      </c>
      <c r="D6174" s="4"/>
      <c r="E6174" s="4"/>
    </row>
    <row r="6175" spans="1:5" x14ac:dyDescent="0.3">
      <c r="A6175" s="9">
        <v>6167</v>
      </c>
      <c r="B6175" s="10">
        <f t="shared" ca="1" si="96"/>
        <v>7.0976706413282672E-2</v>
      </c>
      <c r="C6175" s="10">
        <f ca="1">NPV(B6175,Project_FCF!C18:J18)+Project_FCF!B18</f>
        <v>1017.0786985233251</v>
      </c>
      <c r="D6175" s="4"/>
      <c r="E6175" s="4"/>
    </row>
    <row r="6176" spans="1:5" x14ac:dyDescent="0.3">
      <c r="A6176" s="9">
        <v>6168</v>
      </c>
      <c r="B6176" s="10">
        <f t="shared" ca="1" si="96"/>
        <v>7.3488884800412657E-2</v>
      </c>
      <c r="C6176" s="10">
        <f ca="1">NPV(B6176,Project_FCF!C18:J18)+Project_FCF!B18</f>
        <v>994.58566697765013</v>
      </c>
      <c r="D6176" s="4"/>
      <c r="E6176" s="4"/>
    </row>
    <row r="6177" spans="1:5" x14ac:dyDescent="0.3">
      <c r="A6177" s="9">
        <v>6169</v>
      </c>
      <c r="B6177" s="10">
        <f t="shared" ca="1" si="96"/>
        <v>6.8165690926943481E-2</v>
      </c>
      <c r="C6177" s="10">
        <f ca="1">NPV(B6177,Project_FCF!C18:J18)+Project_FCF!B18</f>
        <v>1042.7906406400054</v>
      </c>
      <c r="D6177" s="4"/>
      <c r="E6177" s="4"/>
    </row>
    <row r="6178" spans="1:5" x14ac:dyDescent="0.3">
      <c r="A6178" s="9">
        <v>6170</v>
      </c>
      <c r="B6178" s="10">
        <f t="shared" ca="1" si="96"/>
        <v>6.9408108697498597E-2</v>
      </c>
      <c r="C6178" s="10">
        <f ca="1">NPV(B6178,Project_FCF!C18:J18)+Project_FCF!B18</f>
        <v>1031.3547971119269</v>
      </c>
      <c r="D6178" s="4"/>
      <c r="E6178" s="4"/>
    </row>
    <row r="6179" spans="1:5" x14ac:dyDescent="0.3">
      <c r="A6179" s="9">
        <v>6171</v>
      </c>
      <c r="B6179" s="10">
        <f t="shared" ca="1" si="96"/>
        <v>6.5961904878447816E-2</v>
      </c>
      <c r="C6179" s="10">
        <f ca="1">NPV(B6179,Project_FCF!C18:J18)+Project_FCF!B18</f>
        <v>1063.3588540307906</v>
      </c>
      <c r="D6179" s="4"/>
      <c r="E6179" s="4"/>
    </row>
    <row r="6180" spans="1:5" x14ac:dyDescent="0.3">
      <c r="A6180" s="9">
        <v>6172</v>
      </c>
      <c r="B6180" s="10">
        <f t="shared" ca="1" si="96"/>
        <v>7.4865437513604763E-2</v>
      </c>
      <c r="C6180" s="10">
        <f ca="1">NPV(B6180,Project_FCF!C18:J18)+Project_FCF!B18</f>
        <v>982.45099288163033</v>
      </c>
      <c r="D6180" s="4"/>
      <c r="E6180" s="4"/>
    </row>
    <row r="6181" spans="1:5" x14ac:dyDescent="0.3">
      <c r="A6181" s="9">
        <v>6173</v>
      </c>
      <c r="B6181" s="10">
        <f t="shared" ca="1" si="96"/>
        <v>7.46792109400638E-2</v>
      </c>
      <c r="C6181" s="10">
        <f ca="1">NPV(B6181,Project_FCF!C18:J18)+Project_FCF!B18</f>
        <v>984.08483176823029</v>
      </c>
      <c r="D6181" s="4"/>
      <c r="E6181" s="4"/>
    </row>
    <row r="6182" spans="1:5" x14ac:dyDescent="0.3">
      <c r="A6182" s="9">
        <v>6174</v>
      </c>
      <c r="B6182" s="10">
        <f t="shared" ca="1" si="96"/>
        <v>7.2493278658737309E-2</v>
      </c>
      <c r="C6182" s="10">
        <f ca="1">NPV(B6182,Project_FCF!C18:J18)+Project_FCF!B18</f>
        <v>1003.4458239666931</v>
      </c>
      <c r="D6182" s="4"/>
      <c r="E6182" s="4"/>
    </row>
    <row r="6183" spans="1:5" x14ac:dyDescent="0.3">
      <c r="A6183" s="9">
        <v>6175</v>
      </c>
      <c r="B6183" s="10">
        <f t="shared" ca="1" si="96"/>
        <v>6.4267996491800899E-2</v>
      </c>
      <c r="C6183" s="10">
        <f ca="1">NPV(B6183,Project_FCF!C18:J18)+Project_FCF!B18</f>
        <v>1079.4186212148804</v>
      </c>
      <c r="D6183" s="4"/>
      <c r="E6183" s="4"/>
    </row>
    <row r="6184" spans="1:5" x14ac:dyDescent="0.3">
      <c r="A6184" s="9">
        <v>6176</v>
      </c>
      <c r="B6184" s="10">
        <f t="shared" ca="1" si="96"/>
        <v>6.695311552956075E-2</v>
      </c>
      <c r="C6184" s="10">
        <f ca="1">NPV(B6184,Project_FCF!C18:J18)+Project_FCF!B18</f>
        <v>1054.0625657323631</v>
      </c>
      <c r="D6184" s="4"/>
      <c r="E6184" s="4"/>
    </row>
    <row r="6185" spans="1:5" x14ac:dyDescent="0.3">
      <c r="A6185" s="9">
        <v>6177</v>
      </c>
      <c r="B6185" s="10">
        <f t="shared" ca="1" si="96"/>
        <v>7.766782975092533E-2</v>
      </c>
      <c r="C6185" s="10">
        <f ca="1">NPV(B6185,Project_FCF!C18:J18)+Project_FCF!B18</f>
        <v>958.1554121744332</v>
      </c>
      <c r="D6185" s="4"/>
      <c r="E6185" s="4"/>
    </row>
    <row r="6186" spans="1:5" x14ac:dyDescent="0.3">
      <c r="A6186" s="9">
        <v>6178</v>
      </c>
      <c r="B6186" s="10">
        <f t="shared" ca="1" si="96"/>
        <v>8.2470830306870052E-2</v>
      </c>
      <c r="C6186" s="10">
        <f ca="1">NPV(B6186,Project_FCF!C18:J18)+Project_FCF!B18</f>
        <v>917.75478940282937</v>
      </c>
      <c r="D6186" s="4"/>
      <c r="E6186" s="4"/>
    </row>
    <row r="6187" spans="1:5" x14ac:dyDescent="0.3">
      <c r="A6187" s="9">
        <v>6179</v>
      </c>
      <c r="B6187" s="10">
        <f t="shared" ca="1" si="96"/>
        <v>0.1036701640015418</v>
      </c>
      <c r="C6187" s="10">
        <f ca="1">NPV(B6187,Project_FCF!C18:J18)+Project_FCF!B18</f>
        <v>756.61245041773236</v>
      </c>
      <c r="D6187" s="4"/>
      <c r="E6187" s="4"/>
    </row>
    <row r="6188" spans="1:5" x14ac:dyDescent="0.3">
      <c r="A6188" s="9">
        <v>6180</v>
      </c>
      <c r="B6188" s="10">
        <f t="shared" ca="1" si="96"/>
        <v>9.5535242424807904E-2</v>
      </c>
      <c r="C6188" s="10">
        <f ca="1">NPV(B6188,Project_FCF!C18:J18)+Project_FCF!B18</f>
        <v>815.31004682541152</v>
      </c>
      <c r="D6188" s="4"/>
      <c r="E6188" s="4"/>
    </row>
    <row r="6189" spans="1:5" x14ac:dyDescent="0.3">
      <c r="A6189" s="9">
        <v>6181</v>
      </c>
      <c r="B6189" s="10">
        <f t="shared" ca="1" si="96"/>
        <v>6.7302100129217363E-2</v>
      </c>
      <c r="C6189" s="10">
        <f ca="1">NPV(B6189,Project_FCF!C18:J18)+Project_FCF!B18</f>
        <v>1050.8071693731674</v>
      </c>
      <c r="D6189" s="4"/>
      <c r="E6189" s="4"/>
    </row>
    <row r="6190" spans="1:5" x14ac:dyDescent="0.3">
      <c r="A6190" s="9">
        <v>6182</v>
      </c>
      <c r="B6190" s="10">
        <f t="shared" ca="1" si="96"/>
        <v>6.5628664405525589E-2</v>
      </c>
      <c r="C6190" s="10">
        <f ca="1">NPV(B6190,Project_FCF!C18:J18)+Project_FCF!B18</f>
        <v>1066.5009482785265</v>
      </c>
      <c r="D6190" s="4"/>
      <c r="E6190" s="4"/>
    </row>
    <row r="6191" spans="1:5" x14ac:dyDescent="0.3">
      <c r="A6191" s="9">
        <v>6183</v>
      </c>
      <c r="B6191" s="10">
        <f t="shared" ca="1" si="96"/>
        <v>0.10089220914531748</v>
      </c>
      <c r="C6191" s="10">
        <f ca="1">NPV(B6191,Project_FCF!C18:J18)+Project_FCF!B18</f>
        <v>776.24098497107548</v>
      </c>
      <c r="D6191" s="4"/>
      <c r="E6191" s="4"/>
    </row>
    <row r="6192" spans="1:5" x14ac:dyDescent="0.3">
      <c r="A6192" s="9">
        <v>6184</v>
      </c>
      <c r="B6192" s="10">
        <f t="shared" ca="1" si="96"/>
        <v>7.2946117601788582E-2</v>
      </c>
      <c r="C6192" s="10">
        <f ca="1">NPV(B6192,Project_FCF!C18:J18)+Project_FCF!B18</f>
        <v>999.40713912618389</v>
      </c>
      <c r="D6192" s="4"/>
      <c r="E6192" s="4"/>
    </row>
    <row r="6193" spans="1:5" x14ac:dyDescent="0.3">
      <c r="A6193" s="9">
        <v>6185</v>
      </c>
      <c r="B6193" s="10">
        <f t="shared" ca="1" si="96"/>
        <v>8.6936645400866916E-2</v>
      </c>
      <c r="C6193" s="10">
        <f ca="1">NPV(B6193,Project_FCF!C18:J18)+Project_FCF!B18</f>
        <v>881.54482606722058</v>
      </c>
      <c r="D6193" s="4"/>
      <c r="E6193" s="4"/>
    </row>
    <row r="6194" spans="1:5" x14ac:dyDescent="0.3">
      <c r="A6194" s="9">
        <v>6186</v>
      </c>
      <c r="B6194" s="10">
        <f t="shared" ca="1" si="96"/>
        <v>9.6393497885713442E-2</v>
      </c>
      <c r="C6194" s="10">
        <f ca="1">NPV(B6194,Project_FCF!C18:J18)+Project_FCF!B18</f>
        <v>808.94045287254266</v>
      </c>
      <c r="D6194" s="4"/>
      <c r="E6194" s="4"/>
    </row>
    <row r="6195" spans="1:5" x14ac:dyDescent="0.3">
      <c r="A6195" s="9">
        <v>6187</v>
      </c>
      <c r="B6195" s="10">
        <f t="shared" ca="1" si="96"/>
        <v>8.8622170883371043E-2</v>
      </c>
      <c r="C6195" s="10">
        <f ca="1">NPV(B6195,Project_FCF!C18:J18)+Project_FCF!B18</f>
        <v>868.20642855919482</v>
      </c>
      <c r="D6195" s="4"/>
      <c r="E6195" s="4"/>
    </row>
    <row r="6196" spans="1:5" x14ac:dyDescent="0.3">
      <c r="A6196" s="9">
        <v>6188</v>
      </c>
      <c r="B6196" s="10">
        <f t="shared" ca="1" si="96"/>
        <v>7.7960415707909667E-2</v>
      </c>
      <c r="C6196" s="10">
        <f ca="1">NPV(B6196,Project_FCF!C18:J18)+Project_FCF!B18</f>
        <v>955.64995609458401</v>
      </c>
      <c r="D6196" s="4"/>
      <c r="E6196" s="4"/>
    </row>
    <row r="6197" spans="1:5" x14ac:dyDescent="0.3">
      <c r="A6197" s="9">
        <v>6189</v>
      </c>
      <c r="B6197" s="10">
        <f t="shared" ca="1" si="96"/>
        <v>6.7060915705982702E-2</v>
      </c>
      <c r="C6197" s="10">
        <f ca="1">NPV(B6197,Project_FCF!C18:J18)+Project_FCF!B18</f>
        <v>1053.0560077539269</v>
      </c>
      <c r="D6197" s="4"/>
      <c r="E6197" s="4"/>
    </row>
    <row r="6198" spans="1:5" x14ac:dyDescent="0.3">
      <c r="A6198" s="9">
        <v>6190</v>
      </c>
      <c r="B6198" s="10">
        <f t="shared" ca="1" si="96"/>
        <v>7.5885028973391971E-2</v>
      </c>
      <c r="C6198" s="10">
        <f ca="1">NPV(B6198,Project_FCF!C18:J18)+Project_FCF!B18</f>
        <v>973.54864998906214</v>
      </c>
      <c r="D6198" s="4"/>
      <c r="E6198" s="4"/>
    </row>
    <row r="6199" spans="1:5" x14ac:dyDescent="0.3">
      <c r="A6199" s="9">
        <v>6191</v>
      </c>
      <c r="B6199" s="10">
        <f t="shared" ca="1" si="96"/>
        <v>9.9803118188820455E-2</v>
      </c>
      <c r="C6199" s="10">
        <f ca="1">NPV(B6199,Project_FCF!C18:J18)+Project_FCF!B18</f>
        <v>784.05250631841</v>
      </c>
      <c r="D6199" s="4"/>
      <c r="E6199" s="4"/>
    </row>
    <row r="6200" spans="1:5" x14ac:dyDescent="0.3">
      <c r="A6200" s="9">
        <v>6192</v>
      </c>
      <c r="B6200" s="10">
        <f t="shared" ca="1" si="96"/>
        <v>6.9515167098134101E-2</v>
      </c>
      <c r="C6200" s="10">
        <f ca="1">NPV(B6200,Project_FCF!C18:J18)+Project_FCF!B18</f>
        <v>1030.3747111396269</v>
      </c>
      <c r="D6200" s="4"/>
      <c r="E6200" s="4"/>
    </row>
    <row r="6201" spans="1:5" x14ac:dyDescent="0.3">
      <c r="A6201" s="9">
        <v>6193</v>
      </c>
      <c r="B6201" s="10">
        <f t="shared" ca="1" si="96"/>
        <v>9.8257939002269465E-2</v>
      </c>
      <c r="C6201" s="10">
        <f ca="1">NPV(B6201,Project_FCF!C18:J18)+Project_FCF!B18</f>
        <v>795.24943676064436</v>
      </c>
      <c r="D6201" s="4"/>
      <c r="E6201" s="4"/>
    </row>
    <row r="6202" spans="1:5" x14ac:dyDescent="0.3">
      <c r="A6202" s="9">
        <v>6194</v>
      </c>
      <c r="B6202" s="10">
        <f t="shared" ca="1" si="96"/>
        <v>9.1188233568588212E-2</v>
      </c>
      <c r="C6202" s="10">
        <f ca="1">NPV(B6202,Project_FCF!C18:J18)+Project_FCF!B18</f>
        <v>848.23642902845609</v>
      </c>
      <c r="D6202" s="4"/>
      <c r="E6202" s="4"/>
    </row>
    <row r="6203" spans="1:5" x14ac:dyDescent="0.3">
      <c r="A6203" s="9">
        <v>6195</v>
      </c>
      <c r="B6203" s="10">
        <f t="shared" ca="1" si="96"/>
        <v>9.5550452640817823E-2</v>
      </c>
      <c r="C6203" s="10">
        <f ca="1">NPV(B6203,Project_FCF!C18:J18)+Project_FCF!B18</f>
        <v>815.19679142435052</v>
      </c>
      <c r="D6203" s="4"/>
      <c r="E6203" s="4"/>
    </row>
    <row r="6204" spans="1:5" x14ac:dyDescent="0.3">
      <c r="A6204" s="9">
        <v>6196</v>
      </c>
      <c r="B6204" s="10">
        <f t="shared" ca="1" si="96"/>
        <v>0.10092284496917128</v>
      </c>
      <c r="C6204" s="10">
        <f ca="1">NPV(B6204,Project_FCF!C18:J18)+Project_FCF!B18</f>
        <v>776.02220318524473</v>
      </c>
      <c r="D6204" s="4"/>
      <c r="E6204" s="4"/>
    </row>
    <row r="6205" spans="1:5" x14ac:dyDescent="0.3">
      <c r="A6205" s="9">
        <v>6197</v>
      </c>
      <c r="B6205" s="10">
        <f t="shared" ca="1" si="96"/>
        <v>9.2420251531770192E-2</v>
      </c>
      <c r="C6205" s="10">
        <f ca="1">NPV(B6205,Project_FCF!C18:J18)+Project_FCF!B18</f>
        <v>838.79043007440964</v>
      </c>
      <c r="D6205" s="4"/>
      <c r="E6205" s="4"/>
    </row>
    <row r="6206" spans="1:5" x14ac:dyDescent="0.3">
      <c r="A6206" s="9">
        <v>6198</v>
      </c>
      <c r="B6206" s="10">
        <f t="shared" ca="1" si="96"/>
        <v>9.1044810924557212E-2</v>
      </c>
      <c r="C6206" s="10">
        <f ca="1">NPV(B6206,Project_FCF!C18:J18)+Project_FCF!B18</f>
        <v>849.34200721005413</v>
      </c>
      <c r="D6206" s="4"/>
      <c r="E6206" s="4"/>
    </row>
    <row r="6207" spans="1:5" x14ac:dyDescent="0.3">
      <c r="A6207" s="9">
        <v>6199</v>
      </c>
      <c r="B6207" s="10">
        <f t="shared" ca="1" si="96"/>
        <v>8.8129453690676055E-2</v>
      </c>
      <c r="C6207" s="10">
        <f ca="1">NPV(B6207,Project_FCF!C18:J18)+Project_FCF!B18</f>
        <v>872.0872491411867</v>
      </c>
      <c r="D6207" s="4"/>
      <c r="E6207" s="4"/>
    </row>
    <row r="6208" spans="1:5" x14ac:dyDescent="0.3">
      <c r="A6208" s="9">
        <v>6200</v>
      </c>
      <c r="B6208" s="10">
        <f t="shared" ca="1" si="96"/>
        <v>8.2757549749292642E-2</v>
      </c>
      <c r="C6208" s="10">
        <f ca="1">NPV(B6208,Project_FCF!C18:J18)+Project_FCF!B18</f>
        <v>915.39138682785574</v>
      </c>
      <c r="D6208" s="4"/>
      <c r="E6208" s="4"/>
    </row>
    <row r="6209" spans="1:5" x14ac:dyDescent="0.3">
      <c r="A6209" s="9">
        <v>6201</v>
      </c>
      <c r="B6209" s="10">
        <f t="shared" ca="1" si="96"/>
        <v>0.10218219790941113</v>
      </c>
      <c r="C6209" s="10">
        <f ca="1">NPV(B6209,Project_FCF!C18:J18)+Project_FCF!B18</f>
        <v>767.07356601257834</v>
      </c>
      <c r="D6209" s="4"/>
      <c r="E6209" s="4"/>
    </row>
    <row r="6210" spans="1:5" x14ac:dyDescent="0.3">
      <c r="A6210" s="9">
        <v>6202</v>
      </c>
      <c r="B6210" s="10">
        <f t="shared" ca="1" si="96"/>
        <v>0.10066694886161373</v>
      </c>
      <c r="C6210" s="10">
        <f ca="1">NPV(B6210,Project_FCF!C18:J18)+Project_FCF!B18</f>
        <v>777.85125144605558</v>
      </c>
      <c r="D6210" s="4"/>
      <c r="E6210" s="4"/>
    </row>
    <row r="6211" spans="1:5" x14ac:dyDescent="0.3">
      <c r="A6211" s="9">
        <v>6203</v>
      </c>
      <c r="B6211" s="10">
        <f t="shared" ca="1" si="96"/>
        <v>7.4521233405075243E-2</v>
      </c>
      <c r="C6211" s="10">
        <f ca="1">NPV(B6211,Project_FCF!C18:J18)+Project_FCF!B18</f>
        <v>985.47273747817758</v>
      </c>
      <c r="D6211" s="4"/>
      <c r="E6211" s="4"/>
    </row>
    <row r="6212" spans="1:5" x14ac:dyDescent="0.3">
      <c r="A6212" s="9">
        <v>6204</v>
      </c>
      <c r="B6212" s="10">
        <f t="shared" ca="1" si="96"/>
        <v>9.011696130811972E-2</v>
      </c>
      <c r="C6212" s="10">
        <f ca="1">NPV(B6212,Project_FCF!C18:J18)+Project_FCF!B18</f>
        <v>856.52451811719789</v>
      </c>
      <c r="D6212" s="4"/>
      <c r="E6212" s="4"/>
    </row>
    <row r="6213" spans="1:5" x14ac:dyDescent="0.3">
      <c r="A6213" s="9">
        <v>6205</v>
      </c>
      <c r="B6213" s="10">
        <f t="shared" ca="1" si="96"/>
        <v>9.0183436019306187E-2</v>
      </c>
      <c r="C6213" s="10">
        <f ca="1">NPV(B6213,Project_FCF!C18:J18)+Project_FCF!B18</f>
        <v>856.00819331323623</v>
      </c>
      <c r="D6213" s="4"/>
      <c r="E6213" s="4"/>
    </row>
    <row r="6214" spans="1:5" x14ac:dyDescent="0.3">
      <c r="A6214" s="9">
        <v>6206</v>
      </c>
      <c r="B6214" s="10">
        <f t="shared" ca="1" si="96"/>
        <v>7.7246005143669583E-2</v>
      </c>
      <c r="C6214" s="10">
        <f ca="1">NPV(B6214,Project_FCF!C18:J18)+Project_FCF!B18</f>
        <v>961.77784724039657</v>
      </c>
      <c r="D6214" s="4"/>
      <c r="E6214" s="4"/>
    </row>
    <row r="6215" spans="1:5" x14ac:dyDescent="0.3">
      <c r="A6215" s="9">
        <v>6207</v>
      </c>
      <c r="B6215" s="10">
        <f t="shared" ca="1" si="96"/>
        <v>9.0355201975257871E-2</v>
      </c>
      <c r="C6215" s="10">
        <f ca="1">NPV(B6215,Project_FCF!C18:J18)+Project_FCF!B18</f>
        <v>854.67529410993029</v>
      </c>
      <c r="D6215" s="4"/>
      <c r="E6215" s="4"/>
    </row>
    <row r="6216" spans="1:5" x14ac:dyDescent="0.3">
      <c r="A6216" s="9">
        <v>6208</v>
      </c>
      <c r="B6216" s="10">
        <f t="shared" ca="1" si="96"/>
        <v>7.8697334173668254E-2</v>
      </c>
      <c r="C6216" s="10">
        <f ca="1">NPV(B6216,Project_FCF!C18:J18)+Project_FCF!B18</f>
        <v>949.3654070932173</v>
      </c>
      <c r="D6216" s="4"/>
      <c r="E6216" s="4"/>
    </row>
    <row r="6217" spans="1:5" x14ac:dyDescent="0.3">
      <c r="A6217" s="9">
        <v>6209</v>
      </c>
      <c r="B6217" s="10">
        <f t="shared" ref="B6217:B6280" ca="1" si="97">$B$4+RAND()*($B$5-$B$4)</f>
        <v>6.8748791507595497E-2</v>
      </c>
      <c r="C6217" s="10">
        <f ca="1">NPV(B6217,Project_FCF!C18:J18)+Project_FCF!B18</f>
        <v>1037.409260272218</v>
      </c>
      <c r="D6217" s="4"/>
      <c r="E6217" s="4"/>
    </row>
    <row r="6218" spans="1:5" x14ac:dyDescent="0.3">
      <c r="A6218" s="9">
        <v>6210</v>
      </c>
      <c r="B6218" s="10">
        <f t="shared" ca="1" si="97"/>
        <v>7.9159646640564837E-2</v>
      </c>
      <c r="C6218" s="10">
        <f ca="1">NPV(B6218,Project_FCF!C18:J18)+Project_FCF!B18</f>
        <v>945.44150152627321</v>
      </c>
      <c r="D6218" s="4"/>
      <c r="E6218" s="4"/>
    </row>
    <row r="6219" spans="1:5" x14ac:dyDescent="0.3">
      <c r="A6219" s="9">
        <v>6211</v>
      </c>
      <c r="B6219" s="10">
        <f t="shared" ca="1" si="97"/>
        <v>7.4976110329838891E-2</v>
      </c>
      <c r="C6219" s="10">
        <f ca="1">NPV(B6219,Project_FCF!C18:J18)+Project_FCF!B18</f>
        <v>981.48116740752675</v>
      </c>
      <c r="D6219" s="4"/>
      <c r="E6219" s="4"/>
    </row>
    <row r="6220" spans="1:5" x14ac:dyDescent="0.3">
      <c r="A6220" s="9">
        <v>6212</v>
      </c>
      <c r="B6220" s="10">
        <f t="shared" ca="1" si="97"/>
        <v>8.0057177171979077E-2</v>
      </c>
      <c r="C6220" s="10">
        <f ca="1">NPV(B6220,Project_FCF!C18:J18)+Project_FCF!B18</f>
        <v>937.86470086327859</v>
      </c>
      <c r="D6220" s="4"/>
      <c r="E6220" s="4"/>
    </row>
    <row r="6221" spans="1:5" x14ac:dyDescent="0.3">
      <c r="A6221" s="9">
        <v>6213</v>
      </c>
      <c r="B6221" s="10">
        <f t="shared" ca="1" si="97"/>
        <v>9.3940269353855896E-2</v>
      </c>
      <c r="C6221" s="10">
        <f ca="1">NPV(B6221,Project_FCF!C18:J18)+Project_FCF!B18</f>
        <v>827.26125474567607</v>
      </c>
      <c r="D6221" s="4"/>
      <c r="E6221" s="4"/>
    </row>
    <row r="6222" spans="1:5" x14ac:dyDescent="0.3">
      <c r="A6222" s="9">
        <v>6214</v>
      </c>
      <c r="B6222" s="10">
        <f t="shared" ca="1" si="97"/>
        <v>6.4977829297671291E-2</v>
      </c>
      <c r="C6222" s="10">
        <f ca="1">NPV(B6222,Project_FCF!C18:J18)+Project_FCF!B18</f>
        <v>1072.6620301451403</v>
      </c>
      <c r="D6222" s="4"/>
      <c r="E6222" s="4"/>
    </row>
    <row r="6223" spans="1:5" x14ac:dyDescent="0.3">
      <c r="A6223" s="9">
        <v>6215</v>
      </c>
      <c r="B6223" s="10">
        <f t="shared" ca="1" si="97"/>
        <v>7.4921695256390433E-2</v>
      </c>
      <c r="C6223" s="10">
        <f ca="1">NPV(B6223,Project_FCF!C18:J18)+Project_FCF!B18</f>
        <v>981.95789937389782</v>
      </c>
      <c r="D6223" s="4"/>
      <c r="E6223" s="4"/>
    </row>
    <row r="6224" spans="1:5" x14ac:dyDescent="0.3">
      <c r="A6224" s="9">
        <v>6216</v>
      </c>
      <c r="B6224" s="10">
        <f t="shared" ca="1" si="97"/>
        <v>7.0907793964256186E-2</v>
      </c>
      <c r="C6224" s="10">
        <f ca="1">NPV(B6224,Project_FCF!C18:J18)+Project_FCF!B18</f>
        <v>1017.7021164370651</v>
      </c>
      <c r="D6224" s="4"/>
      <c r="E6224" s="4"/>
    </row>
    <row r="6225" spans="1:5" x14ac:dyDescent="0.3">
      <c r="A6225" s="9">
        <v>6217</v>
      </c>
      <c r="B6225" s="10">
        <f t="shared" ca="1" si="97"/>
        <v>9.2943336700499715E-2</v>
      </c>
      <c r="C6225" s="10">
        <f ca="1">NPV(B6225,Project_FCF!C18:J18)+Project_FCF!B18</f>
        <v>834.80738919967325</v>
      </c>
      <c r="D6225" s="4"/>
      <c r="E6225" s="4"/>
    </row>
    <row r="6226" spans="1:5" x14ac:dyDescent="0.3">
      <c r="A6226" s="9">
        <v>6218</v>
      </c>
      <c r="B6226" s="10">
        <f t="shared" ca="1" si="97"/>
        <v>7.1369786033006491E-2</v>
      </c>
      <c r="C6226" s="10">
        <f ca="1">NPV(B6226,Project_FCF!C18:J18)+Project_FCF!B18</f>
        <v>1013.529275555868</v>
      </c>
      <c r="D6226" s="4"/>
      <c r="E6226" s="4"/>
    </row>
    <row r="6227" spans="1:5" x14ac:dyDescent="0.3">
      <c r="A6227" s="9">
        <v>6219</v>
      </c>
      <c r="B6227" s="10">
        <f t="shared" ca="1" si="97"/>
        <v>7.8301432517546093E-2</v>
      </c>
      <c r="C6227" s="10">
        <f ca="1">NPV(B6227,Project_FCF!C18:J18)+Project_FCF!B18</f>
        <v>952.73713369686902</v>
      </c>
      <c r="D6227" s="4"/>
      <c r="E6227" s="4"/>
    </row>
    <row r="6228" spans="1:5" x14ac:dyDescent="0.3">
      <c r="A6228" s="9">
        <v>6220</v>
      </c>
      <c r="B6228" s="10">
        <f t="shared" ca="1" si="97"/>
        <v>7.5553072022878115E-2</v>
      </c>
      <c r="C6228" s="10">
        <f ca="1">NPV(B6228,Project_FCF!C18:J18)+Project_FCF!B18</f>
        <v>976.43911026530236</v>
      </c>
      <c r="D6228" s="4"/>
      <c r="E6228" s="4"/>
    </row>
    <row r="6229" spans="1:5" x14ac:dyDescent="0.3">
      <c r="A6229" s="9">
        <v>6221</v>
      </c>
      <c r="B6229" s="10">
        <f t="shared" ca="1" si="97"/>
        <v>8.8976651187213124E-2</v>
      </c>
      <c r="C6229" s="10">
        <f ca="1">NPV(B6229,Project_FCF!C18:J18)+Project_FCF!B18</f>
        <v>865.42370361150051</v>
      </c>
      <c r="D6229" s="4"/>
      <c r="E6229" s="4"/>
    </row>
    <row r="6230" spans="1:5" x14ac:dyDescent="0.3">
      <c r="A6230" s="9">
        <v>6222</v>
      </c>
      <c r="B6230" s="10">
        <f t="shared" ca="1" si="97"/>
        <v>7.4963998629226467E-2</v>
      </c>
      <c r="C6230" s="10">
        <f ca="1">NPV(B6230,Project_FCF!C18:J18)+Project_FCF!B18</f>
        <v>981.58726042911144</v>
      </c>
      <c r="D6230" s="4"/>
      <c r="E6230" s="4"/>
    </row>
    <row r="6231" spans="1:5" x14ac:dyDescent="0.3">
      <c r="A6231" s="9">
        <v>6223</v>
      </c>
      <c r="B6231" s="10">
        <f t="shared" ca="1" si="97"/>
        <v>9.8993322264841782E-2</v>
      </c>
      <c r="C6231" s="10">
        <f ca="1">NPV(B6231,Project_FCF!C18:J18)+Project_FCF!B18</f>
        <v>789.90379399379322</v>
      </c>
      <c r="D6231" s="4"/>
      <c r="E6231" s="4"/>
    </row>
    <row r="6232" spans="1:5" x14ac:dyDescent="0.3">
      <c r="A6232" s="9">
        <v>6224</v>
      </c>
      <c r="B6232" s="10">
        <f t="shared" ca="1" si="97"/>
        <v>7.5845209618149043E-2</v>
      </c>
      <c r="C6232" s="10">
        <f ca="1">NPV(B6232,Project_FCF!C18:J18)+Project_FCF!B18</f>
        <v>973.8949664863851</v>
      </c>
      <c r="D6232" s="4"/>
      <c r="E6232" s="4"/>
    </row>
    <row r="6233" spans="1:5" x14ac:dyDescent="0.3">
      <c r="A6233" s="9">
        <v>6225</v>
      </c>
      <c r="B6233" s="10">
        <f t="shared" ca="1" si="97"/>
        <v>9.1267142165687515E-2</v>
      </c>
      <c r="C6233" s="10">
        <f ca="1">NPV(B6233,Project_FCF!C18:J18)+Project_FCF!B18</f>
        <v>847.62868986264743</v>
      </c>
      <c r="D6233" s="4"/>
      <c r="E6233" s="4"/>
    </row>
    <row r="6234" spans="1:5" x14ac:dyDescent="0.3">
      <c r="A6234" s="9">
        <v>6226</v>
      </c>
      <c r="B6234" s="10">
        <f t="shared" ca="1" si="97"/>
        <v>8.1859685984688485E-2</v>
      </c>
      <c r="C6234" s="10">
        <f ca="1">NPV(B6234,Project_FCF!C18:J18)+Project_FCF!B18</f>
        <v>922.81034828772226</v>
      </c>
      <c r="D6234" s="4"/>
      <c r="E6234" s="4"/>
    </row>
    <row r="6235" spans="1:5" x14ac:dyDescent="0.3">
      <c r="A6235" s="9">
        <v>6227</v>
      </c>
      <c r="B6235" s="10">
        <f t="shared" ca="1" si="97"/>
        <v>9.4489001138928622E-2</v>
      </c>
      <c r="C6235" s="10">
        <f ca="1">NPV(B6235,Project_FCF!C18:J18)+Project_FCF!B18</f>
        <v>823.13275762986177</v>
      </c>
      <c r="D6235" s="4"/>
      <c r="E6235" s="4"/>
    </row>
    <row r="6236" spans="1:5" x14ac:dyDescent="0.3">
      <c r="A6236" s="9">
        <v>6228</v>
      </c>
      <c r="B6236" s="10">
        <f t="shared" ca="1" si="97"/>
        <v>8.4448040469194227E-2</v>
      </c>
      <c r="C6236" s="10">
        <f ca="1">NPV(B6236,Project_FCF!C18:J18)+Project_FCF!B18</f>
        <v>901.56532490941413</v>
      </c>
      <c r="D6236" s="4"/>
      <c r="E6236" s="4"/>
    </row>
    <row r="6237" spans="1:5" x14ac:dyDescent="0.3">
      <c r="A6237" s="9">
        <v>6229</v>
      </c>
      <c r="B6237" s="10">
        <f t="shared" ca="1" si="97"/>
        <v>7.3094018670604735E-2</v>
      </c>
      <c r="C6237" s="10">
        <f ca="1">NPV(B6237,Project_FCF!C18:J18)+Project_FCF!B18</f>
        <v>998.0912383591965</v>
      </c>
      <c r="D6237" s="4"/>
      <c r="E6237" s="4"/>
    </row>
    <row r="6238" spans="1:5" x14ac:dyDescent="0.3">
      <c r="A6238" s="9">
        <v>6230</v>
      </c>
      <c r="B6238" s="10">
        <f t="shared" ca="1" si="97"/>
        <v>7.1725941192391104E-2</v>
      </c>
      <c r="C6238" s="10">
        <f ca="1">NPV(B6238,Project_FCF!C18:J18)+Project_FCF!B18</f>
        <v>1010.3229171681051</v>
      </c>
      <c r="D6238" s="4"/>
      <c r="E6238" s="4"/>
    </row>
    <row r="6239" spans="1:5" x14ac:dyDescent="0.3">
      <c r="A6239" s="9">
        <v>6231</v>
      </c>
      <c r="B6239" s="10">
        <f t="shared" ca="1" si="97"/>
        <v>9.0605859261746774E-2</v>
      </c>
      <c r="C6239" s="10">
        <f ca="1">NPV(B6239,Project_FCF!C18:J18)+Project_FCF!B18</f>
        <v>852.73342373374066</v>
      </c>
      <c r="D6239" s="4"/>
      <c r="E6239" s="4"/>
    </row>
    <row r="6240" spans="1:5" x14ac:dyDescent="0.3">
      <c r="A6240" s="9">
        <v>6232</v>
      </c>
      <c r="B6240" s="10">
        <f t="shared" ca="1" si="97"/>
        <v>9.7288478595488198E-2</v>
      </c>
      <c r="C6240" s="10">
        <f ca="1">NPV(B6240,Project_FCF!C18:J18)+Project_FCF!B18</f>
        <v>802.34357279076949</v>
      </c>
      <c r="D6240" s="4"/>
      <c r="E6240" s="4"/>
    </row>
    <row r="6241" spans="1:5" x14ac:dyDescent="0.3">
      <c r="A6241" s="9">
        <v>6233</v>
      </c>
      <c r="B6241" s="10">
        <f t="shared" ca="1" si="97"/>
        <v>7.6547838791974784E-2</v>
      </c>
      <c r="C6241" s="10">
        <f ca="1">NPV(B6241,Project_FCF!C18:J18)+Project_FCF!B18</f>
        <v>967.80019070684989</v>
      </c>
      <c r="D6241" s="4"/>
      <c r="E6241" s="4"/>
    </row>
    <row r="6242" spans="1:5" x14ac:dyDescent="0.3">
      <c r="A6242" s="9">
        <v>6234</v>
      </c>
      <c r="B6242" s="10">
        <f t="shared" ca="1" si="97"/>
        <v>7.0721957439796951E-2</v>
      </c>
      <c r="C6242" s="10">
        <f ca="1">NPV(B6242,Project_FCF!C18:J18)+Project_FCF!B18</f>
        <v>1019.385009195337</v>
      </c>
      <c r="D6242" s="4"/>
      <c r="E6242" s="4"/>
    </row>
    <row r="6243" spans="1:5" x14ac:dyDescent="0.3">
      <c r="A6243" s="9">
        <v>6235</v>
      </c>
      <c r="B6243" s="10">
        <f t="shared" ca="1" si="97"/>
        <v>9.295894235511995E-2</v>
      </c>
      <c r="C6243" s="10">
        <f ca="1">NPV(B6243,Project_FCF!C18:J18)+Project_FCF!B18</f>
        <v>834.68881019482797</v>
      </c>
      <c r="D6243" s="4"/>
      <c r="E6243" s="4"/>
    </row>
    <row r="6244" spans="1:5" x14ac:dyDescent="0.3">
      <c r="A6244" s="9">
        <v>6236</v>
      </c>
      <c r="B6244" s="10">
        <f t="shared" ca="1" si="97"/>
        <v>9.3943461655410093E-2</v>
      </c>
      <c r="C6244" s="10">
        <f ca="1">NPV(B6244,Project_FCF!C18:J18)+Project_FCF!B18</f>
        <v>827.23718552767559</v>
      </c>
      <c r="D6244" s="4"/>
      <c r="E6244" s="4"/>
    </row>
    <row r="6245" spans="1:5" x14ac:dyDescent="0.3">
      <c r="A6245" s="9">
        <v>6237</v>
      </c>
      <c r="B6245" s="10">
        <f t="shared" ca="1" si="97"/>
        <v>8.4341284214429782E-2</v>
      </c>
      <c r="C6245" s="10">
        <f ca="1">NPV(B6245,Project_FCF!C18:J18)+Project_FCF!B18</f>
        <v>902.43299749959829</v>
      </c>
      <c r="D6245" s="4"/>
      <c r="E6245" s="4"/>
    </row>
    <row r="6246" spans="1:5" x14ac:dyDescent="0.3">
      <c r="A6246" s="9">
        <v>6238</v>
      </c>
      <c r="B6246" s="10">
        <f t="shared" ca="1" si="97"/>
        <v>6.4797669292879723E-2</v>
      </c>
      <c r="C6246" s="10">
        <f ca="1">NPV(B6246,Project_FCF!C18:J18)+Project_FCF!B18</f>
        <v>1074.3732291341735</v>
      </c>
      <c r="D6246" s="4"/>
      <c r="E6246" s="4"/>
    </row>
    <row r="6247" spans="1:5" x14ac:dyDescent="0.3">
      <c r="A6247" s="9">
        <v>6239</v>
      </c>
      <c r="B6247" s="10">
        <f t="shared" ca="1" si="97"/>
        <v>8.034490190208346E-2</v>
      </c>
      <c r="C6247" s="10">
        <f ca="1">NPV(B6247,Project_FCF!C18:J18)+Project_FCF!B18</f>
        <v>935.44718931979878</v>
      </c>
      <c r="D6247" s="4"/>
      <c r="E6247" s="4"/>
    </row>
    <row r="6248" spans="1:5" x14ac:dyDescent="0.3">
      <c r="A6248" s="9">
        <v>6240</v>
      </c>
      <c r="B6248" s="10">
        <f t="shared" ca="1" si="97"/>
        <v>8.9889131259145771E-2</v>
      </c>
      <c r="C6248" s="10">
        <f ca="1">NPV(B6248,Project_FCF!C18:J18)+Project_FCF!B18</f>
        <v>858.29617507044804</v>
      </c>
      <c r="D6248" s="4"/>
      <c r="E6248" s="4"/>
    </row>
    <row r="6249" spans="1:5" x14ac:dyDescent="0.3">
      <c r="A6249" s="9">
        <v>6241</v>
      </c>
      <c r="B6249" s="10">
        <f t="shared" ca="1" si="97"/>
        <v>7.5401179636384083E-2</v>
      </c>
      <c r="C6249" s="10">
        <f ca="1">NPV(B6249,Project_FCF!C18:J18)+Project_FCF!B18</f>
        <v>977.76424365116372</v>
      </c>
      <c r="D6249" s="4"/>
      <c r="E6249" s="4"/>
    </row>
    <row r="6250" spans="1:5" x14ac:dyDescent="0.3">
      <c r="A6250" s="9">
        <v>6242</v>
      </c>
      <c r="B6250" s="10">
        <f t="shared" ca="1" si="97"/>
        <v>8.9264810464328298E-2</v>
      </c>
      <c r="C6250" s="10">
        <f ca="1">NPV(B6250,Project_FCF!C18:J18)+Project_FCF!B18</f>
        <v>863.16731889309654</v>
      </c>
      <c r="D6250" s="4"/>
      <c r="E6250" s="4"/>
    </row>
    <row r="6251" spans="1:5" x14ac:dyDescent="0.3">
      <c r="A6251" s="9">
        <v>6243</v>
      </c>
      <c r="B6251" s="10">
        <f t="shared" ca="1" si="97"/>
        <v>9.8227393990488937E-2</v>
      </c>
      <c r="C6251" s="10">
        <f ca="1">NPV(B6251,Project_FCF!C18:J18)+Project_FCF!B18</f>
        <v>795.47213695923324</v>
      </c>
      <c r="D6251" s="4"/>
      <c r="E6251" s="4"/>
    </row>
    <row r="6252" spans="1:5" x14ac:dyDescent="0.3">
      <c r="A6252" s="9">
        <v>6244</v>
      </c>
      <c r="B6252" s="10">
        <f t="shared" ca="1" si="97"/>
        <v>8.0639206900747259E-2</v>
      </c>
      <c r="C6252" s="10">
        <f ca="1">NPV(B6252,Project_FCF!C18:J18)+Project_FCF!B18</f>
        <v>932.98009583190446</v>
      </c>
      <c r="D6252" s="4"/>
      <c r="E6252" s="4"/>
    </row>
    <row r="6253" spans="1:5" x14ac:dyDescent="0.3">
      <c r="A6253" s="9">
        <v>6245</v>
      </c>
      <c r="B6253" s="10">
        <f t="shared" ca="1" si="97"/>
        <v>7.3099030969155127E-2</v>
      </c>
      <c r="C6253" s="10">
        <f ca="1">NPV(B6253,Project_FCF!C18:J18)+Project_FCF!B18</f>
        <v>998.04667037301806</v>
      </c>
      <c r="D6253" s="4"/>
      <c r="E6253" s="4"/>
    </row>
    <row r="6254" spans="1:5" x14ac:dyDescent="0.3">
      <c r="A6254" s="9">
        <v>6246</v>
      </c>
      <c r="B6254" s="10">
        <f t="shared" ca="1" si="97"/>
        <v>7.9953601084537917E-2</v>
      </c>
      <c r="C6254" s="10">
        <f ca="1">NPV(B6254,Project_FCF!C18:J18)+Project_FCF!B18</f>
        <v>938.7363175632795</v>
      </c>
      <c r="D6254" s="4"/>
      <c r="E6254" s="4"/>
    </row>
    <row r="6255" spans="1:5" x14ac:dyDescent="0.3">
      <c r="A6255" s="9">
        <v>6247</v>
      </c>
      <c r="B6255" s="10">
        <f t="shared" ca="1" si="97"/>
        <v>6.6749372132886897E-2</v>
      </c>
      <c r="C6255" s="10">
        <f ca="1">NPV(B6255,Project_FCF!C18:J18)+Project_FCF!B18</f>
        <v>1055.9673592948029</v>
      </c>
      <c r="D6255" s="4"/>
      <c r="E6255" s="4"/>
    </row>
    <row r="6256" spans="1:5" x14ac:dyDescent="0.3">
      <c r="A6256" s="9">
        <v>6248</v>
      </c>
      <c r="B6256" s="10">
        <f t="shared" ca="1" si="97"/>
        <v>6.5934191246891302E-2</v>
      </c>
      <c r="C6256" s="10">
        <f ca="1">NPV(B6256,Project_FCF!C18:J18)+Project_FCF!B18</f>
        <v>1063.619841499629</v>
      </c>
      <c r="D6256" s="4"/>
      <c r="E6256" s="4"/>
    </row>
    <row r="6257" spans="1:5" x14ac:dyDescent="0.3">
      <c r="A6257" s="9">
        <v>6249</v>
      </c>
      <c r="B6257" s="10">
        <f t="shared" ca="1" si="97"/>
        <v>9.7324259222899528E-2</v>
      </c>
      <c r="C6257" s="10">
        <f ca="1">NPV(B6257,Project_FCF!C18:J18)+Project_FCF!B18</f>
        <v>802.08079049012372</v>
      </c>
      <c r="D6257" s="4"/>
      <c r="E6257" s="4"/>
    </row>
    <row r="6258" spans="1:5" x14ac:dyDescent="0.3">
      <c r="A6258" s="9">
        <v>6250</v>
      </c>
      <c r="B6258" s="10">
        <f t="shared" ca="1" si="97"/>
        <v>7.6565432721955817E-2</v>
      </c>
      <c r="C6258" s="10">
        <f ca="1">NPV(B6258,Project_FCF!C18:J18)+Project_FCF!B18</f>
        <v>967.6480145023163</v>
      </c>
      <c r="D6258" s="4"/>
      <c r="E6258" s="4"/>
    </row>
    <row r="6259" spans="1:5" x14ac:dyDescent="0.3">
      <c r="A6259" s="9">
        <v>6251</v>
      </c>
      <c r="B6259" s="10">
        <f t="shared" ca="1" si="97"/>
        <v>7.8245706861081288E-2</v>
      </c>
      <c r="C6259" s="10">
        <f ca="1">NPV(B6259,Project_FCF!C18:J18)+Project_FCF!B18</f>
        <v>953.21257869385954</v>
      </c>
      <c r="D6259" s="4"/>
      <c r="E6259" s="4"/>
    </row>
    <row r="6260" spans="1:5" x14ac:dyDescent="0.3">
      <c r="A6260" s="9">
        <v>6252</v>
      </c>
      <c r="B6260" s="10">
        <f t="shared" ca="1" si="97"/>
        <v>7.3256733337105945E-2</v>
      </c>
      <c r="C6260" s="10">
        <f ca="1">NPV(B6260,Project_FCF!C18:J18)+Project_FCF!B18</f>
        <v>996.64533656431058</v>
      </c>
      <c r="D6260" s="4"/>
      <c r="E6260" s="4"/>
    </row>
    <row r="6261" spans="1:5" x14ac:dyDescent="0.3">
      <c r="A6261" s="9">
        <v>6253</v>
      </c>
      <c r="B6261" s="10">
        <f t="shared" ca="1" si="97"/>
        <v>6.9955799464910179E-2</v>
      </c>
      <c r="C6261" s="10">
        <f ca="1">NPV(B6261,Project_FCF!C18:J18)+Project_FCF!B18</f>
        <v>1026.3497218371283</v>
      </c>
      <c r="D6261" s="4"/>
      <c r="E6261" s="4"/>
    </row>
    <row r="6262" spans="1:5" x14ac:dyDescent="0.3">
      <c r="A6262" s="9">
        <v>6254</v>
      </c>
      <c r="B6262" s="10">
        <f t="shared" ca="1" si="97"/>
        <v>7.709751598947806E-2</v>
      </c>
      <c r="C6262" s="10">
        <f ca="1">NPV(B6262,Project_FCF!C18:J18)+Project_FCF!B18</f>
        <v>963.05590264888724</v>
      </c>
      <c r="D6262" s="4"/>
      <c r="E6262" s="4"/>
    </row>
    <row r="6263" spans="1:5" x14ac:dyDescent="0.3">
      <c r="A6263" s="9">
        <v>6255</v>
      </c>
      <c r="B6263" s="10">
        <f t="shared" ca="1" si="97"/>
        <v>7.9442596943511218E-2</v>
      </c>
      <c r="C6263" s="10">
        <f ca="1">NPV(B6263,Project_FCF!C18:J18)+Project_FCF!B18</f>
        <v>943.04704807945632</v>
      </c>
      <c r="D6263" s="4"/>
      <c r="E6263" s="4"/>
    </row>
    <row r="6264" spans="1:5" x14ac:dyDescent="0.3">
      <c r="A6264" s="9">
        <v>6256</v>
      </c>
      <c r="B6264" s="10">
        <f t="shared" ca="1" si="97"/>
        <v>8.6360724590140103E-2</v>
      </c>
      <c r="C6264" s="10">
        <f ca="1">NPV(B6264,Project_FCF!C18:J18)+Project_FCF!B18</f>
        <v>886.14312906214082</v>
      </c>
      <c r="D6264" s="4"/>
      <c r="E6264" s="4"/>
    </row>
    <row r="6265" spans="1:5" x14ac:dyDescent="0.3">
      <c r="A6265" s="9">
        <v>6257</v>
      </c>
      <c r="B6265" s="10">
        <f t="shared" ca="1" si="97"/>
        <v>8.4886231380917457E-2</v>
      </c>
      <c r="C6265" s="10">
        <f ca="1">NPV(B6265,Project_FCF!C18:J18)+Project_FCF!B18</f>
        <v>898.01154164366767</v>
      </c>
      <c r="D6265" s="4"/>
      <c r="E6265" s="4"/>
    </row>
    <row r="6266" spans="1:5" x14ac:dyDescent="0.3">
      <c r="A6266" s="9">
        <v>6258</v>
      </c>
      <c r="B6266" s="10">
        <f t="shared" ca="1" si="97"/>
        <v>6.5478340251182585E-2</v>
      </c>
      <c r="C6266" s="10">
        <f ca="1">NPV(B6266,Project_FCF!C18:J18)+Project_FCF!B18</f>
        <v>1067.9211080859782</v>
      </c>
      <c r="D6266" s="4"/>
      <c r="E6266" s="4"/>
    </row>
    <row r="6267" spans="1:5" x14ac:dyDescent="0.3">
      <c r="A6267" s="9">
        <v>6259</v>
      </c>
      <c r="B6267" s="10">
        <f t="shared" ca="1" si="97"/>
        <v>9.9729643225840992E-2</v>
      </c>
      <c r="C6267" s="10">
        <f ca="1">NPV(B6267,Project_FCF!C18:J18)+Project_FCF!B18</f>
        <v>784.58189083410616</v>
      </c>
      <c r="D6267" s="4"/>
      <c r="E6267" s="4"/>
    </row>
    <row r="6268" spans="1:5" x14ac:dyDescent="0.3">
      <c r="A6268" s="9">
        <v>6260</v>
      </c>
      <c r="B6268" s="10">
        <f t="shared" ca="1" si="97"/>
        <v>7.5610416204981115E-2</v>
      </c>
      <c r="C6268" s="10">
        <f ca="1">NPV(B6268,Project_FCF!C18:J18)+Project_FCF!B18</f>
        <v>975.93924804645053</v>
      </c>
      <c r="D6268" s="4"/>
      <c r="E6268" s="4"/>
    </row>
    <row r="6269" spans="1:5" x14ac:dyDescent="0.3">
      <c r="A6269" s="9">
        <v>6261</v>
      </c>
      <c r="B6269" s="10">
        <f t="shared" ca="1" si="97"/>
        <v>7.5381444719390067E-2</v>
      </c>
      <c r="C6269" s="10">
        <f ca="1">NPV(B6269,Project_FCF!C18:J18)+Project_FCF!B18</f>
        <v>977.93653216771872</v>
      </c>
      <c r="D6269" s="4"/>
      <c r="E6269" s="4"/>
    </row>
    <row r="6270" spans="1:5" x14ac:dyDescent="0.3">
      <c r="A6270" s="9">
        <v>6262</v>
      </c>
      <c r="B6270" s="10">
        <f t="shared" ca="1" si="97"/>
        <v>0.10336885706099543</v>
      </c>
      <c r="C6270" s="10">
        <f ca="1">NPV(B6270,Project_FCF!C18:J18)+Project_FCF!B18</f>
        <v>758.7210581604013</v>
      </c>
      <c r="D6270" s="4"/>
      <c r="E6270" s="4"/>
    </row>
    <row r="6271" spans="1:5" x14ac:dyDescent="0.3">
      <c r="A6271" s="9">
        <v>6263</v>
      </c>
      <c r="B6271" s="10">
        <f t="shared" ca="1" si="97"/>
        <v>8.4023003001412772E-2</v>
      </c>
      <c r="C6271" s="10">
        <f ca="1">NPV(B6271,Project_FCF!C18:J18)+Project_FCF!B18</f>
        <v>905.0242115361882</v>
      </c>
      <c r="D6271" s="4"/>
      <c r="E6271" s="4"/>
    </row>
    <row r="6272" spans="1:5" x14ac:dyDescent="0.3">
      <c r="A6272" s="9">
        <v>6264</v>
      </c>
      <c r="B6272" s="10">
        <f t="shared" ca="1" si="97"/>
        <v>9.1565462743164003E-2</v>
      </c>
      <c r="C6272" s="10">
        <f ca="1">NPV(B6272,Project_FCF!C18:J18)+Project_FCF!B18</f>
        <v>845.33447762957053</v>
      </c>
      <c r="D6272" s="4"/>
      <c r="E6272" s="4"/>
    </row>
    <row r="6273" spans="1:5" x14ac:dyDescent="0.3">
      <c r="A6273" s="9">
        <v>6265</v>
      </c>
      <c r="B6273" s="10">
        <f t="shared" ca="1" si="97"/>
        <v>7.2471799785803301E-2</v>
      </c>
      <c r="C6273" s="10">
        <f ca="1">NPV(B6273,Project_FCF!C18:J18)+Project_FCF!B18</f>
        <v>1003.6377491896915</v>
      </c>
      <c r="D6273" s="4"/>
      <c r="E6273" s="4"/>
    </row>
    <row r="6274" spans="1:5" x14ac:dyDescent="0.3">
      <c r="A6274" s="9">
        <v>6266</v>
      </c>
      <c r="B6274" s="10">
        <f t="shared" ca="1" si="97"/>
        <v>9.7427289093777958E-2</v>
      </c>
      <c r="C6274" s="10">
        <f ca="1">NPV(B6274,Project_FCF!C18:J18)+Project_FCF!B18</f>
        <v>801.3245213282421</v>
      </c>
      <c r="D6274" s="4"/>
      <c r="E6274" s="4"/>
    </row>
    <row r="6275" spans="1:5" x14ac:dyDescent="0.3">
      <c r="A6275" s="9">
        <v>6267</v>
      </c>
      <c r="B6275" s="10">
        <f t="shared" ca="1" si="97"/>
        <v>9.5993281670367497E-2</v>
      </c>
      <c r="C6275" s="10">
        <f ca="1">NPV(B6275,Project_FCF!C18:J18)+Project_FCF!B18</f>
        <v>811.90537196350488</v>
      </c>
      <c r="D6275" s="4"/>
      <c r="E6275" s="4"/>
    </row>
    <row r="6276" spans="1:5" x14ac:dyDescent="0.3">
      <c r="A6276" s="9">
        <v>6268</v>
      </c>
      <c r="B6276" s="10">
        <f t="shared" ca="1" si="97"/>
        <v>8.5604413129475754E-2</v>
      </c>
      <c r="C6276" s="10">
        <f ca="1">NPV(B6276,Project_FCF!C18:J18)+Project_FCF!B18</f>
        <v>892.21353426349856</v>
      </c>
      <c r="D6276" s="4"/>
      <c r="E6276" s="4"/>
    </row>
    <row r="6277" spans="1:5" x14ac:dyDescent="0.3">
      <c r="A6277" s="9">
        <v>6269</v>
      </c>
      <c r="B6277" s="10">
        <f t="shared" ca="1" si="97"/>
        <v>7.3765918838561539E-2</v>
      </c>
      <c r="C6277" s="10">
        <f ca="1">NPV(B6277,Project_FCF!C18:J18)+Project_FCF!B18</f>
        <v>992.13279488439571</v>
      </c>
      <c r="D6277" s="4"/>
      <c r="E6277" s="4"/>
    </row>
    <row r="6278" spans="1:5" x14ac:dyDescent="0.3">
      <c r="A6278" s="9">
        <v>6270</v>
      </c>
      <c r="B6278" s="10">
        <f t="shared" ca="1" si="97"/>
        <v>7.14667914832883E-2</v>
      </c>
      <c r="C6278" s="10">
        <f ca="1">NPV(B6278,Project_FCF!C18:J18)+Project_FCF!B18</f>
        <v>1012.6550572296828</v>
      </c>
      <c r="D6278" s="4"/>
      <c r="E6278" s="4"/>
    </row>
    <row r="6279" spans="1:5" x14ac:dyDescent="0.3">
      <c r="A6279" s="9">
        <v>6271</v>
      </c>
      <c r="B6279" s="10">
        <f t="shared" ca="1" si="97"/>
        <v>7.840552891857816E-2</v>
      </c>
      <c r="C6279" s="10">
        <f ca="1">NPV(B6279,Project_FCF!C18:J18)+Project_FCF!B18</f>
        <v>951.84955948678271</v>
      </c>
      <c r="D6279" s="4"/>
      <c r="E6279" s="4"/>
    </row>
    <row r="6280" spans="1:5" x14ac:dyDescent="0.3">
      <c r="A6280" s="9">
        <v>6272</v>
      </c>
      <c r="B6280" s="10">
        <f t="shared" ca="1" si="97"/>
        <v>8.472239714962132E-2</v>
      </c>
      <c r="C6280" s="10">
        <f ca="1">NPV(B6280,Project_FCF!C18:J18)+Project_FCF!B18</f>
        <v>899.3388177500301</v>
      </c>
      <c r="D6280" s="4"/>
      <c r="E6280" s="4"/>
    </row>
    <row r="6281" spans="1:5" x14ac:dyDescent="0.3">
      <c r="A6281" s="9">
        <v>6273</v>
      </c>
      <c r="B6281" s="10">
        <f t="shared" ref="B6281:B6344" ca="1" si="98">$B$4+RAND()*($B$5-$B$4)</f>
        <v>6.85759810829141E-2</v>
      </c>
      <c r="C6281" s="10">
        <f ca="1">NPV(B6281,Project_FCF!C18:J18)+Project_FCF!B18</f>
        <v>1039.0014809707652</v>
      </c>
      <c r="D6281" s="4"/>
      <c r="E6281" s="4"/>
    </row>
    <row r="6282" spans="1:5" x14ac:dyDescent="0.3">
      <c r="A6282" s="9">
        <v>6274</v>
      </c>
      <c r="B6282" s="10">
        <f t="shared" ca="1" si="98"/>
        <v>8.3369078390122184E-2</v>
      </c>
      <c r="C6282" s="10">
        <f ca="1">NPV(B6282,Project_FCF!C18:J18)+Project_FCF!B18</f>
        <v>910.36850018139057</v>
      </c>
      <c r="D6282" s="4"/>
      <c r="E6282" s="4"/>
    </row>
    <row r="6283" spans="1:5" x14ac:dyDescent="0.3">
      <c r="A6283" s="9">
        <v>6275</v>
      </c>
      <c r="B6283" s="10">
        <f t="shared" ca="1" si="98"/>
        <v>0.10092608941253448</v>
      </c>
      <c r="C6283" s="10">
        <f ca="1">NPV(B6283,Project_FCF!C18:J18)+Project_FCF!B18</f>
        <v>775.99903645857717</v>
      </c>
      <c r="D6283" s="4"/>
      <c r="E6283" s="4"/>
    </row>
    <row r="6284" spans="1:5" x14ac:dyDescent="0.3">
      <c r="A6284" s="9">
        <v>6276</v>
      </c>
      <c r="B6284" s="10">
        <f t="shared" ca="1" si="98"/>
        <v>9.5014721867683533E-2</v>
      </c>
      <c r="C6284" s="10">
        <f ca="1">NPV(B6284,Project_FCF!C18:J18)+Project_FCF!B18</f>
        <v>819.19396775307837</v>
      </c>
      <c r="D6284" s="4"/>
      <c r="E6284" s="4"/>
    </row>
    <row r="6285" spans="1:5" x14ac:dyDescent="0.3">
      <c r="A6285" s="9">
        <v>6277</v>
      </c>
      <c r="B6285" s="10">
        <f t="shared" ca="1" si="98"/>
        <v>8.4455464132358854E-2</v>
      </c>
      <c r="C6285" s="10">
        <f ca="1">NPV(B6285,Project_FCF!C18:J18)+Project_FCF!B18</f>
        <v>901.50501553545678</v>
      </c>
      <c r="D6285" s="4"/>
      <c r="E6285" s="4"/>
    </row>
    <row r="6286" spans="1:5" x14ac:dyDescent="0.3">
      <c r="A6286" s="9">
        <v>6278</v>
      </c>
      <c r="B6286" s="10">
        <f t="shared" ca="1" si="98"/>
        <v>9.9875568285451216E-2</v>
      </c>
      <c r="C6286" s="10">
        <f ca="1">NPV(B6286,Project_FCF!C18:J18)+Project_FCF!B18</f>
        <v>783.53080190845185</v>
      </c>
      <c r="D6286" s="4"/>
      <c r="E6286" s="4"/>
    </row>
    <row r="6287" spans="1:5" x14ac:dyDescent="0.3">
      <c r="A6287" s="9">
        <v>6279</v>
      </c>
      <c r="B6287" s="10">
        <f t="shared" ca="1" si="98"/>
        <v>9.736284104659676E-2</v>
      </c>
      <c r="C6287" s="10">
        <f ca="1">NPV(B6287,Project_FCF!C18:J18)+Project_FCF!B18</f>
        <v>801.79751757494705</v>
      </c>
      <c r="D6287" s="4"/>
      <c r="E6287" s="4"/>
    </row>
    <row r="6288" spans="1:5" x14ac:dyDescent="0.3">
      <c r="A6288" s="9">
        <v>6280</v>
      </c>
      <c r="B6288" s="10">
        <f t="shared" ca="1" si="98"/>
        <v>6.4007220537744797E-2</v>
      </c>
      <c r="C6288" s="10">
        <f ca="1">NPV(B6288,Project_FCF!C18:J18)+Project_FCF!B18</f>
        <v>1081.9105821670494</v>
      </c>
      <c r="D6288" s="4"/>
      <c r="E6288" s="4"/>
    </row>
    <row r="6289" spans="1:5" x14ac:dyDescent="0.3">
      <c r="A6289" s="9">
        <v>6281</v>
      </c>
      <c r="B6289" s="10">
        <f t="shared" ca="1" si="98"/>
        <v>8.0597629090712997E-2</v>
      </c>
      <c r="C6289" s="10">
        <f ca="1">NPV(B6289,Project_FCF!C18:J18)+Project_FCF!B18</f>
        <v>933.32828389161227</v>
      </c>
      <c r="D6289" s="4"/>
      <c r="E6289" s="4"/>
    </row>
    <row r="6290" spans="1:5" x14ac:dyDescent="0.3">
      <c r="A6290" s="9">
        <v>6282</v>
      </c>
      <c r="B6290" s="10">
        <f t="shared" ca="1" si="98"/>
        <v>7.2825896100185694E-2</v>
      </c>
      <c r="C6290" s="10">
        <f ca="1">NPV(B6290,Project_FCF!C18:J18)+Project_FCF!B18</f>
        <v>1000.4779183573803</v>
      </c>
      <c r="D6290" s="4"/>
      <c r="E6290" s="4"/>
    </row>
    <row r="6291" spans="1:5" x14ac:dyDescent="0.3">
      <c r="A6291" s="9">
        <v>6283</v>
      </c>
      <c r="B6291" s="10">
        <f t="shared" ca="1" si="98"/>
        <v>8.4515344967107137E-2</v>
      </c>
      <c r="C6291" s="10">
        <f ca="1">NPV(B6291,Project_FCF!C18:J18)+Project_FCF!B18</f>
        <v>901.01867675636527</v>
      </c>
      <c r="D6291" s="4"/>
      <c r="E6291" s="4"/>
    </row>
    <row r="6292" spans="1:5" x14ac:dyDescent="0.3">
      <c r="A6292" s="9">
        <v>6284</v>
      </c>
      <c r="B6292" s="10">
        <f t="shared" ca="1" si="98"/>
        <v>8.3916361966337311E-2</v>
      </c>
      <c r="C6292" s="10">
        <f ca="1">NPV(B6292,Project_FCF!C18:J18)+Project_FCF!B18</f>
        <v>905.89386475390916</v>
      </c>
      <c r="D6292" s="4"/>
      <c r="E6292" s="4"/>
    </row>
    <row r="6293" spans="1:5" x14ac:dyDescent="0.3">
      <c r="A6293" s="9">
        <v>6285</v>
      </c>
      <c r="B6293" s="10">
        <f t="shared" ca="1" si="98"/>
        <v>6.7521322028152295E-2</v>
      </c>
      <c r="C6293" s="10">
        <f ca="1">NPV(B6293,Project_FCF!C18:J18)+Project_FCF!B18</f>
        <v>1048.7668986013687</v>
      </c>
      <c r="D6293" s="4"/>
      <c r="E6293" s="4"/>
    </row>
    <row r="6294" spans="1:5" x14ac:dyDescent="0.3">
      <c r="A6294" s="9">
        <v>6286</v>
      </c>
      <c r="B6294" s="10">
        <f t="shared" ca="1" si="98"/>
        <v>7.3638207407559733E-2</v>
      </c>
      <c r="C6294" s="10">
        <f ca="1">NPV(B6294,Project_FCF!C18:J18)+Project_FCF!B18</f>
        <v>993.26288259835178</v>
      </c>
      <c r="D6294" s="4"/>
      <c r="E6294" s="4"/>
    </row>
    <row r="6295" spans="1:5" x14ac:dyDescent="0.3">
      <c r="A6295" s="9">
        <v>6287</v>
      </c>
      <c r="B6295" s="10">
        <f t="shared" ca="1" si="98"/>
        <v>7.8474509855095548E-2</v>
      </c>
      <c r="C6295" s="10">
        <f ca="1">NPV(B6295,Project_FCF!C18:J18)+Project_FCF!B18</f>
        <v>951.26180084351085</v>
      </c>
      <c r="D6295" s="4"/>
      <c r="E6295" s="4"/>
    </row>
    <row r="6296" spans="1:5" x14ac:dyDescent="0.3">
      <c r="A6296" s="9">
        <v>6288</v>
      </c>
      <c r="B6296" s="10">
        <f t="shared" ca="1" si="98"/>
        <v>9.6713785642198596E-2</v>
      </c>
      <c r="C6296" s="10">
        <f ca="1">NPV(B6296,Project_FCF!C18:J18)+Project_FCF!B18</f>
        <v>806.57432771665162</v>
      </c>
      <c r="D6296" s="4"/>
      <c r="E6296" s="4"/>
    </row>
    <row r="6297" spans="1:5" x14ac:dyDescent="0.3">
      <c r="A6297" s="9">
        <v>6289</v>
      </c>
      <c r="B6297" s="10">
        <f t="shared" ca="1" si="98"/>
        <v>7.2977783516076256E-2</v>
      </c>
      <c r="C6297" s="10">
        <f ca="1">NPV(B6297,Project_FCF!C18:J18)+Project_FCF!B18</f>
        <v>999.125271089835</v>
      </c>
      <c r="D6297" s="4"/>
      <c r="E6297" s="4"/>
    </row>
    <row r="6298" spans="1:5" x14ac:dyDescent="0.3">
      <c r="A6298" s="9">
        <v>6290</v>
      </c>
      <c r="B6298" s="10">
        <f t="shared" ca="1" si="98"/>
        <v>0.10198295773273353</v>
      </c>
      <c r="C6298" s="10">
        <f ca="1">NPV(B6298,Project_FCF!C18:J18)+Project_FCF!B18</f>
        <v>768.48350030788833</v>
      </c>
      <c r="D6298" s="4"/>
      <c r="E6298" s="4"/>
    </row>
    <row r="6299" spans="1:5" x14ac:dyDescent="0.3">
      <c r="A6299" s="9">
        <v>6291</v>
      </c>
      <c r="B6299" s="10">
        <f t="shared" ca="1" si="98"/>
        <v>0.10331023543937301</v>
      </c>
      <c r="C6299" s="10">
        <f ca="1">NPV(B6299,Project_FCF!C18:J18)+Project_FCF!B18</f>
        <v>759.13187625140199</v>
      </c>
      <c r="D6299" s="4"/>
      <c r="E6299" s="4"/>
    </row>
    <row r="6300" spans="1:5" x14ac:dyDescent="0.3">
      <c r="A6300" s="9">
        <v>6292</v>
      </c>
      <c r="B6300" s="10">
        <f t="shared" ca="1" si="98"/>
        <v>6.5009149824339321E-2</v>
      </c>
      <c r="C6300" s="10">
        <f ca="1">NPV(B6300,Project_FCF!C18:J18)+Project_FCF!B18</f>
        <v>1072.3647948497719</v>
      </c>
      <c r="D6300" s="4"/>
      <c r="E6300" s="4"/>
    </row>
    <row r="6301" spans="1:5" x14ac:dyDescent="0.3">
      <c r="A6301" s="9">
        <v>6293</v>
      </c>
      <c r="B6301" s="10">
        <f t="shared" ca="1" si="98"/>
        <v>9.4470056100148248E-2</v>
      </c>
      <c r="C6301" s="10">
        <f ca="1">NPV(B6301,Project_FCF!C18:J18)+Project_FCF!B18</f>
        <v>823.2749994900289</v>
      </c>
      <c r="D6301" s="4"/>
      <c r="E6301" s="4"/>
    </row>
    <row r="6302" spans="1:5" x14ac:dyDescent="0.3">
      <c r="A6302" s="9">
        <v>6294</v>
      </c>
      <c r="B6302" s="10">
        <f t="shared" ca="1" si="98"/>
        <v>7.8523756227269245E-2</v>
      </c>
      <c r="C6302" s="10">
        <f ca="1">NPV(B6302,Project_FCF!C18:J18)+Project_FCF!B18</f>
        <v>950.84238972348908</v>
      </c>
      <c r="D6302" s="4"/>
      <c r="E6302" s="4"/>
    </row>
    <row r="6303" spans="1:5" x14ac:dyDescent="0.3">
      <c r="A6303" s="9">
        <v>6295</v>
      </c>
      <c r="B6303" s="10">
        <f t="shared" ca="1" si="98"/>
        <v>7.7677568740639233E-2</v>
      </c>
      <c r="C6303" s="10">
        <f ca="1">NPV(B6303,Project_FCF!C18:J18)+Project_FCF!B18</f>
        <v>958.07192185647796</v>
      </c>
      <c r="D6303" s="4"/>
      <c r="E6303" s="4"/>
    </row>
    <row r="6304" spans="1:5" x14ac:dyDescent="0.3">
      <c r="A6304" s="9">
        <v>6296</v>
      </c>
      <c r="B6304" s="10">
        <f t="shared" ca="1" si="98"/>
        <v>0.10381163277305441</v>
      </c>
      <c r="C6304" s="10">
        <f ca="1">NPV(B6304,Project_FCF!C18:J18)+Project_FCF!B18</f>
        <v>755.6241184562557</v>
      </c>
      <c r="D6304" s="4"/>
      <c r="E6304" s="4"/>
    </row>
    <row r="6305" spans="1:5" x14ac:dyDescent="0.3">
      <c r="A6305" s="9">
        <v>6297</v>
      </c>
      <c r="B6305" s="10">
        <f t="shared" ca="1" si="98"/>
        <v>9.4646117356276691E-2</v>
      </c>
      <c r="C6305" s="10">
        <f ca="1">NPV(B6305,Project_FCF!C18:J18)+Project_FCF!B18</f>
        <v>821.95391975912617</v>
      </c>
      <c r="D6305" s="4"/>
      <c r="E6305" s="4"/>
    </row>
    <row r="6306" spans="1:5" x14ac:dyDescent="0.3">
      <c r="A6306" s="9">
        <v>6298</v>
      </c>
      <c r="B6306" s="10">
        <f t="shared" ca="1" si="98"/>
        <v>6.5205456501021608E-2</v>
      </c>
      <c r="C6306" s="10">
        <f ca="1">NPV(B6306,Project_FCF!C18:J18)+Project_FCF!B18</f>
        <v>1070.5035332492228</v>
      </c>
      <c r="D6306" s="4"/>
      <c r="E6306" s="4"/>
    </row>
    <row r="6307" spans="1:5" x14ac:dyDescent="0.3">
      <c r="A6307" s="9">
        <v>6299</v>
      </c>
      <c r="B6307" s="10">
        <f t="shared" ca="1" si="98"/>
        <v>8.9437017564168414E-2</v>
      </c>
      <c r="C6307" s="10">
        <f ca="1">NPV(B6307,Project_FCF!C18:J18)+Project_FCF!B18</f>
        <v>861.82131753908675</v>
      </c>
      <c r="D6307" s="4"/>
      <c r="E6307" s="4"/>
    </row>
    <row r="6308" spans="1:5" x14ac:dyDescent="0.3">
      <c r="A6308" s="9">
        <v>6300</v>
      </c>
      <c r="B6308" s="10">
        <f t="shared" ca="1" si="98"/>
        <v>9.2691738808144408E-2</v>
      </c>
      <c r="C6308" s="10">
        <f ca="1">NPV(B6308,Project_FCF!C18:J18)+Project_FCF!B18</f>
        <v>836.72114849381387</v>
      </c>
      <c r="D6308" s="4"/>
      <c r="E6308" s="4"/>
    </row>
    <row r="6309" spans="1:5" x14ac:dyDescent="0.3">
      <c r="A6309" s="9">
        <v>6301</v>
      </c>
      <c r="B6309" s="10">
        <f t="shared" ca="1" si="98"/>
        <v>8.5569851968209654E-2</v>
      </c>
      <c r="C6309" s="10">
        <f ca="1">NPV(B6309,Project_FCF!C18:J18)+Project_FCF!B18</f>
        <v>892.49180017080971</v>
      </c>
      <c r="D6309" s="4"/>
      <c r="E6309" s="4"/>
    </row>
    <row r="6310" spans="1:5" x14ac:dyDescent="0.3">
      <c r="A6310" s="9">
        <v>6302</v>
      </c>
      <c r="B6310" s="10">
        <f t="shared" ca="1" si="98"/>
        <v>8.2068919840262156E-2</v>
      </c>
      <c r="C6310" s="10">
        <f ca="1">NPV(B6310,Project_FCF!C18:J18)+Project_FCF!B18</f>
        <v>921.07674983056427</v>
      </c>
      <c r="D6310" s="4"/>
      <c r="E6310" s="4"/>
    </row>
    <row r="6311" spans="1:5" x14ac:dyDescent="0.3">
      <c r="A6311" s="9">
        <v>6303</v>
      </c>
      <c r="B6311" s="10">
        <f t="shared" ca="1" si="98"/>
        <v>9.9911599731549755E-2</v>
      </c>
      <c r="C6311" s="10">
        <f ca="1">NPV(B6311,Project_FCF!C18:J18)+Project_FCF!B18</f>
        <v>783.2714531795466</v>
      </c>
      <c r="D6311" s="4"/>
      <c r="E6311" s="4"/>
    </row>
    <row r="6312" spans="1:5" x14ac:dyDescent="0.3">
      <c r="A6312" s="9">
        <v>6304</v>
      </c>
      <c r="B6312" s="10">
        <f t="shared" ca="1" si="98"/>
        <v>7.4669205073361306E-2</v>
      </c>
      <c r="C6312" s="10">
        <f ca="1">NPV(B6312,Project_FCF!C18:J18)+Project_FCF!B18</f>
        <v>984.17268598678243</v>
      </c>
      <c r="D6312" s="4"/>
      <c r="E6312" s="4"/>
    </row>
    <row r="6313" spans="1:5" x14ac:dyDescent="0.3">
      <c r="A6313" s="9">
        <v>6305</v>
      </c>
      <c r="B6313" s="10">
        <f t="shared" ca="1" si="98"/>
        <v>0.10213578464731732</v>
      </c>
      <c r="C6313" s="10">
        <f ca="1">NPV(B6313,Project_FCF!C18:J18)+Project_FCF!B18</f>
        <v>767.40181748180567</v>
      </c>
      <c r="D6313" s="4"/>
      <c r="E6313" s="4"/>
    </row>
    <row r="6314" spans="1:5" x14ac:dyDescent="0.3">
      <c r="A6314" s="9">
        <v>6306</v>
      </c>
      <c r="B6314" s="10">
        <f t="shared" ca="1" si="98"/>
        <v>9.8972678779674056E-2</v>
      </c>
      <c r="C6314" s="10">
        <f ca="1">NPV(B6314,Project_FCF!C18:J18)+Project_FCF!B18</f>
        <v>790.05343849529049</v>
      </c>
      <c r="D6314" s="4"/>
      <c r="E6314" s="4"/>
    </row>
    <row r="6315" spans="1:5" x14ac:dyDescent="0.3">
      <c r="A6315" s="9">
        <v>6307</v>
      </c>
      <c r="B6315" s="10">
        <f t="shared" ca="1" si="98"/>
        <v>6.9188888205731311E-2</v>
      </c>
      <c r="C6315" s="10">
        <f ca="1">NPV(B6315,Project_FCF!C18:J18)+Project_FCF!B18</f>
        <v>1033.3643242607295</v>
      </c>
      <c r="D6315" s="4"/>
      <c r="E6315" s="4"/>
    </row>
    <row r="6316" spans="1:5" x14ac:dyDescent="0.3">
      <c r="A6316" s="9">
        <v>6308</v>
      </c>
      <c r="B6316" s="10">
        <f t="shared" ca="1" si="98"/>
        <v>6.8382900913404807E-2</v>
      </c>
      <c r="C6316" s="10">
        <f ca="1">NPV(B6316,Project_FCF!C18:J18)+Project_FCF!B18</f>
        <v>1040.7830799034339</v>
      </c>
      <c r="D6316" s="4"/>
      <c r="E6316" s="4"/>
    </row>
    <row r="6317" spans="1:5" x14ac:dyDescent="0.3">
      <c r="A6317" s="9">
        <v>6309</v>
      </c>
      <c r="B6317" s="10">
        <f t="shared" ca="1" si="98"/>
        <v>0.10325003702938512</v>
      </c>
      <c r="C6317" s="10">
        <f ca="1">NPV(B6317,Project_FCF!C18:J18)+Project_FCF!B18</f>
        <v>759.55393855122043</v>
      </c>
      <c r="D6317" s="4"/>
      <c r="E6317" s="4"/>
    </row>
    <row r="6318" spans="1:5" x14ac:dyDescent="0.3">
      <c r="A6318" s="9">
        <v>6310</v>
      </c>
      <c r="B6318" s="10">
        <f t="shared" ca="1" si="98"/>
        <v>6.9834904277165905E-2</v>
      </c>
      <c r="C6318" s="10">
        <f ca="1">NPV(B6318,Project_FCF!C18:J18)+Project_FCF!B18</f>
        <v>1027.452630455118</v>
      </c>
      <c r="D6318" s="4"/>
      <c r="E6318" s="4"/>
    </row>
    <row r="6319" spans="1:5" x14ac:dyDescent="0.3">
      <c r="A6319" s="9">
        <v>6311</v>
      </c>
      <c r="B6319" s="10">
        <f t="shared" ca="1" si="98"/>
        <v>8.6936128964837753E-2</v>
      </c>
      <c r="C6319" s="10">
        <f ca="1">NPV(B6319,Project_FCF!C18:J18)+Project_FCF!B18</f>
        <v>881.54894008217047</v>
      </c>
      <c r="D6319" s="4"/>
      <c r="E6319" s="4"/>
    </row>
    <row r="6320" spans="1:5" x14ac:dyDescent="0.3">
      <c r="A6320" s="9">
        <v>6312</v>
      </c>
      <c r="B6320" s="10">
        <f t="shared" ca="1" si="98"/>
        <v>8.1513421681190495E-2</v>
      </c>
      <c r="C6320" s="10">
        <f ca="1">NPV(B6320,Project_FCF!C18:J18)+Project_FCF!B18</f>
        <v>925.68563063219722</v>
      </c>
      <c r="D6320" s="4"/>
      <c r="E6320" s="4"/>
    </row>
    <row r="6321" spans="1:5" x14ac:dyDescent="0.3">
      <c r="A6321" s="9">
        <v>6313</v>
      </c>
      <c r="B6321" s="10">
        <f t="shared" ca="1" si="98"/>
        <v>6.772554001829735E-2</v>
      </c>
      <c r="C6321" s="10">
        <f ca="1">NPV(B6321,Project_FCF!C18:J18)+Project_FCF!B18</f>
        <v>1046.8695043505134</v>
      </c>
      <c r="D6321" s="4"/>
      <c r="E6321" s="4"/>
    </row>
    <row r="6322" spans="1:5" x14ac:dyDescent="0.3">
      <c r="A6322" s="9">
        <v>6314</v>
      </c>
      <c r="B6322" s="10">
        <f t="shared" ca="1" si="98"/>
        <v>9.6726893630334071E-2</v>
      </c>
      <c r="C6322" s="10">
        <f ca="1">NPV(B6322,Project_FCF!C18:J18)+Project_FCF!B18</f>
        <v>806.47761833866093</v>
      </c>
      <c r="D6322" s="4"/>
      <c r="E6322" s="4"/>
    </row>
    <row r="6323" spans="1:5" x14ac:dyDescent="0.3">
      <c r="A6323" s="9">
        <v>6315</v>
      </c>
      <c r="B6323" s="10">
        <f t="shared" ca="1" si="98"/>
        <v>6.738210957326099E-2</v>
      </c>
      <c r="C6323" s="10">
        <f ca="1">NPV(B6323,Project_FCF!C18:J18)+Project_FCF!B18</f>
        <v>1050.0621141110266</v>
      </c>
      <c r="D6323" s="4"/>
      <c r="E6323" s="4"/>
    </row>
    <row r="6324" spans="1:5" x14ac:dyDescent="0.3">
      <c r="A6324" s="9">
        <v>6316</v>
      </c>
      <c r="B6324" s="10">
        <f t="shared" ca="1" si="98"/>
        <v>0.10001773181162815</v>
      </c>
      <c r="C6324" s="10">
        <f ca="1">NPV(B6324,Project_FCF!C18:J18)+Project_FCF!B18</f>
        <v>782.50795293148917</v>
      </c>
      <c r="D6324" s="4"/>
      <c r="E6324" s="4"/>
    </row>
    <row r="6325" spans="1:5" x14ac:dyDescent="0.3">
      <c r="A6325" s="9">
        <v>6317</v>
      </c>
      <c r="B6325" s="10">
        <f t="shared" ca="1" si="98"/>
        <v>9.5299814411046194E-2</v>
      </c>
      <c r="C6325" s="10">
        <f ca="1">NPV(B6325,Project_FCF!C18:J18)+Project_FCF!B18</f>
        <v>817.06476269738778</v>
      </c>
      <c r="D6325" s="4"/>
      <c r="E6325" s="4"/>
    </row>
    <row r="6326" spans="1:5" x14ac:dyDescent="0.3">
      <c r="A6326" s="9">
        <v>6318</v>
      </c>
      <c r="B6326" s="10">
        <f t="shared" ca="1" si="98"/>
        <v>9.5163820099747526E-2</v>
      </c>
      <c r="C6326" s="10">
        <f ca="1">NPV(B6326,Project_FCF!C18:J18)+Project_FCF!B18</f>
        <v>818.07984056895657</v>
      </c>
      <c r="D6326" s="4"/>
      <c r="E6326" s="4"/>
    </row>
    <row r="6327" spans="1:5" x14ac:dyDescent="0.3">
      <c r="A6327" s="9">
        <v>6319</v>
      </c>
      <c r="B6327" s="10">
        <f t="shared" ca="1" si="98"/>
        <v>9.8914685190445301E-2</v>
      </c>
      <c r="C6327" s="10">
        <f ca="1">NPV(B6327,Project_FCF!C18:J18)+Project_FCF!B18</f>
        <v>790.47396230938557</v>
      </c>
      <c r="D6327" s="4"/>
      <c r="E6327" s="4"/>
    </row>
    <row r="6328" spans="1:5" x14ac:dyDescent="0.3">
      <c r="A6328" s="9">
        <v>6320</v>
      </c>
      <c r="B6328" s="10">
        <f t="shared" ca="1" si="98"/>
        <v>6.7840014361717577E-2</v>
      </c>
      <c r="C6328" s="10">
        <f ca="1">NPV(B6328,Project_FCF!C18:J18)+Project_FCF!B18</f>
        <v>1045.8072838893104</v>
      </c>
      <c r="D6328" s="4"/>
      <c r="E6328" s="4"/>
    </row>
    <row r="6329" spans="1:5" x14ac:dyDescent="0.3">
      <c r="A6329" s="9">
        <v>6321</v>
      </c>
      <c r="B6329" s="10">
        <f t="shared" ca="1" si="98"/>
        <v>8.6959565785594106E-2</v>
      </c>
      <c r="C6329" s="10">
        <f ca="1">NPV(B6329,Project_FCF!C18:J18)+Project_FCF!B18</f>
        <v>881.36225535054677</v>
      </c>
      <c r="D6329" s="4"/>
      <c r="E6329" s="4"/>
    </row>
    <row r="6330" spans="1:5" x14ac:dyDescent="0.3">
      <c r="A6330" s="9">
        <v>6322</v>
      </c>
      <c r="B6330" s="10">
        <f t="shared" ca="1" si="98"/>
        <v>7.3447879187587606E-2</v>
      </c>
      <c r="C6330" s="10">
        <f ca="1">NPV(B6330,Project_FCF!C18:J18)+Project_FCF!B18</f>
        <v>994.9491945395514</v>
      </c>
      <c r="D6330" s="4"/>
      <c r="E6330" s="4"/>
    </row>
    <row r="6331" spans="1:5" x14ac:dyDescent="0.3">
      <c r="A6331" s="9">
        <v>6323</v>
      </c>
      <c r="B6331" s="10">
        <f t="shared" ca="1" si="98"/>
        <v>0.10144532925690779</v>
      </c>
      <c r="C6331" s="10">
        <f ca="1">NPV(B6331,Project_FCF!C18:J18)+Project_FCF!B18</f>
        <v>772.29894831430897</v>
      </c>
      <c r="D6331" s="4"/>
      <c r="E6331" s="4"/>
    </row>
    <row r="6332" spans="1:5" x14ac:dyDescent="0.3">
      <c r="A6332" s="9">
        <v>6324</v>
      </c>
      <c r="B6332" s="10">
        <f t="shared" ca="1" si="98"/>
        <v>7.7127276508325376E-2</v>
      </c>
      <c r="C6332" s="10">
        <f ca="1">NPV(B6332,Project_FCF!C18:J18)+Project_FCF!B18</f>
        <v>962.799630848682</v>
      </c>
      <c r="D6332" s="4"/>
      <c r="E6332" s="4"/>
    </row>
    <row r="6333" spans="1:5" x14ac:dyDescent="0.3">
      <c r="A6333" s="9">
        <v>6325</v>
      </c>
      <c r="B6333" s="10">
        <f t="shared" ca="1" si="98"/>
        <v>8.6689868495069641E-2</v>
      </c>
      <c r="C6333" s="10">
        <f ca="1">NPV(B6333,Project_FCF!C18:J18)+Project_FCF!B18</f>
        <v>883.51260120704956</v>
      </c>
      <c r="D6333" s="4"/>
      <c r="E6333" s="4"/>
    </row>
    <row r="6334" spans="1:5" x14ac:dyDescent="0.3">
      <c r="A6334" s="9">
        <v>6326</v>
      </c>
      <c r="B6334" s="10">
        <f t="shared" ca="1" si="98"/>
        <v>7.9232855365792498E-2</v>
      </c>
      <c r="C6334" s="10">
        <f ca="1">NPV(B6334,Project_FCF!C18:J18)+Project_FCF!B18</f>
        <v>944.82145967760675</v>
      </c>
      <c r="D6334" s="4"/>
      <c r="E6334" s="4"/>
    </row>
    <row r="6335" spans="1:5" x14ac:dyDescent="0.3">
      <c r="A6335" s="9">
        <v>6327</v>
      </c>
      <c r="B6335" s="10">
        <f t="shared" ca="1" si="98"/>
        <v>8.7895667952145026E-2</v>
      </c>
      <c r="C6335" s="10">
        <f ca="1">NPV(B6335,Project_FCF!C18:J18)+Project_FCF!B18</f>
        <v>873.93390283883173</v>
      </c>
      <c r="D6335" s="4"/>
      <c r="E6335" s="4"/>
    </row>
    <row r="6336" spans="1:5" x14ac:dyDescent="0.3">
      <c r="A6336" s="9">
        <v>6328</v>
      </c>
      <c r="B6336" s="10">
        <f t="shared" ca="1" si="98"/>
        <v>9.7825276467940425E-2</v>
      </c>
      <c r="C6336" s="10">
        <f ca="1">NPV(B6336,Project_FCF!C18:J18)+Project_FCF!B18</f>
        <v>798.40887461987086</v>
      </c>
      <c r="D6336" s="4"/>
      <c r="E6336" s="4"/>
    </row>
    <row r="6337" spans="1:5" x14ac:dyDescent="0.3">
      <c r="A6337" s="9">
        <v>6329</v>
      </c>
      <c r="B6337" s="10">
        <f t="shared" ca="1" si="98"/>
        <v>0.10021018006524793</v>
      </c>
      <c r="C6337" s="10">
        <f ca="1">NPV(B6337,Project_FCF!C18:J18)+Project_FCF!B18</f>
        <v>781.12511067351193</v>
      </c>
      <c r="D6337" s="4"/>
      <c r="E6337" s="4"/>
    </row>
    <row r="6338" spans="1:5" x14ac:dyDescent="0.3">
      <c r="A6338" s="9">
        <v>6330</v>
      </c>
      <c r="B6338" s="10">
        <f t="shared" ca="1" si="98"/>
        <v>9.3511009916717958E-2</v>
      </c>
      <c r="C6338" s="10">
        <f ca="1">NPV(B6338,Project_FCF!C18:J18)+Project_FCF!B18</f>
        <v>830.5032535908897</v>
      </c>
      <c r="D6338" s="4"/>
      <c r="E6338" s="4"/>
    </row>
    <row r="6339" spans="1:5" x14ac:dyDescent="0.3">
      <c r="A6339" s="9">
        <v>6331</v>
      </c>
      <c r="B6339" s="10">
        <f t="shared" ca="1" si="98"/>
        <v>7.1885309354135007E-2</v>
      </c>
      <c r="C6339" s="10">
        <f ca="1">NPV(B6339,Project_FCF!C18:J18)+Project_FCF!B18</f>
        <v>1008.8911345995316</v>
      </c>
      <c r="D6339" s="4"/>
      <c r="E6339" s="4"/>
    </row>
    <row r="6340" spans="1:5" x14ac:dyDescent="0.3">
      <c r="A6340" s="9">
        <v>6332</v>
      </c>
      <c r="B6340" s="10">
        <f t="shared" ca="1" si="98"/>
        <v>9.8668483655382971E-2</v>
      </c>
      <c r="C6340" s="10">
        <f ca="1">NPV(B6340,Project_FCF!C18:J18)+Project_FCF!B18</f>
        <v>792.26133628648677</v>
      </c>
      <c r="D6340" s="4"/>
      <c r="E6340" s="4"/>
    </row>
    <row r="6341" spans="1:5" x14ac:dyDescent="0.3">
      <c r="A6341" s="9">
        <v>6333</v>
      </c>
      <c r="B6341" s="10">
        <f t="shared" ca="1" si="98"/>
        <v>6.57225670025888E-2</v>
      </c>
      <c r="C6341" s="10">
        <f ca="1">NPV(B6341,Project_FCF!C18:J18)+Project_FCF!B18</f>
        <v>1065.6146943511212</v>
      </c>
      <c r="D6341" s="4"/>
      <c r="E6341" s="4"/>
    </row>
    <row r="6342" spans="1:5" x14ac:dyDescent="0.3">
      <c r="A6342" s="9">
        <v>6334</v>
      </c>
      <c r="B6342" s="10">
        <f t="shared" ca="1" si="98"/>
        <v>8.0457480098965944E-2</v>
      </c>
      <c r="C6342" s="10">
        <f ca="1">NPV(B6342,Project_FCF!C18:J18)+Project_FCF!B18</f>
        <v>934.50279053749659</v>
      </c>
      <c r="D6342" s="4"/>
      <c r="E6342" s="4"/>
    </row>
    <row r="6343" spans="1:5" x14ac:dyDescent="0.3">
      <c r="A6343" s="9">
        <v>6335</v>
      </c>
      <c r="B6343" s="10">
        <f t="shared" ca="1" si="98"/>
        <v>9.8385995248455538E-2</v>
      </c>
      <c r="C6343" s="10">
        <f ca="1">NPV(B6343,Project_FCF!C18:J18)+Project_FCF!B18</f>
        <v>794.31636953141697</v>
      </c>
      <c r="D6343" s="4"/>
      <c r="E6343" s="4"/>
    </row>
    <row r="6344" spans="1:5" x14ac:dyDescent="0.3">
      <c r="A6344" s="9">
        <v>6336</v>
      </c>
      <c r="B6344" s="10">
        <f t="shared" ca="1" si="98"/>
        <v>8.0881321155008942E-2</v>
      </c>
      <c r="C6344" s="10">
        <f ca="1">NPV(B6344,Project_FCF!C18:J18)+Project_FCF!B18</f>
        <v>930.95482176507198</v>
      </c>
      <c r="D6344" s="4"/>
      <c r="E6344" s="4"/>
    </row>
    <row r="6345" spans="1:5" x14ac:dyDescent="0.3">
      <c r="A6345" s="9">
        <v>6337</v>
      </c>
      <c r="B6345" s="10">
        <f t="shared" ref="B6345:B6408" ca="1" si="99">$B$4+RAND()*($B$5-$B$4)</f>
        <v>7.3568738110279266E-2</v>
      </c>
      <c r="C6345" s="10">
        <f ca="1">NPV(B6345,Project_FCF!C18:J18)+Project_FCF!B18</f>
        <v>993.87808453500543</v>
      </c>
      <c r="D6345" s="4"/>
      <c r="E6345" s="4"/>
    </row>
    <row r="6346" spans="1:5" x14ac:dyDescent="0.3">
      <c r="A6346" s="9">
        <v>6338</v>
      </c>
      <c r="B6346" s="10">
        <f t="shared" ca="1" si="99"/>
        <v>6.5076248698761038E-2</v>
      </c>
      <c r="C6346" s="10">
        <f ca="1">NPV(B6346,Project_FCF!C18:J18)+Project_FCF!B18</f>
        <v>1071.7282719556754</v>
      </c>
      <c r="D6346" s="4"/>
      <c r="E6346" s="4"/>
    </row>
    <row r="6347" spans="1:5" x14ac:dyDescent="0.3">
      <c r="A6347" s="9">
        <v>6339</v>
      </c>
      <c r="B6347" s="10">
        <f t="shared" ca="1" si="99"/>
        <v>6.6924295442789106E-2</v>
      </c>
      <c r="C6347" s="10">
        <f ca="1">NPV(B6347,Project_FCF!C18:J18)+Project_FCF!B18</f>
        <v>1054.3318144126024</v>
      </c>
      <c r="D6347" s="4"/>
      <c r="E6347" s="4"/>
    </row>
    <row r="6348" spans="1:5" x14ac:dyDescent="0.3">
      <c r="A6348" s="9">
        <v>6340</v>
      </c>
      <c r="B6348" s="10">
        <f t="shared" ca="1" si="99"/>
        <v>8.7436899978373783E-2</v>
      </c>
      <c r="C6348" s="10">
        <f ca="1">NPV(B6348,Project_FCF!C18:J18)+Project_FCF!B18</f>
        <v>877.56756878600299</v>
      </c>
      <c r="D6348" s="4"/>
      <c r="E6348" s="4"/>
    </row>
    <row r="6349" spans="1:5" x14ac:dyDescent="0.3">
      <c r="A6349" s="9">
        <v>6341</v>
      </c>
      <c r="B6349" s="10">
        <f t="shared" ca="1" si="99"/>
        <v>9.6973537643724184E-2</v>
      </c>
      <c r="C6349" s="10">
        <f ca="1">NPV(B6349,Project_FCF!C18:J18)+Project_FCF!B18</f>
        <v>804.65974627871537</v>
      </c>
      <c r="D6349" s="4"/>
      <c r="E6349" s="4"/>
    </row>
    <row r="6350" spans="1:5" x14ac:dyDescent="0.3">
      <c r="A6350" s="9">
        <v>6342</v>
      </c>
      <c r="B6350" s="10">
        <f t="shared" ca="1" si="99"/>
        <v>0.1002631278870563</v>
      </c>
      <c r="C6350" s="10">
        <f ca="1">NPV(B6350,Project_FCF!C18:J18)+Project_FCF!B18</f>
        <v>780.7450152278052</v>
      </c>
      <c r="D6350" s="4"/>
      <c r="E6350" s="4"/>
    </row>
    <row r="6351" spans="1:5" x14ac:dyDescent="0.3">
      <c r="A6351" s="9">
        <v>6343</v>
      </c>
      <c r="B6351" s="10">
        <f t="shared" ca="1" si="99"/>
        <v>7.0886876823268954E-2</v>
      </c>
      <c r="C6351" s="10">
        <f ca="1">NPV(B6351,Project_FCF!C18:J18)+Project_FCF!B18</f>
        <v>1017.8914119736239</v>
      </c>
      <c r="D6351" s="4"/>
      <c r="E6351" s="4"/>
    </row>
    <row r="6352" spans="1:5" x14ac:dyDescent="0.3">
      <c r="A6352" s="9">
        <v>6344</v>
      </c>
      <c r="B6352" s="10">
        <f t="shared" ca="1" si="99"/>
        <v>0.1000198720542102</v>
      </c>
      <c r="C6352" s="10">
        <f ca="1">NPV(B6352,Project_FCF!C18:J18)+Project_FCF!B18</f>
        <v>782.49256278448479</v>
      </c>
      <c r="D6352" s="4"/>
      <c r="E6352" s="4"/>
    </row>
    <row r="6353" spans="1:5" x14ac:dyDescent="0.3">
      <c r="A6353" s="9">
        <v>6345</v>
      </c>
      <c r="B6353" s="10">
        <f t="shared" ca="1" si="99"/>
        <v>9.1267913312667495E-2</v>
      </c>
      <c r="C6353" s="10">
        <f ca="1">NPV(B6353,Project_FCF!C18:J18)+Project_FCF!B18</f>
        <v>847.62275248998867</v>
      </c>
      <c r="D6353" s="4"/>
      <c r="E6353" s="4"/>
    </row>
    <row r="6354" spans="1:5" x14ac:dyDescent="0.3">
      <c r="A6354" s="9">
        <v>6346</v>
      </c>
      <c r="B6354" s="10">
        <f t="shared" ca="1" si="99"/>
        <v>9.4803941165834071E-2</v>
      </c>
      <c r="C6354" s="10">
        <f ca="1">NPV(B6354,Project_FCF!C18:J18)+Project_FCF!B18</f>
        <v>820.77122955450091</v>
      </c>
      <c r="D6354" s="4"/>
      <c r="E6354" s="4"/>
    </row>
    <row r="6355" spans="1:5" x14ac:dyDescent="0.3">
      <c r="A6355" s="9">
        <v>6347</v>
      </c>
      <c r="B6355" s="10">
        <f t="shared" ca="1" si="99"/>
        <v>7.4403977723745102E-2</v>
      </c>
      <c r="C6355" s="10">
        <f ca="1">NPV(B6355,Project_FCF!C18:J18)+Project_FCF!B18</f>
        <v>986.50401610577978</v>
      </c>
      <c r="D6355" s="4"/>
      <c r="E6355" s="4"/>
    </row>
    <row r="6356" spans="1:5" x14ac:dyDescent="0.3">
      <c r="A6356" s="9">
        <v>6348</v>
      </c>
      <c r="B6356" s="10">
        <f t="shared" ca="1" si="99"/>
        <v>8.2493733652832912E-2</v>
      </c>
      <c r="C6356" s="10">
        <f ca="1">NPV(B6356,Project_FCF!C18:J18)+Project_FCF!B18</f>
        <v>917.56580188884755</v>
      </c>
      <c r="D6356" s="4"/>
      <c r="E6356" s="4"/>
    </row>
    <row r="6357" spans="1:5" x14ac:dyDescent="0.3">
      <c r="A6357" s="9">
        <v>6349</v>
      </c>
      <c r="B6357" s="10">
        <f t="shared" ca="1" si="99"/>
        <v>7.9272055811216158E-2</v>
      </c>
      <c r="C6357" s="10">
        <f ca="1">NPV(B6357,Project_FCF!C18:J18)+Project_FCF!B18</f>
        <v>944.48959951021766</v>
      </c>
      <c r="D6357" s="4"/>
      <c r="E6357" s="4"/>
    </row>
    <row r="6358" spans="1:5" x14ac:dyDescent="0.3">
      <c r="A6358" s="9">
        <v>6350</v>
      </c>
      <c r="B6358" s="10">
        <f t="shared" ca="1" si="99"/>
        <v>8.1886812612186347E-2</v>
      </c>
      <c r="C6358" s="10">
        <f ca="1">NPV(B6358,Project_FCF!C18:J18)+Project_FCF!B18</f>
        <v>922.58542951093409</v>
      </c>
      <c r="D6358" s="4"/>
      <c r="E6358" s="4"/>
    </row>
    <row r="6359" spans="1:5" x14ac:dyDescent="0.3">
      <c r="A6359" s="9">
        <v>6351</v>
      </c>
      <c r="B6359" s="10">
        <f t="shared" ca="1" si="99"/>
        <v>9.1426268422829415E-2</v>
      </c>
      <c r="C6359" s="10">
        <f ca="1">NPV(B6359,Project_FCF!C18:J18)+Project_FCF!B18</f>
        <v>846.40427312973839</v>
      </c>
      <c r="D6359" s="4"/>
      <c r="E6359" s="4"/>
    </row>
    <row r="6360" spans="1:5" x14ac:dyDescent="0.3">
      <c r="A6360" s="9">
        <v>6352</v>
      </c>
      <c r="B6360" s="10">
        <f t="shared" ca="1" si="99"/>
        <v>9.5849781505584153E-2</v>
      </c>
      <c r="C6360" s="10">
        <f ca="1">NPV(B6360,Project_FCF!C18:J18)+Project_FCF!B18</f>
        <v>812.97072095722706</v>
      </c>
      <c r="D6360" s="4"/>
      <c r="E6360" s="4"/>
    </row>
    <row r="6361" spans="1:5" x14ac:dyDescent="0.3">
      <c r="A6361" s="9">
        <v>6353</v>
      </c>
      <c r="B6361" s="10">
        <f t="shared" ca="1" si="99"/>
        <v>6.4359249283049855E-2</v>
      </c>
      <c r="C6361" s="10">
        <f ca="1">NPV(B6361,Project_FCF!C18:J18)+Project_FCF!B18</f>
        <v>1078.5478539165497</v>
      </c>
      <c r="D6361" s="4"/>
      <c r="E6361" s="4"/>
    </row>
    <row r="6362" spans="1:5" x14ac:dyDescent="0.3">
      <c r="A6362" s="9">
        <v>6354</v>
      </c>
      <c r="B6362" s="10">
        <f t="shared" ca="1" si="99"/>
        <v>9.4145162783160471E-2</v>
      </c>
      <c r="C6362" s="10">
        <f ca="1">NPV(B6362,Project_FCF!C18:J18)+Project_FCF!B18</f>
        <v>825.71762357337116</v>
      </c>
      <c r="D6362" s="4"/>
      <c r="E6362" s="4"/>
    </row>
    <row r="6363" spans="1:5" x14ac:dyDescent="0.3">
      <c r="A6363" s="9">
        <v>6355</v>
      </c>
      <c r="B6363" s="10">
        <f t="shared" ca="1" si="99"/>
        <v>9.6756613375873088E-2</v>
      </c>
      <c r="C6363" s="10">
        <f ca="1">NPV(B6363,Project_FCF!C18:J18)+Project_FCF!B18</f>
        <v>806.2583857535617</v>
      </c>
      <c r="D6363" s="4"/>
      <c r="E6363" s="4"/>
    </row>
    <row r="6364" spans="1:5" x14ac:dyDescent="0.3">
      <c r="A6364" s="9">
        <v>6356</v>
      </c>
      <c r="B6364" s="10">
        <f t="shared" ca="1" si="99"/>
        <v>9.8481952857766286E-2</v>
      </c>
      <c r="C6364" s="10">
        <f ca="1">NPV(B6364,Project_FCF!C18:J18)+Project_FCF!B18</f>
        <v>793.61779481149665</v>
      </c>
      <c r="D6364" s="4"/>
      <c r="E6364" s="4"/>
    </row>
    <row r="6365" spans="1:5" x14ac:dyDescent="0.3">
      <c r="A6365" s="9">
        <v>6357</v>
      </c>
      <c r="B6365" s="10">
        <f t="shared" ca="1" si="99"/>
        <v>9.4337147510809433E-2</v>
      </c>
      <c r="C6365" s="10">
        <f ca="1">NPV(B6365,Project_FCF!C18:J18)+Project_FCF!B18</f>
        <v>824.2734874035466</v>
      </c>
      <c r="D6365" s="4"/>
      <c r="E6365" s="4"/>
    </row>
    <row r="6366" spans="1:5" x14ac:dyDescent="0.3">
      <c r="A6366" s="9">
        <v>6358</v>
      </c>
      <c r="B6366" s="10">
        <f t="shared" ca="1" si="99"/>
        <v>8.7946200842150879E-2</v>
      </c>
      <c r="C6366" s="10">
        <f ca="1">NPV(B6366,Project_FCF!C18:J18)+Project_FCF!B18</f>
        <v>873.53445982198537</v>
      </c>
      <c r="D6366" s="4"/>
      <c r="E6366" s="4"/>
    </row>
    <row r="6367" spans="1:5" x14ac:dyDescent="0.3">
      <c r="A6367" s="9">
        <v>6359</v>
      </c>
      <c r="B6367" s="10">
        <f t="shared" ca="1" si="99"/>
        <v>0.10279293667906189</v>
      </c>
      <c r="C6367" s="10">
        <f ca="1">NPV(B6367,Project_FCF!C18:J18)+Project_FCF!B18</f>
        <v>762.76518317045634</v>
      </c>
      <c r="D6367" s="4"/>
      <c r="E6367" s="4"/>
    </row>
    <row r="6368" spans="1:5" x14ac:dyDescent="0.3">
      <c r="A6368" s="9">
        <v>6360</v>
      </c>
      <c r="B6368" s="10">
        <f t="shared" ca="1" si="99"/>
        <v>6.9900171807020531E-2</v>
      </c>
      <c r="C6368" s="10">
        <f ca="1">NPV(B6368,Project_FCF!C18:J18)+Project_FCF!B18</f>
        <v>1026.8570716093527</v>
      </c>
      <c r="D6368" s="4"/>
      <c r="E6368" s="4"/>
    </row>
    <row r="6369" spans="1:5" x14ac:dyDescent="0.3">
      <c r="A6369" s="9">
        <v>6361</v>
      </c>
      <c r="B6369" s="10">
        <f t="shared" ca="1" si="99"/>
        <v>8.7455582483550218E-2</v>
      </c>
      <c r="C6369" s="10">
        <f ca="1">NPV(B6369,Project_FCF!C18:J18)+Project_FCF!B18</f>
        <v>877.41933762041572</v>
      </c>
      <c r="D6369" s="4"/>
      <c r="E6369" s="4"/>
    </row>
    <row r="6370" spans="1:5" x14ac:dyDescent="0.3">
      <c r="A6370" s="9">
        <v>6362</v>
      </c>
      <c r="B6370" s="10">
        <f t="shared" ca="1" si="99"/>
        <v>7.0268048571083735E-2</v>
      </c>
      <c r="C6370" s="10">
        <f ca="1">NPV(B6370,Project_FCF!C18:J18)+Project_FCF!B18</f>
        <v>1023.5060685972667</v>
      </c>
      <c r="D6370" s="4"/>
      <c r="E6370" s="4"/>
    </row>
    <row r="6371" spans="1:5" x14ac:dyDescent="0.3">
      <c r="A6371" s="9">
        <v>6363</v>
      </c>
      <c r="B6371" s="10">
        <f t="shared" ca="1" si="99"/>
        <v>8.0696289464291526E-2</v>
      </c>
      <c r="C6371" s="10">
        <f ca="1">NPV(B6371,Project_FCF!C18:J18)+Project_FCF!B18</f>
        <v>932.50225231140189</v>
      </c>
      <c r="D6371" s="4"/>
      <c r="E6371" s="4"/>
    </row>
    <row r="6372" spans="1:5" x14ac:dyDescent="0.3">
      <c r="A6372" s="9">
        <v>6364</v>
      </c>
      <c r="B6372" s="10">
        <f t="shared" ca="1" si="99"/>
        <v>8.5669000053112704E-2</v>
      </c>
      <c r="C6372" s="10">
        <f ca="1">NPV(B6372,Project_FCF!C18:J18)+Project_FCF!B18</f>
        <v>891.69372223615392</v>
      </c>
      <c r="D6372" s="4"/>
      <c r="E6372" s="4"/>
    </row>
    <row r="6373" spans="1:5" x14ac:dyDescent="0.3">
      <c r="A6373" s="9">
        <v>6365</v>
      </c>
      <c r="B6373" s="10">
        <f t="shared" ca="1" si="99"/>
        <v>6.7291311345952398E-2</v>
      </c>
      <c r="C6373" s="10">
        <f ca="1">NPV(B6373,Project_FCF!C18:J18)+Project_FCF!B18</f>
        <v>1050.9076722439029</v>
      </c>
      <c r="D6373" s="4"/>
      <c r="E6373" s="4"/>
    </row>
    <row r="6374" spans="1:5" x14ac:dyDescent="0.3">
      <c r="A6374" s="9">
        <v>6366</v>
      </c>
      <c r="B6374" s="10">
        <f t="shared" ca="1" si="99"/>
        <v>7.205499734471571E-2</v>
      </c>
      <c r="C6374" s="10">
        <f ca="1">NPV(B6374,Project_FCF!C18:J18)+Project_FCF!B18</f>
        <v>1007.3686458795878</v>
      </c>
      <c r="D6374" s="4"/>
      <c r="E6374" s="4"/>
    </row>
    <row r="6375" spans="1:5" x14ac:dyDescent="0.3">
      <c r="A6375" s="9">
        <v>6367</v>
      </c>
      <c r="B6375" s="10">
        <f t="shared" ca="1" si="99"/>
        <v>9.7930349049190207E-2</v>
      </c>
      <c r="C6375" s="10">
        <f ca="1">NPV(B6375,Project_FCF!C18:J18)+Project_FCF!B18</f>
        <v>797.64062247913375</v>
      </c>
      <c r="D6375" s="4"/>
      <c r="E6375" s="4"/>
    </row>
    <row r="6376" spans="1:5" x14ac:dyDescent="0.3">
      <c r="A6376" s="9">
        <v>6368</v>
      </c>
      <c r="B6376" s="10">
        <f t="shared" ca="1" si="99"/>
        <v>6.6985379961684174E-2</v>
      </c>
      <c r="C6376" s="10">
        <f ca="1">NPV(B6376,Project_FCF!C18:J18)+Project_FCF!B18</f>
        <v>1053.7612127680543</v>
      </c>
      <c r="D6376" s="4"/>
      <c r="E6376" s="4"/>
    </row>
    <row r="6377" spans="1:5" x14ac:dyDescent="0.3">
      <c r="A6377" s="9">
        <v>6369</v>
      </c>
      <c r="B6377" s="10">
        <f t="shared" ca="1" si="99"/>
        <v>6.4588160155032201E-2</v>
      </c>
      <c r="C6377" s="10">
        <f ca="1">NPV(B6377,Project_FCF!C18:J18)+Project_FCF!B18</f>
        <v>1076.3663259346902</v>
      </c>
      <c r="D6377" s="4"/>
      <c r="E6377" s="4"/>
    </row>
    <row r="6378" spans="1:5" x14ac:dyDescent="0.3">
      <c r="A6378" s="9">
        <v>6370</v>
      </c>
      <c r="B6378" s="10">
        <f t="shared" ca="1" si="99"/>
        <v>9.3513954878713168E-2</v>
      </c>
      <c r="C6378" s="10">
        <f ca="1">NPV(B6378,Project_FCF!C18:J18)+Project_FCF!B18</f>
        <v>830.480974528562</v>
      </c>
      <c r="D6378" s="4"/>
      <c r="E6378" s="4"/>
    </row>
    <row r="6379" spans="1:5" x14ac:dyDescent="0.3">
      <c r="A6379" s="9">
        <v>6371</v>
      </c>
      <c r="B6379" s="10">
        <f t="shared" ca="1" si="99"/>
        <v>7.0179770806383324E-2</v>
      </c>
      <c r="C6379" s="10">
        <f ca="1">NPV(B6379,Project_FCF!C18:J18)+Project_FCF!B18</f>
        <v>1024.309291742765</v>
      </c>
      <c r="D6379" s="4"/>
      <c r="E6379" s="4"/>
    </row>
    <row r="6380" spans="1:5" x14ac:dyDescent="0.3">
      <c r="A6380" s="9">
        <v>6372</v>
      </c>
      <c r="B6380" s="10">
        <f t="shared" ca="1" si="99"/>
        <v>7.5498925309238921E-2</v>
      </c>
      <c r="C6380" s="10">
        <f ca="1">NPV(B6380,Project_FCF!C18:J18)+Project_FCF!B18</f>
        <v>976.91131057196412</v>
      </c>
      <c r="D6380" s="4"/>
      <c r="E6380" s="4"/>
    </row>
    <row r="6381" spans="1:5" x14ac:dyDescent="0.3">
      <c r="A6381" s="9">
        <v>6373</v>
      </c>
      <c r="B6381" s="10">
        <f t="shared" ca="1" si="99"/>
        <v>0.10013929788882653</v>
      </c>
      <c r="C6381" s="10">
        <f ca="1">NPV(B6381,Project_FCF!C18:J18)+Project_FCF!B18</f>
        <v>781.63419596117637</v>
      </c>
      <c r="D6381" s="4"/>
      <c r="E6381" s="4"/>
    </row>
    <row r="6382" spans="1:5" x14ac:dyDescent="0.3">
      <c r="A6382" s="9">
        <v>6374</v>
      </c>
      <c r="B6382" s="10">
        <f t="shared" ca="1" si="99"/>
        <v>8.506059120167786E-2</v>
      </c>
      <c r="C6382" s="10">
        <f ca="1">NPV(B6382,Project_FCF!C18:J18)+Project_FCF!B18</f>
        <v>896.6008799209585</v>
      </c>
      <c r="D6382" s="4"/>
      <c r="E6382" s="4"/>
    </row>
    <row r="6383" spans="1:5" x14ac:dyDescent="0.3">
      <c r="A6383" s="9">
        <v>6375</v>
      </c>
      <c r="B6383" s="10">
        <f t="shared" ca="1" si="99"/>
        <v>0.10374789371734519</v>
      </c>
      <c r="C6383" s="10">
        <f ca="1">NPV(B6383,Project_FCF!C18:J18)+Project_FCF!B18</f>
        <v>756.06927956594791</v>
      </c>
      <c r="D6383" s="4"/>
      <c r="E6383" s="4"/>
    </row>
    <row r="6384" spans="1:5" x14ac:dyDescent="0.3">
      <c r="A6384" s="9">
        <v>6376</v>
      </c>
      <c r="B6384" s="10">
        <f t="shared" ca="1" si="99"/>
        <v>8.5152143666824706E-2</v>
      </c>
      <c r="C6384" s="10">
        <f ca="1">NPV(B6384,Project_FCF!C18:J18)+Project_FCF!B18</f>
        <v>895.86095033881952</v>
      </c>
      <c r="D6384" s="4"/>
      <c r="E6384" s="4"/>
    </row>
    <row r="6385" spans="1:5" x14ac:dyDescent="0.3">
      <c r="A6385" s="9">
        <v>6377</v>
      </c>
      <c r="B6385" s="10">
        <f t="shared" ca="1" si="99"/>
        <v>9.9699630788109034E-2</v>
      </c>
      <c r="C6385" s="10">
        <f ca="1">NPV(B6385,Project_FCF!C18:J18)+Project_FCF!B18</f>
        <v>784.79821638663316</v>
      </c>
      <c r="D6385" s="4"/>
      <c r="E6385" s="4"/>
    </row>
    <row r="6386" spans="1:5" x14ac:dyDescent="0.3">
      <c r="A6386" s="9">
        <v>6378</v>
      </c>
      <c r="B6386" s="10">
        <f t="shared" ca="1" si="99"/>
        <v>7.1595660783289897E-2</v>
      </c>
      <c r="C6386" s="10">
        <f ca="1">NPV(B6386,Project_FCF!C18:J18)+Project_FCF!B18</f>
        <v>1011.4947311180674</v>
      </c>
      <c r="D6386" s="4"/>
      <c r="E6386" s="4"/>
    </row>
    <row r="6387" spans="1:5" x14ac:dyDescent="0.3">
      <c r="A6387" s="9">
        <v>6379</v>
      </c>
      <c r="B6387" s="10">
        <f t="shared" ca="1" si="99"/>
        <v>9.7554197328031014E-2</v>
      </c>
      <c r="C6387" s="10">
        <f ca="1">NPV(B6387,Project_FCF!C18:J18)+Project_FCF!B18</f>
        <v>800.39381232103483</v>
      </c>
      <c r="D6387" s="4"/>
      <c r="E6387" s="4"/>
    </row>
    <row r="6388" spans="1:5" x14ac:dyDescent="0.3">
      <c r="A6388" s="9">
        <v>6380</v>
      </c>
      <c r="B6388" s="10">
        <f t="shared" ca="1" si="99"/>
        <v>9.5244230689493087E-2</v>
      </c>
      <c r="C6388" s="10">
        <f ca="1">NPV(B6388,Project_FCF!C18:J18)+Project_FCF!B18</f>
        <v>817.47951596723624</v>
      </c>
      <c r="D6388" s="4"/>
      <c r="E6388" s="4"/>
    </row>
    <row r="6389" spans="1:5" x14ac:dyDescent="0.3">
      <c r="A6389" s="9">
        <v>6381</v>
      </c>
      <c r="B6389" s="10">
        <f t="shared" ca="1" si="99"/>
        <v>7.6161333075105073E-2</v>
      </c>
      <c r="C6389" s="10">
        <f ca="1">NPV(B6389,Project_FCF!C18:J18)+Project_FCF!B18</f>
        <v>971.14860832562113</v>
      </c>
      <c r="D6389" s="4"/>
      <c r="E6389" s="4"/>
    </row>
    <row r="6390" spans="1:5" x14ac:dyDescent="0.3">
      <c r="A6390" s="9">
        <v>6382</v>
      </c>
      <c r="B6390" s="10">
        <f t="shared" ca="1" si="99"/>
        <v>9.4392676505680381E-2</v>
      </c>
      <c r="C6390" s="10">
        <f ca="1">NPV(B6390,Project_FCF!C18:J18)+Project_FCF!B18</f>
        <v>823.85619455587175</v>
      </c>
      <c r="D6390" s="4"/>
      <c r="E6390" s="4"/>
    </row>
    <row r="6391" spans="1:5" x14ac:dyDescent="0.3">
      <c r="A6391" s="9">
        <v>6383</v>
      </c>
      <c r="B6391" s="10">
        <f t="shared" ca="1" si="99"/>
        <v>8.2251024706022802E-2</v>
      </c>
      <c r="C6391" s="10">
        <f ca="1">NPV(B6391,Project_FCF!C18:J18)+Project_FCF!B18</f>
        <v>919.57026524701314</v>
      </c>
      <c r="D6391" s="4"/>
      <c r="E6391" s="4"/>
    </row>
    <row r="6392" spans="1:5" x14ac:dyDescent="0.3">
      <c r="A6392" s="9">
        <v>6384</v>
      </c>
      <c r="B6392" s="10">
        <f t="shared" ca="1" si="99"/>
        <v>8.2022640198770397E-2</v>
      </c>
      <c r="C6392" s="10">
        <f ca="1">NPV(B6392,Project_FCF!C18:J18)+Project_FCF!B18</f>
        <v>921.45995032802443</v>
      </c>
      <c r="D6392" s="4"/>
      <c r="E6392" s="4"/>
    </row>
    <row r="6393" spans="1:5" x14ac:dyDescent="0.3">
      <c r="A6393" s="9">
        <v>6385</v>
      </c>
      <c r="B6393" s="10">
        <f t="shared" ca="1" si="99"/>
        <v>0.10047012776193379</v>
      </c>
      <c r="C6393" s="10">
        <f ca="1">NPV(B6393,Project_FCF!C18:J18)+Project_FCF!B18</f>
        <v>779.26052908247743</v>
      </c>
      <c r="D6393" s="4"/>
      <c r="E6393" s="4"/>
    </row>
    <row r="6394" spans="1:5" x14ac:dyDescent="0.3">
      <c r="A6394" s="9">
        <v>6386</v>
      </c>
      <c r="B6394" s="10">
        <f t="shared" ca="1" si="99"/>
        <v>8.12200808724928E-2</v>
      </c>
      <c r="C6394" s="10">
        <f ca="1">NPV(B6394,Project_FCF!C18:J18)+Project_FCF!B18</f>
        <v>928.12763514387211</v>
      </c>
      <c r="D6394" s="4"/>
      <c r="E6394" s="4"/>
    </row>
    <row r="6395" spans="1:5" x14ac:dyDescent="0.3">
      <c r="A6395" s="9">
        <v>6387</v>
      </c>
      <c r="B6395" s="10">
        <f t="shared" ca="1" si="99"/>
        <v>6.9359547366556862E-2</v>
      </c>
      <c r="C6395" s="10">
        <f ca="1">NPV(B6395,Project_FCF!C18:J18)+Project_FCF!B18</f>
        <v>1031.799638808762</v>
      </c>
      <c r="D6395" s="4"/>
      <c r="E6395" s="4"/>
    </row>
    <row r="6396" spans="1:5" x14ac:dyDescent="0.3">
      <c r="A6396" s="9">
        <v>6388</v>
      </c>
      <c r="B6396" s="10">
        <f t="shared" ca="1" si="99"/>
        <v>0.10103142748928706</v>
      </c>
      <c r="C6396" s="10">
        <f ca="1">NPV(B6396,Project_FCF!C18:J18)+Project_FCF!B18</f>
        <v>775.24719405229598</v>
      </c>
      <c r="D6396" s="4"/>
      <c r="E6396" s="4"/>
    </row>
    <row r="6397" spans="1:5" x14ac:dyDescent="0.3">
      <c r="A6397" s="9">
        <v>6389</v>
      </c>
      <c r="B6397" s="10">
        <f t="shared" ca="1" si="99"/>
        <v>6.946490820635641E-2</v>
      </c>
      <c r="C6397" s="10">
        <f ca="1">NPV(B6397,Project_FCF!C18:J18)+Project_FCF!B18</f>
        <v>1030.8347105029131</v>
      </c>
      <c r="D6397" s="4"/>
      <c r="E6397" s="4"/>
    </row>
    <row r="6398" spans="1:5" x14ac:dyDescent="0.3">
      <c r="A6398" s="9">
        <v>6390</v>
      </c>
      <c r="B6398" s="10">
        <f t="shared" ca="1" si="99"/>
        <v>9.1997432545230268E-2</v>
      </c>
      <c r="C6398" s="10">
        <f ca="1">NPV(B6398,Project_FCF!C18:J18)+Project_FCF!B18</f>
        <v>842.0219448878097</v>
      </c>
      <c r="D6398" s="4"/>
      <c r="E6398" s="4"/>
    </row>
    <row r="6399" spans="1:5" x14ac:dyDescent="0.3">
      <c r="A6399" s="9">
        <v>6391</v>
      </c>
      <c r="B6399" s="10">
        <f t="shared" ca="1" si="99"/>
        <v>7.4553481873591135E-2</v>
      </c>
      <c r="C6399" s="10">
        <f ca="1">NPV(B6399,Project_FCF!C18:J18)+Project_FCF!B18</f>
        <v>985.18927745776341</v>
      </c>
      <c r="D6399" s="4"/>
      <c r="E6399" s="4"/>
    </row>
    <row r="6400" spans="1:5" x14ac:dyDescent="0.3">
      <c r="A6400" s="9">
        <v>6392</v>
      </c>
      <c r="B6400" s="10">
        <f t="shared" ca="1" si="99"/>
        <v>0.10086061606283728</v>
      </c>
      <c r="C6400" s="10">
        <f ca="1">NPV(B6400,Project_FCF!C18:J18)+Project_FCF!B18</f>
        <v>776.4666574079115</v>
      </c>
      <c r="D6400" s="4"/>
      <c r="E6400" s="4"/>
    </row>
    <row r="6401" spans="1:5" x14ac:dyDescent="0.3">
      <c r="A6401" s="9">
        <v>6393</v>
      </c>
      <c r="B6401" s="10">
        <f t="shared" ca="1" si="99"/>
        <v>6.587074877000583E-2</v>
      </c>
      <c r="C6401" s="10">
        <f ca="1">NPV(B6401,Project_FCF!C18:J18)+Project_FCF!B18</f>
        <v>1064.2175177420791</v>
      </c>
      <c r="D6401" s="4"/>
      <c r="E6401" s="4"/>
    </row>
    <row r="6402" spans="1:5" x14ac:dyDescent="0.3">
      <c r="A6402" s="9">
        <v>6394</v>
      </c>
      <c r="B6402" s="10">
        <f t="shared" ca="1" si="99"/>
        <v>9.9720975261655631E-2</v>
      </c>
      <c r="C6402" s="10">
        <f ca="1">NPV(B6402,Project_FCF!C18:J18)+Project_FCF!B18</f>
        <v>784.64436315267176</v>
      </c>
      <c r="D6402" s="4"/>
      <c r="E6402" s="4"/>
    </row>
    <row r="6403" spans="1:5" x14ac:dyDescent="0.3">
      <c r="A6403" s="9">
        <v>6395</v>
      </c>
      <c r="B6403" s="10">
        <f t="shared" ca="1" si="99"/>
        <v>8.6645544355123894E-2</v>
      </c>
      <c r="C6403" s="10">
        <f ca="1">NPV(B6403,Project_FCF!C18:J18)+Project_FCF!B18</f>
        <v>883.86644336238351</v>
      </c>
      <c r="D6403" s="4"/>
      <c r="E6403" s="4"/>
    </row>
    <row r="6404" spans="1:5" x14ac:dyDescent="0.3">
      <c r="A6404" s="9">
        <v>6396</v>
      </c>
      <c r="B6404" s="10">
        <f t="shared" ca="1" si="99"/>
        <v>8.8618901477172524E-2</v>
      </c>
      <c r="C6404" s="10">
        <f ca="1">NPV(B6404,Project_FCF!C18:J18)+Project_FCF!B18</f>
        <v>868.23213003525098</v>
      </c>
      <c r="D6404" s="4"/>
      <c r="E6404" s="4"/>
    </row>
    <row r="6405" spans="1:5" x14ac:dyDescent="0.3">
      <c r="A6405" s="9">
        <v>6397</v>
      </c>
      <c r="B6405" s="10">
        <f t="shared" ca="1" si="99"/>
        <v>7.6032804879062638E-2</v>
      </c>
      <c r="C6405" s="10">
        <f ca="1">NPV(B6405,Project_FCF!C18:J18)+Project_FCF!B18</f>
        <v>972.26437614063093</v>
      </c>
      <c r="D6405" s="4"/>
      <c r="E6405" s="4"/>
    </row>
    <row r="6406" spans="1:5" x14ac:dyDescent="0.3">
      <c r="A6406" s="9">
        <v>6398</v>
      </c>
      <c r="B6406" s="10">
        <f t="shared" ca="1" si="99"/>
        <v>7.5353046789032832E-2</v>
      </c>
      <c r="C6406" s="10">
        <f ca="1">NPV(B6406,Project_FCF!C18:J18)+Project_FCF!B18</f>
        <v>978.18449760310841</v>
      </c>
      <c r="D6406" s="4"/>
      <c r="E6406" s="4"/>
    </row>
    <row r="6407" spans="1:5" x14ac:dyDescent="0.3">
      <c r="A6407" s="9">
        <v>6399</v>
      </c>
      <c r="B6407" s="10">
        <f t="shared" ca="1" si="99"/>
        <v>7.5527772168736837E-2</v>
      </c>
      <c r="C6407" s="10">
        <f ca="1">NPV(B6407,Project_FCF!C18:J18)+Project_FCF!B18</f>
        <v>976.65971873593685</v>
      </c>
      <c r="D6407" s="4"/>
      <c r="E6407" s="4"/>
    </row>
    <row r="6408" spans="1:5" x14ac:dyDescent="0.3">
      <c r="A6408" s="9">
        <v>6400</v>
      </c>
      <c r="B6408" s="10">
        <f t="shared" ca="1" si="99"/>
        <v>9.6601025575626998E-2</v>
      </c>
      <c r="C6408" s="10">
        <f ca="1">NPV(B6408,Project_FCF!C18:J18)+Project_FCF!B18</f>
        <v>807.40666829835413</v>
      </c>
      <c r="D6408" s="4"/>
      <c r="E6408" s="4"/>
    </row>
    <row r="6409" spans="1:5" x14ac:dyDescent="0.3">
      <c r="A6409" s="9">
        <v>6401</v>
      </c>
      <c r="B6409" s="10">
        <f t="shared" ref="B6409:B6472" ca="1" si="100">$B$4+RAND()*($B$5-$B$4)</f>
        <v>8.9597454066731169E-2</v>
      </c>
      <c r="C6409" s="10">
        <f ca="1">NPV(B6409,Project_FCF!C18:J18)+Project_FCF!B18</f>
        <v>860.56895580361743</v>
      </c>
      <c r="D6409" s="4"/>
      <c r="E6409" s="4"/>
    </row>
    <row r="6410" spans="1:5" x14ac:dyDescent="0.3">
      <c r="A6410" s="9">
        <v>6402</v>
      </c>
      <c r="B6410" s="10">
        <f t="shared" ca="1" si="100"/>
        <v>9.7561180257865948E-2</v>
      </c>
      <c r="C6410" s="10">
        <f ca="1">NPV(B6410,Project_FCF!C18:J18)+Project_FCF!B18</f>
        <v>800.34262820470008</v>
      </c>
      <c r="D6410" s="4"/>
      <c r="E6410" s="4"/>
    </row>
    <row r="6411" spans="1:5" x14ac:dyDescent="0.3">
      <c r="A6411" s="9">
        <v>6403</v>
      </c>
      <c r="B6411" s="10">
        <f t="shared" ca="1" si="100"/>
        <v>8.3415266272582916E-2</v>
      </c>
      <c r="C6411" s="10">
        <f ca="1">NPV(B6411,Project_FCF!C18:J18)+Project_FCF!B18</f>
        <v>909.99011526904428</v>
      </c>
      <c r="D6411" s="4"/>
      <c r="E6411" s="4"/>
    </row>
    <row r="6412" spans="1:5" x14ac:dyDescent="0.3">
      <c r="A6412" s="9">
        <v>6404</v>
      </c>
      <c r="B6412" s="10">
        <f t="shared" ca="1" si="100"/>
        <v>0.10366663402542645</v>
      </c>
      <c r="C6412" s="10">
        <f ca="1">NPV(B6412,Project_FCF!C18:J18)+Project_FCF!B18</f>
        <v>756.63712544984969</v>
      </c>
      <c r="D6412" s="4"/>
      <c r="E6412" s="4"/>
    </row>
    <row r="6413" spans="1:5" x14ac:dyDescent="0.3">
      <c r="A6413" s="9">
        <v>6405</v>
      </c>
      <c r="B6413" s="10">
        <f t="shared" ca="1" si="100"/>
        <v>8.6820855490960691E-2</v>
      </c>
      <c r="C6413" s="10">
        <f ca="1">NPV(B6413,Project_FCF!C18:J18)+Project_FCF!B18</f>
        <v>882.46764688216422</v>
      </c>
      <c r="D6413" s="4"/>
      <c r="E6413" s="4"/>
    </row>
    <row r="6414" spans="1:5" x14ac:dyDescent="0.3">
      <c r="A6414" s="9">
        <v>6406</v>
      </c>
      <c r="B6414" s="10">
        <f t="shared" ca="1" si="100"/>
        <v>7.2218291202869905E-2</v>
      </c>
      <c r="C6414" s="10">
        <f ca="1">NPV(B6414,Project_FCF!C18:J18)+Project_FCF!B18</f>
        <v>1005.9054800059814</v>
      </c>
      <c r="D6414" s="4"/>
      <c r="E6414" s="4"/>
    </row>
    <row r="6415" spans="1:5" x14ac:dyDescent="0.3">
      <c r="A6415" s="9">
        <v>6407</v>
      </c>
      <c r="B6415" s="10">
        <f t="shared" ca="1" si="100"/>
        <v>8.4891623422259366E-2</v>
      </c>
      <c r="C6415" s="10">
        <f ca="1">NPV(B6415,Project_FCF!C18:J18)+Project_FCF!B18</f>
        <v>897.96788810142971</v>
      </c>
      <c r="D6415" s="4"/>
      <c r="E6415" s="4"/>
    </row>
    <row r="6416" spans="1:5" x14ac:dyDescent="0.3">
      <c r="A6416" s="9">
        <v>6408</v>
      </c>
      <c r="B6416" s="10">
        <f t="shared" ca="1" si="100"/>
        <v>6.9785620907393958E-2</v>
      </c>
      <c r="C6416" s="10">
        <f ca="1">NPV(B6416,Project_FCF!C18:J18)+Project_FCF!B18</f>
        <v>1027.9025425340262</v>
      </c>
      <c r="D6416" s="4"/>
      <c r="E6416" s="4"/>
    </row>
    <row r="6417" spans="1:5" x14ac:dyDescent="0.3">
      <c r="A6417" s="9">
        <v>6409</v>
      </c>
      <c r="B6417" s="10">
        <f t="shared" ca="1" si="100"/>
        <v>9.210966558883292E-2</v>
      </c>
      <c r="C6417" s="10">
        <f ca="1">NPV(B6417,Project_FCF!C18:J18)+Project_FCF!B18</f>
        <v>841.16312748793212</v>
      </c>
      <c r="D6417" s="4"/>
      <c r="E6417" s="4"/>
    </row>
    <row r="6418" spans="1:5" x14ac:dyDescent="0.3">
      <c r="A6418" s="9">
        <v>6410</v>
      </c>
      <c r="B6418" s="10">
        <f t="shared" ca="1" si="100"/>
        <v>8.0691991166362276E-2</v>
      </c>
      <c r="C6418" s="10">
        <f ca="1">NPV(B6418,Project_FCF!C18:J18)+Project_FCF!B18</f>
        <v>932.53822623248811</v>
      </c>
      <c r="D6418" s="4"/>
      <c r="E6418" s="4"/>
    </row>
    <row r="6419" spans="1:5" x14ac:dyDescent="0.3">
      <c r="A6419" s="9">
        <v>6411</v>
      </c>
      <c r="B6419" s="10">
        <f t="shared" ca="1" si="100"/>
        <v>7.8606608107457759E-2</v>
      </c>
      <c r="C6419" s="10">
        <f ca="1">NPV(B6419,Project_FCF!C18:J18)+Project_FCF!B18</f>
        <v>950.13714492973577</v>
      </c>
      <c r="D6419" s="4"/>
      <c r="E6419" s="4"/>
    </row>
    <row r="6420" spans="1:5" x14ac:dyDescent="0.3">
      <c r="A6420" s="9">
        <v>6412</v>
      </c>
      <c r="B6420" s="10">
        <f t="shared" ca="1" si="100"/>
        <v>8.9769047442971234E-2</v>
      </c>
      <c r="C6420" s="10">
        <f ca="1">NPV(B6420,Project_FCF!C18:J18)+Project_FCF!B18</f>
        <v>859.23125052004366</v>
      </c>
      <c r="D6420" s="4"/>
      <c r="E6420" s="4"/>
    </row>
    <row r="6421" spans="1:5" x14ac:dyDescent="0.3">
      <c r="A6421" s="9">
        <v>6413</v>
      </c>
      <c r="B6421" s="10">
        <f t="shared" ca="1" si="100"/>
        <v>9.9301907058967909E-2</v>
      </c>
      <c r="C6421" s="10">
        <f ca="1">NPV(B6421,Project_FCF!C18:J18)+Project_FCF!B18</f>
        <v>787.66972691510705</v>
      </c>
      <c r="D6421" s="4"/>
      <c r="E6421" s="4"/>
    </row>
    <row r="6422" spans="1:5" x14ac:dyDescent="0.3">
      <c r="A6422" s="9">
        <v>6414</v>
      </c>
      <c r="B6422" s="10">
        <f t="shared" ca="1" si="100"/>
        <v>7.5825397462234795E-2</v>
      </c>
      <c r="C6422" s="10">
        <f ca="1">NPV(B6422,Project_FCF!C18:J18)+Project_FCF!B18</f>
        <v>974.06731756259455</v>
      </c>
      <c r="D6422" s="4"/>
      <c r="E6422" s="4"/>
    </row>
    <row r="6423" spans="1:5" x14ac:dyDescent="0.3">
      <c r="A6423" s="9">
        <v>6415</v>
      </c>
      <c r="B6423" s="10">
        <f t="shared" ca="1" si="100"/>
        <v>7.3067540078909157E-2</v>
      </c>
      <c r="C6423" s="10">
        <f ca="1">NPV(B6423,Project_FCF!C18:J18)+Project_FCF!B18</f>
        <v>998.32670841323716</v>
      </c>
      <c r="D6423" s="4"/>
      <c r="E6423" s="4"/>
    </row>
    <row r="6424" spans="1:5" x14ac:dyDescent="0.3">
      <c r="A6424" s="9">
        <v>6416</v>
      </c>
      <c r="B6424" s="10">
        <f t="shared" ca="1" si="100"/>
        <v>0.10315912543976331</v>
      </c>
      <c r="C6424" s="10">
        <f ca="1">NPV(B6424,Project_FCF!C18:J18)+Project_FCF!B18</f>
        <v>760.19170978032957</v>
      </c>
      <c r="D6424" s="4"/>
      <c r="E6424" s="4"/>
    </row>
    <row r="6425" spans="1:5" x14ac:dyDescent="0.3">
      <c r="A6425" s="9">
        <v>6417</v>
      </c>
      <c r="B6425" s="10">
        <f t="shared" ca="1" si="100"/>
        <v>6.5643063095885607E-2</v>
      </c>
      <c r="C6425" s="10">
        <f ca="1">NPV(B6425,Project_FCF!C18:J18)+Project_FCF!B18</f>
        <v>1066.3650096680276</v>
      </c>
      <c r="D6425" s="4"/>
      <c r="E6425" s="4"/>
    </row>
    <row r="6426" spans="1:5" x14ac:dyDescent="0.3">
      <c r="A6426" s="9">
        <v>6418</v>
      </c>
      <c r="B6426" s="10">
        <f t="shared" ca="1" si="100"/>
        <v>8.4179615923229853E-2</v>
      </c>
      <c r="C6426" s="10">
        <f ca="1">NPV(B6426,Project_FCF!C18:J18)+Project_FCF!B18</f>
        <v>903.74836822849693</v>
      </c>
      <c r="D6426" s="4"/>
      <c r="E6426" s="4"/>
    </row>
    <row r="6427" spans="1:5" x14ac:dyDescent="0.3">
      <c r="A6427" s="9">
        <v>6419</v>
      </c>
      <c r="B6427" s="10">
        <f t="shared" ca="1" si="100"/>
        <v>9.7006827288272576E-2</v>
      </c>
      <c r="C6427" s="10">
        <f ca="1">NPV(B6427,Project_FCF!C18:J18)+Project_FCF!B18</f>
        <v>804.41465502098504</v>
      </c>
      <c r="D6427" s="4"/>
      <c r="E6427" s="4"/>
    </row>
    <row r="6428" spans="1:5" x14ac:dyDescent="0.3">
      <c r="A6428" s="9">
        <v>6420</v>
      </c>
      <c r="B6428" s="10">
        <f t="shared" ca="1" si="100"/>
        <v>7.3568017846666223E-2</v>
      </c>
      <c r="C6428" s="10">
        <f ca="1">NPV(B6428,Project_FCF!C18:J18)+Project_FCF!B18</f>
        <v>993.88446479176082</v>
      </c>
      <c r="D6428" s="4"/>
      <c r="E6428" s="4"/>
    </row>
    <row r="6429" spans="1:5" x14ac:dyDescent="0.3">
      <c r="A6429" s="9">
        <v>6421</v>
      </c>
      <c r="B6429" s="10">
        <f t="shared" ca="1" si="100"/>
        <v>7.4272070501486168E-2</v>
      </c>
      <c r="C6429" s="10">
        <f ca="1">NPV(B6429,Project_FCF!C18:J18)+Project_FCF!B18</f>
        <v>987.665312406456</v>
      </c>
      <c r="D6429" s="4"/>
      <c r="E6429" s="4"/>
    </row>
    <row r="6430" spans="1:5" x14ac:dyDescent="0.3">
      <c r="A6430" s="9">
        <v>6422</v>
      </c>
      <c r="B6430" s="10">
        <f t="shared" ca="1" si="100"/>
        <v>7.2912358554367118E-2</v>
      </c>
      <c r="C6430" s="10">
        <f ca="1">NPV(B6430,Project_FCF!C18:J18)+Project_FCF!B18</f>
        <v>999.70771746887635</v>
      </c>
      <c r="D6430" s="4"/>
      <c r="E6430" s="4"/>
    </row>
    <row r="6431" spans="1:5" x14ac:dyDescent="0.3">
      <c r="A6431" s="9">
        <v>6423</v>
      </c>
      <c r="B6431" s="10">
        <f t="shared" ca="1" si="100"/>
        <v>6.9264179304910134E-2</v>
      </c>
      <c r="C6431" s="10">
        <f ca="1">NPV(B6431,Project_FCF!C18:J18)+Project_FCF!B18</f>
        <v>1032.6737546582583</v>
      </c>
      <c r="D6431" s="4"/>
      <c r="E6431" s="4"/>
    </row>
    <row r="6432" spans="1:5" x14ac:dyDescent="0.3">
      <c r="A6432" s="9">
        <v>6424</v>
      </c>
      <c r="B6432" s="10">
        <f t="shared" ca="1" si="100"/>
        <v>6.9491997421823645E-2</v>
      </c>
      <c r="C6432" s="10">
        <f ca="1">NPV(B6432,Project_FCF!C18:J18)+Project_FCF!B18</f>
        <v>1030.5867507657747</v>
      </c>
      <c r="D6432" s="4"/>
      <c r="E6432" s="4"/>
    </row>
    <row r="6433" spans="1:5" x14ac:dyDescent="0.3">
      <c r="A6433" s="9">
        <v>6425</v>
      </c>
      <c r="B6433" s="10">
        <f t="shared" ca="1" si="100"/>
        <v>7.7772654080464992E-2</v>
      </c>
      <c r="C6433" s="10">
        <f ca="1">NPV(B6433,Project_FCF!C18:J18)+Project_FCF!B18</f>
        <v>957.25711523992913</v>
      </c>
      <c r="D6433" s="4"/>
      <c r="E6433" s="4"/>
    </row>
    <row r="6434" spans="1:5" x14ac:dyDescent="0.3">
      <c r="A6434" s="9">
        <v>6426</v>
      </c>
      <c r="B6434" s="10">
        <f t="shared" ca="1" si="100"/>
        <v>7.5414539514826795E-2</v>
      </c>
      <c r="C6434" s="10">
        <f ca="1">NPV(B6434,Project_FCF!C18:J18)+Project_FCF!B18</f>
        <v>977.64762549478201</v>
      </c>
      <c r="D6434" s="4"/>
      <c r="E6434" s="4"/>
    </row>
    <row r="6435" spans="1:5" x14ac:dyDescent="0.3">
      <c r="A6435" s="9">
        <v>6427</v>
      </c>
      <c r="B6435" s="10">
        <f t="shared" ca="1" si="100"/>
        <v>8.0401995231706644E-2</v>
      </c>
      <c r="C6435" s="10">
        <f ca="1">NPV(B6435,Project_FCF!C18:J18)+Project_FCF!B18</f>
        <v>934.96813789180101</v>
      </c>
      <c r="D6435" s="4"/>
      <c r="E6435" s="4"/>
    </row>
    <row r="6436" spans="1:5" x14ac:dyDescent="0.3">
      <c r="A6436" s="9">
        <v>6428</v>
      </c>
      <c r="B6436" s="10">
        <f t="shared" ca="1" si="100"/>
        <v>8.4883997167973929E-2</v>
      </c>
      <c r="C6436" s="10">
        <f ca="1">NPV(B6436,Project_FCF!C18:J18)+Project_FCF!B18</f>
        <v>898.02963020067068</v>
      </c>
      <c r="D6436" s="4"/>
      <c r="E6436" s="4"/>
    </row>
    <row r="6437" spans="1:5" x14ac:dyDescent="0.3">
      <c r="A6437" s="9">
        <v>6429</v>
      </c>
      <c r="B6437" s="10">
        <f t="shared" ca="1" si="100"/>
        <v>9.1041657884306959E-2</v>
      </c>
      <c r="C6437" s="10">
        <f ca="1">NPV(B6437,Project_FCF!C18:J18)+Project_FCF!B18</f>
        <v>849.36632650543925</v>
      </c>
      <c r="D6437" s="4"/>
      <c r="E6437" s="4"/>
    </row>
    <row r="6438" spans="1:5" x14ac:dyDescent="0.3">
      <c r="A6438" s="9">
        <v>6430</v>
      </c>
      <c r="B6438" s="10">
        <f t="shared" ca="1" si="100"/>
        <v>9.8685971585669677E-2</v>
      </c>
      <c r="C6438" s="10">
        <f ca="1">NPV(B6438,Project_FCF!C18:J18)+Project_FCF!B18</f>
        <v>792.13426438651572</v>
      </c>
      <c r="D6438" s="4"/>
      <c r="E6438" s="4"/>
    </row>
    <row r="6439" spans="1:5" x14ac:dyDescent="0.3">
      <c r="A6439" s="9">
        <v>6431</v>
      </c>
      <c r="B6439" s="10">
        <f t="shared" ca="1" si="100"/>
        <v>8.3996289712535949E-2</v>
      </c>
      <c r="C6439" s="10">
        <f ca="1">NPV(B6439,Project_FCF!C18:J18)+Project_FCF!B18</f>
        <v>905.24198845802312</v>
      </c>
      <c r="D6439" s="4"/>
      <c r="E6439" s="4"/>
    </row>
    <row r="6440" spans="1:5" x14ac:dyDescent="0.3">
      <c r="A6440" s="9">
        <v>6432</v>
      </c>
      <c r="B6440" s="10">
        <f t="shared" ca="1" si="100"/>
        <v>0.10025848091928244</v>
      </c>
      <c r="C6440" s="10">
        <f ca="1">NPV(B6440,Project_FCF!C18:J18)+Project_FCF!B18</f>
        <v>780.77836806109713</v>
      </c>
      <c r="D6440" s="4"/>
      <c r="E6440" s="4"/>
    </row>
    <row r="6441" spans="1:5" x14ac:dyDescent="0.3">
      <c r="A6441" s="9">
        <v>6433</v>
      </c>
      <c r="B6441" s="10">
        <f t="shared" ca="1" si="100"/>
        <v>8.390929646846243E-2</v>
      </c>
      <c r="C6441" s="10">
        <f ca="1">NPV(B6441,Project_FCF!C18:J18)+Project_FCF!B18</f>
        <v>905.95150950576226</v>
      </c>
      <c r="D6441" s="4"/>
      <c r="E6441" s="4"/>
    </row>
    <row r="6442" spans="1:5" x14ac:dyDescent="0.3">
      <c r="A6442" s="9">
        <v>6434</v>
      </c>
      <c r="B6442" s="10">
        <f t="shared" ca="1" si="100"/>
        <v>9.4208641741793941E-2</v>
      </c>
      <c r="C6442" s="10">
        <f ca="1">NPV(B6442,Project_FCF!C18:J18)+Project_FCF!B18</f>
        <v>825.2398859465136</v>
      </c>
      <c r="D6442" s="4"/>
      <c r="E6442" s="4"/>
    </row>
    <row r="6443" spans="1:5" x14ac:dyDescent="0.3">
      <c r="A6443" s="9">
        <v>6435</v>
      </c>
      <c r="B6443" s="10">
        <f t="shared" ca="1" si="100"/>
        <v>6.4404019560570611E-2</v>
      </c>
      <c r="C6443" s="10">
        <f ca="1">NPV(B6443,Project_FCF!C18:J18)+Project_FCF!B18</f>
        <v>1078.1208743401908</v>
      </c>
      <c r="D6443" s="4"/>
      <c r="E6443" s="4"/>
    </row>
    <row r="6444" spans="1:5" x14ac:dyDescent="0.3">
      <c r="A6444" s="9">
        <v>6436</v>
      </c>
      <c r="B6444" s="10">
        <f t="shared" ca="1" si="100"/>
        <v>6.511329216995157E-2</v>
      </c>
      <c r="C6444" s="10">
        <f ca="1">NPV(B6444,Project_FCF!C18:J18)+Project_FCF!B18</f>
        <v>1071.3770125925071</v>
      </c>
      <c r="D6444" s="4"/>
      <c r="E6444" s="4"/>
    </row>
    <row r="6445" spans="1:5" x14ac:dyDescent="0.3">
      <c r="A6445" s="9">
        <v>6437</v>
      </c>
      <c r="B6445" s="10">
        <f t="shared" ca="1" si="100"/>
        <v>8.959951982701847E-2</v>
      </c>
      <c r="C6445" s="10">
        <f ca="1">NPV(B6445,Project_FCF!C18:J18)+Project_FCF!B18</f>
        <v>860.55284084721529</v>
      </c>
      <c r="D6445" s="4"/>
      <c r="E6445" s="4"/>
    </row>
    <row r="6446" spans="1:5" x14ac:dyDescent="0.3">
      <c r="A6446" s="9">
        <v>6438</v>
      </c>
      <c r="B6446" s="10">
        <f t="shared" ca="1" si="100"/>
        <v>6.6332844976421598E-2</v>
      </c>
      <c r="C6446" s="10">
        <f ca="1">NPV(B6446,Project_FCF!C18:J18)+Project_FCF!B18</f>
        <v>1059.8712103230193</v>
      </c>
      <c r="D6446" s="4"/>
      <c r="E6446" s="4"/>
    </row>
    <row r="6447" spans="1:5" x14ac:dyDescent="0.3">
      <c r="A6447" s="9">
        <v>6439</v>
      </c>
      <c r="B6447" s="10">
        <f t="shared" ca="1" si="100"/>
        <v>7.3590857724421782E-2</v>
      </c>
      <c r="C6447" s="10">
        <f ca="1">NPV(B6447,Project_FCF!C18:J18)+Project_FCF!B18</f>
        <v>993.68216192326395</v>
      </c>
      <c r="D6447" s="4"/>
      <c r="E6447" s="4"/>
    </row>
    <row r="6448" spans="1:5" x14ac:dyDescent="0.3">
      <c r="A6448" s="9">
        <v>6440</v>
      </c>
      <c r="B6448" s="10">
        <f t="shared" ca="1" si="100"/>
        <v>8.3847469007630987E-2</v>
      </c>
      <c r="C6448" s="10">
        <f ca="1">NPV(B6448,Project_FCF!C18:J18)+Project_FCF!B18</f>
        <v>906.45607405274427</v>
      </c>
      <c r="D6448" s="4"/>
      <c r="E6448" s="4"/>
    </row>
    <row r="6449" spans="1:5" x14ac:dyDescent="0.3">
      <c r="A6449" s="9">
        <v>6441</v>
      </c>
      <c r="B6449" s="10">
        <f t="shared" ca="1" si="100"/>
        <v>6.5616214493846969E-2</v>
      </c>
      <c r="C6449" s="10">
        <f ca="1">NPV(B6449,Project_FCF!C18:J18)+Project_FCF!B18</f>
        <v>1066.6185011222801</v>
      </c>
      <c r="D6449" s="4"/>
      <c r="E6449" s="4"/>
    </row>
    <row r="6450" spans="1:5" x14ac:dyDescent="0.3">
      <c r="A6450" s="9">
        <v>6442</v>
      </c>
      <c r="B6450" s="10">
        <f t="shared" ca="1" si="100"/>
        <v>7.7488928964861481E-2</v>
      </c>
      <c r="C6450" s="10">
        <f ca="1">NPV(B6450,Project_FCF!C18:J18)+Project_FCF!B18</f>
        <v>959.69024356213276</v>
      </c>
      <c r="D6450" s="4"/>
      <c r="E6450" s="4"/>
    </row>
    <row r="6451" spans="1:5" x14ac:dyDescent="0.3">
      <c r="A6451" s="9">
        <v>6443</v>
      </c>
      <c r="B6451" s="10">
        <f t="shared" ca="1" si="100"/>
        <v>8.1142180198599118E-2</v>
      </c>
      <c r="C6451" s="10">
        <f ca="1">NPV(B6451,Project_FCF!C18:J18)+Project_FCF!B18</f>
        <v>928.77709820022756</v>
      </c>
      <c r="D6451" s="4"/>
      <c r="E6451" s="4"/>
    </row>
    <row r="6452" spans="1:5" x14ac:dyDescent="0.3">
      <c r="A6452" s="9">
        <v>6444</v>
      </c>
      <c r="B6452" s="10">
        <f t="shared" ca="1" si="100"/>
        <v>0.10180826083667463</v>
      </c>
      <c r="C6452" s="10">
        <f ca="1">NPV(B6452,Project_FCF!C18:J18)+Project_FCF!B18</f>
        <v>769.72154648891774</v>
      </c>
      <c r="D6452" s="4"/>
      <c r="E6452" s="4"/>
    </row>
    <row r="6453" spans="1:5" x14ac:dyDescent="0.3">
      <c r="A6453" s="9">
        <v>6445</v>
      </c>
      <c r="B6453" s="10">
        <f t="shared" ca="1" si="100"/>
        <v>8.2534422275779382E-2</v>
      </c>
      <c r="C6453" s="10">
        <f ca="1">NPV(B6453,Project_FCF!C18:J18)+Project_FCF!B18</f>
        <v>917.23014327412898</v>
      </c>
      <c r="D6453" s="4"/>
      <c r="E6453" s="4"/>
    </row>
    <row r="6454" spans="1:5" x14ac:dyDescent="0.3">
      <c r="A6454" s="9">
        <v>6446</v>
      </c>
      <c r="B6454" s="10">
        <f t="shared" ca="1" si="100"/>
        <v>9.3924525078953547E-2</v>
      </c>
      <c r="C6454" s="10">
        <f ca="1">NPV(B6454,Project_FCF!C18:J18)+Project_FCF!B18</f>
        <v>827.37997174301472</v>
      </c>
      <c r="D6454" s="4"/>
      <c r="E6454" s="4"/>
    </row>
    <row r="6455" spans="1:5" x14ac:dyDescent="0.3">
      <c r="A6455" s="9">
        <v>6447</v>
      </c>
      <c r="B6455" s="10">
        <f t="shared" ca="1" si="100"/>
        <v>9.3572735862410092E-2</v>
      </c>
      <c r="C6455" s="10">
        <f ca="1">NPV(B6455,Project_FCF!C18:J18)+Project_FCF!B18</f>
        <v>830.03639530215287</v>
      </c>
      <c r="D6455" s="4"/>
      <c r="E6455" s="4"/>
    </row>
    <row r="6456" spans="1:5" x14ac:dyDescent="0.3">
      <c r="A6456" s="9">
        <v>6448</v>
      </c>
      <c r="B6456" s="10">
        <f t="shared" ca="1" si="100"/>
        <v>9.8745860161864304E-2</v>
      </c>
      <c r="C6456" s="10">
        <f ca="1">NPV(B6456,Project_FCF!C18:J18)+Project_FCF!B18</f>
        <v>791.69922924926891</v>
      </c>
      <c r="D6456" s="4"/>
      <c r="E6456" s="4"/>
    </row>
    <row r="6457" spans="1:5" x14ac:dyDescent="0.3">
      <c r="A6457" s="9">
        <v>6449</v>
      </c>
      <c r="B6457" s="10">
        <f t="shared" ca="1" si="100"/>
        <v>6.6662712400873028E-2</v>
      </c>
      <c r="C6457" s="10">
        <f ca="1">NPV(B6457,Project_FCF!C18:J18)+Project_FCF!B18</f>
        <v>1056.7784880136228</v>
      </c>
      <c r="D6457" s="4"/>
      <c r="E6457" s="4"/>
    </row>
    <row r="6458" spans="1:5" x14ac:dyDescent="0.3">
      <c r="A6458" s="9">
        <v>6450</v>
      </c>
      <c r="B6458" s="10">
        <f t="shared" ca="1" si="100"/>
        <v>9.3295048033303921E-2</v>
      </c>
      <c r="C6458" s="10">
        <f ca="1">NPV(B6458,Project_FCF!C18:J18)+Project_FCF!B18</f>
        <v>832.13843686266841</v>
      </c>
      <c r="D6458" s="4"/>
      <c r="E6458" s="4"/>
    </row>
    <row r="6459" spans="1:5" x14ac:dyDescent="0.3">
      <c r="A6459" s="9">
        <v>6451</v>
      </c>
      <c r="B6459" s="10">
        <f t="shared" ca="1" si="100"/>
        <v>6.9768534131151375E-2</v>
      </c>
      <c r="C6459" s="10">
        <f ca="1">NPV(B6459,Project_FCF!C18:J18)+Project_FCF!B18</f>
        <v>1028.0585707457321</v>
      </c>
      <c r="D6459" s="4"/>
      <c r="E6459" s="4"/>
    </row>
    <row r="6460" spans="1:5" x14ac:dyDescent="0.3">
      <c r="A6460" s="9">
        <v>6452</v>
      </c>
      <c r="B6460" s="10">
        <f t="shared" ca="1" si="100"/>
        <v>7.5530986782529827E-2</v>
      </c>
      <c r="C6460" s="10">
        <f ca="1">NPV(B6460,Project_FCF!C18:J18)+Project_FCF!B18</f>
        <v>976.63168562835108</v>
      </c>
      <c r="D6460" s="4"/>
      <c r="E6460" s="4"/>
    </row>
    <row r="6461" spans="1:5" x14ac:dyDescent="0.3">
      <c r="A6461" s="9">
        <v>6453</v>
      </c>
      <c r="B6461" s="10">
        <f t="shared" ca="1" si="100"/>
        <v>9.6031114773069304E-2</v>
      </c>
      <c r="C6461" s="10">
        <f ca="1">NPV(B6461,Project_FCF!C18:J18)+Project_FCF!B18</f>
        <v>811.62469674112936</v>
      </c>
      <c r="D6461" s="4"/>
      <c r="E6461" s="4"/>
    </row>
    <row r="6462" spans="1:5" x14ac:dyDescent="0.3">
      <c r="A6462" s="9">
        <v>6454</v>
      </c>
      <c r="B6462" s="10">
        <f t="shared" ca="1" si="100"/>
        <v>6.7761767732993625E-2</v>
      </c>
      <c r="C6462" s="10">
        <f ca="1">NPV(B6462,Project_FCF!C18:J18)+Project_FCF!B18</f>
        <v>1046.5332374017219</v>
      </c>
      <c r="D6462" s="4"/>
      <c r="E6462" s="4"/>
    </row>
    <row r="6463" spans="1:5" x14ac:dyDescent="0.3">
      <c r="A6463" s="9">
        <v>6455</v>
      </c>
      <c r="B6463" s="10">
        <f t="shared" ca="1" si="100"/>
        <v>8.3318406947134299E-2</v>
      </c>
      <c r="C6463" s="10">
        <f ca="1">NPV(B6463,Project_FCF!C18:J18)+Project_FCF!B18</f>
        <v>910.78377487512671</v>
      </c>
      <c r="D6463" s="4"/>
      <c r="E6463" s="4"/>
    </row>
    <row r="6464" spans="1:5" x14ac:dyDescent="0.3">
      <c r="A6464" s="9">
        <v>6456</v>
      </c>
      <c r="B6464" s="10">
        <f t="shared" ca="1" si="100"/>
        <v>7.1571584879876193E-2</v>
      </c>
      <c r="C6464" s="10">
        <f ca="1">NPV(B6464,Project_FCF!C18:J18)+Project_FCF!B18</f>
        <v>1011.7114170759339</v>
      </c>
      <c r="D6464" s="4"/>
      <c r="E6464" s="4"/>
    </row>
    <row r="6465" spans="1:5" x14ac:dyDescent="0.3">
      <c r="A6465" s="9">
        <v>6457</v>
      </c>
      <c r="B6465" s="10">
        <f t="shared" ca="1" si="100"/>
        <v>6.7993295962127664E-2</v>
      </c>
      <c r="C6465" s="10">
        <f ca="1">NPV(B6465,Project_FCF!C18:J18)+Project_FCF!B18</f>
        <v>1044.3864980973738</v>
      </c>
      <c r="D6465" s="4"/>
      <c r="E6465" s="4"/>
    </row>
    <row r="6466" spans="1:5" x14ac:dyDescent="0.3">
      <c r="A6466" s="9">
        <v>6458</v>
      </c>
      <c r="B6466" s="10">
        <f t="shared" ca="1" si="100"/>
        <v>7.4877993733058007E-2</v>
      </c>
      <c r="C6466" s="10">
        <f ca="1">NPV(B6466,Project_FCF!C18:J18)+Project_FCF!B18</f>
        <v>982.34091966328219</v>
      </c>
      <c r="D6466" s="4"/>
      <c r="E6466" s="4"/>
    </row>
    <row r="6467" spans="1:5" x14ac:dyDescent="0.3">
      <c r="A6467" s="9">
        <v>6459</v>
      </c>
      <c r="B6467" s="10">
        <f t="shared" ca="1" si="100"/>
        <v>6.7420409145986168E-2</v>
      </c>
      <c r="C6467" s="10">
        <f ca="1">NPV(B6467,Project_FCF!C18:J18)+Project_FCF!B18</f>
        <v>1049.7056348338231</v>
      </c>
      <c r="D6467" s="4"/>
      <c r="E6467" s="4"/>
    </row>
    <row r="6468" spans="1:5" x14ac:dyDescent="0.3">
      <c r="A6468" s="9">
        <v>6460</v>
      </c>
      <c r="B6468" s="10">
        <f t="shared" ca="1" si="100"/>
        <v>6.7945452382770402E-2</v>
      </c>
      <c r="C6468" s="10">
        <f ca="1">NPV(B6468,Project_FCF!C18:J18)+Project_FCF!B18</f>
        <v>1044.8297779240913</v>
      </c>
      <c r="D6468" s="4"/>
      <c r="E6468" s="4"/>
    </row>
    <row r="6469" spans="1:5" x14ac:dyDescent="0.3">
      <c r="A6469" s="9">
        <v>6461</v>
      </c>
      <c r="B6469" s="10">
        <f t="shared" ca="1" si="100"/>
        <v>8.6789610620344404E-2</v>
      </c>
      <c r="C6469" s="10">
        <f ca="1">NPV(B6469,Project_FCF!C18:J18)+Project_FCF!B18</f>
        <v>882.71680617020957</v>
      </c>
      <c r="D6469" s="4"/>
      <c r="E6469" s="4"/>
    </row>
    <row r="6470" spans="1:5" x14ac:dyDescent="0.3">
      <c r="A6470" s="9">
        <v>6462</v>
      </c>
      <c r="B6470" s="10">
        <f t="shared" ca="1" si="100"/>
        <v>6.7930058475735092E-2</v>
      </c>
      <c r="C6470" s="10">
        <f ca="1">NPV(B6470,Project_FCF!C18:J18)+Project_FCF!B18</f>
        <v>1044.9724416832632</v>
      </c>
      <c r="D6470" s="4"/>
      <c r="E6470" s="4"/>
    </row>
    <row r="6471" spans="1:5" x14ac:dyDescent="0.3">
      <c r="A6471" s="9">
        <v>6463</v>
      </c>
      <c r="B6471" s="10">
        <f t="shared" ca="1" si="100"/>
        <v>6.5338638058576204E-2</v>
      </c>
      <c r="C6471" s="10">
        <f ca="1">NPV(B6471,Project_FCF!C18:J18)+Project_FCF!B18</f>
        <v>1069.2424640740455</v>
      </c>
      <c r="D6471" s="4"/>
      <c r="E6471" s="4"/>
    </row>
    <row r="6472" spans="1:5" x14ac:dyDescent="0.3">
      <c r="A6472" s="9">
        <v>6464</v>
      </c>
      <c r="B6472" s="10">
        <f t="shared" ca="1" si="100"/>
        <v>8.4983511042629259E-2</v>
      </c>
      <c r="C6472" s="10">
        <f ca="1">NPV(B6472,Project_FCF!C18:J18)+Project_FCF!B18</f>
        <v>897.22425893477066</v>
      </c>
      <c r="D6472" s="4"/>
      <c r="E6472" s="4"/>
    </row>
    <row r="6473" spans="1:5" x14ac:dyDescent="0.3">
      <c r="A6473" s="9">
        <v>6465</v>
      </c>
      <c r="B6473" s="10">
        <f t="shared" ref="B6473:B6536" ca="1" si="101">$B$4+RAND()*($B$5-$B$4)</f>
        <v>9.1487119240611051E-2</v>
      </c>
      <c r="C6473" s="10">
        <f ca="1">NPV(B6473,Project_FCF!C18:J18)+Project_FCF!B18</f>
        <v>845.9364527997493</v>
      </c>
      <c r="D6473" s="4"/>
      <c r="E6473" s="4"/>
    </row>
    <row r="6474" spans="1:5" x14ac:dyDescent="0.3">
      <c r="A6474" s="9">
        <v>6466</v>
      </c>
      <c r="B6474" s="10">
        <f t="shared" ca="1" si="101"/>
        <v>6.9555593190568504E-2</v>
      </c>
      <c r="C6474" s="10">
        <f ca="1">NPV(B6474,Project_FCF!C18:J18)+Project_FCF!B18</f>
        <v>1030.0048421758099</v>
      </c>
      <c r="D6474" s="4"/>
      <c r="E6474" s="4"/>
    </row>
    <row r="6475" spans="1:5" x14ac:dyDescent="0.3">
      <c r="A6475" s="9">
        <v>6467</v>
      </c>
      <c r="B6475" s="10">
        <f t="shared" ca="1" si="101"/>
        <v>6.4184042312778161E-2</v>
      </c>
      <c r="C6475" s="10">
        <f ca="1">NPV(B6475,Project_FCF!C18:J18)+Project_FCF!B18</f>
        <v>1080.220309739871</v>
      </c>
      <c r="D6475" s="4"/>
      <c r="E6475" s="4"/>
    </row>
    <row r="6476" spans="1:5" x14ac:dyDescent="0.3">
      <c r="A6476" s="9">
        <v>6468</v>
      </c>
      <c r="B6476" s="10">
        <f t="shared" ca="1" si="101"/>
        <v>9.4913551403282795E-2</v>
      </c>
      <c r="C6476" s="10">
        <f ca="1">NPV(B6476,Project_FCF!C18:J18)+Project_FCF!B18</f>
        <v>819.95069721554523</v>
      </c>
      <c r="D6476" s="4"/>
      <c r="E6476" s="4"/>
    </row>
    <row r="6477" spans="1:5" x14ac:dyDescent="0.3">
      <c r="A6477" s="9">
        <v>6469</v>
      </c>
      <c r="B6477" s="10">
        <f t="shared" ca="1" si="101"/>
        <v>9.1588381608494279E-2</v>
      </c>
      <c r="C6477" s="10">
        <f ca="1">NPV(B6477,Project_FCF!C18:J18)+Project_FCF!B18</f>
        <v>845.15844375928418</v>
      </c>
      <c r="D6477" s="4"/>
      <c r="E6477" s="4"/>
    </row>
    <row r="6478" spans="1:5" x14ac:dyDescent="0.3">
      <c r="A6478" s="9">
        <v>6470</v>
      </c>
      <c r="B6478" s="10">
        <f t="shared" ca="1" si="101"/>
        <v>9.9913414769183084E-2</v>
      </c>
      <c r="C6478" s="10">
        <f ca="1">NPV(B6478,Project_FCF!C18:J18)+Project_FCF!B18</f>
        <v>783.25839074322175</v>
      </c>
      <c r="D6478" s="4"/>
      <c r="E6478" s="4"/>
    </row>
    <row r="6479" spans="1:5" x14ac:dyDescent="0.3">
      <c r="A6479" s="9">
        <v>6471</v>
      </c>
      <c r="B6479" s="10">
        <f t="shared" ca="1" si="101"/>
        <v>9.4077740581278768E-2</v>
      </c>
      <c r="C6479" s="10">
        <f ca="1">NPV(B6479,Project_FCF!C18:J18)+Project_FCF!B18</f>
        <v>826.22529755039136</v>
      </c>
      <c r="D6479" s="4"/>
      <c r="E6479" s="4"/>
    </row>
    <row r="6480" spans="1:5" x14ac:dyDescent="0.3">
      <c r="A6480" s="9">
        <v>6472</v>
      </c>
      <c r="B6480" s="10">
        <f t="shared" ca="1" si="101"/>
        <v>8.4713046455617821E-2</v>
      </c>
      <c r="C6480" s="10">
        <f ca="1">NPV(B6480,Project_FCF!C18:J18)+Project_FCF!B18</f>
        <v>899.41462270177453</v>
      </c>
      <c r="D6480" s="4"/>
      <c r="E6480" s="4"/>
    </row>
    <row r="6481" spans="1:5" x14ac:dyDescent="0.3">
      <c r="A6481" s="9">
        <v>6473</v>
      </c>
      <c r="B6481" s="10">
        <f t="shared" ca="1" si="101"/>
        <v>7.2941106434169456E-2</v>
      </c>
      <c r="C6481" s="10">
        <f ca="1">NPV(B6481,Project_FCF!C18:J18)+Project_FCF!B18</f>
        <v>999.45175161663656</v>
      </c>
      <c r="D6481" s="4"/>
      <c r="E6481" s="4"/>
    </row>
    <row r="6482" spans="1:5" x14ac:dyDescent="0.3">
      <c r="A6482" s="9">
        <v>6474</v>
      </c>
      <c r="B6482" s="10">
        <f t="shared" ca="1" si="101"/>
        <v>9.5220885638387487E-2</v>
      </c>
      <c r="C6482" s="10">
        <f ca="1">NPV(B6482,Project_FCF!C18:J18)+Project_FCF!B18</f>
        <v>817.65376521467351</v>
      </c>
      <c r="D6482" s="4"/>
      <c r="E6482" s="4"/>
    </row>
    <row r="6483" spans="1:5" x14ac:dyDescent="0.3">
      <c r="A6483" s="9">
        <v>6475</v>
      </c>
      <c r="B6483" s="10">
        <f t="shared" ca="1" si="101"/>
        <v>7.1685480678642388E-2</v>
      </c>
      <c r="C6483" s="10">
        <f ca="1">NPV(B6483,Project_FCF!C18:J18)+Project_FCF!B18</f>
        <v>1010.6867103936243</v>
      </c>
      <c r="D6483" s="4"/>
      <c r="E6483" s="4"/>
    </row>
    <row r="6484" spans="1:5" x14ac:dyDescent="0.3">
      <c r="A6484" s="9">
        <v>6476</v>
      </c>
      <c r="B6484" s="10">
        <f t="shared" ca="1" si="101"/>
        <v>9.4695555806951326E-2</v>
      </c>
      <c r="C6484" s="10">
        <f ca="1">NPV(B6484,Project_FCF!C18:J18)+Project_FCF!B18</f>
        <v>821.58328404318218</v>
      </c>
      <c r="D6484" s="4"/>
      <c r="E6484" s="4"/>
    </row>
    <row r="6485" spans="1:5" x14ac:dyDescent="0.3">
      <c r="A6485" s="9">
        <v>6477</v>
      </c>
      <c r="B6485" s="10">
        <f t="shared" ca="1" si="101"/>
        <v>8.4118911995095524E-2</v>
      </c>
      <c r="C6485" s="10">
        <f ca="1">NPV(B6485,Project_FCF!C18:J18)+Project_FCF!B18</f>
        <v>904.24270378541428</v>
      </c>
      <c r="D6485" s="4"/>
      <c r="E6485" s="4"/>
    </row>
    <row r="6486" spans="1:5" x14ac:dyDescent="0.3">
      <c r="A6486" s="9">
        <v>6478</v>
      </c>
      <c r="B6486" s="10">
        <f t="shared" ca="1" si="101"/>
        <v>8.8568476482151631E-2</v>
      </c>
      <c r="C6486" s="10">
        <f ca="1">NPV(B6486,Project_FCF!C18:J18)+Project_FCF!B18</f>
        <v>868.62861506315653</v>
      </c>
      <c r="D6486" s="4"/>
      <c r="E6486" s="4"/>
    </row>
    <row r="6487" spans="1:5" x14ac:dyDescent="0.3">
      <c r="A6487" s="9">
        <v>6479</v>
      </c>
      <c r="B6487" s="10">
        <f t="shared" ca="1" si="101"/>
        <v>8.4143862391174717E-2</v>
      </c>
      <c r="C6487" s="10">
        <f ca="1">NPV(B6487,Project_FCF!C18:J18)+Project_FCF!B18</f>
        <v>904.03949434522383</v>
      </c>
      <c r="D6487" s="4"/>
      <c r="E6487" s="4"/>
    </row>
    <row r="6488" spans="1:5" x14ac:dyDescent="0.3">
      <c r="A6488" s="9">
        <v>6480</v>
      </c>
      <c r="B6488" s="10">
        <f t="shared" ca="1" si="101"/>
        <v>7.9239625097061284E-2</v>
      </c>
      <c r="C6488" s="10">
        <f ca="1">NPV(B6488,Project_FCF!C18:J18)+Project_FCF!B18</f>
        <v>944.76414161135881</v>
      </c>
      <c r="D6488" s="4"/>
      <c r="E6488" s="4"/>
    </row>
    <row r="6489" spans="1:5" x14ac:dyDescent="0.3">
      <c r="A6489" s="9">
        <v>6481</v>
      </c>
      <c r="B6489" s="10">
        <f t="shared" ca="1" si="101"/>
        <v>9.9852679854238111E-2</v>
      </c>
      <c r="C6489" s="10">
        <f ca="1">NPV(B6489,Project_FCF!C18:J18)+Project_FCF!B18</f>
        <v>783.69558699515733</v>
      </c>
      <c r="D6489" s="4"/>
      <c r="E6489" s="4"/>
    </row>
    <row r="6490" spans="1:5" x14ac:dyDescent="0.3">
      <c r="A6490" s="9">
        <v>6482</v>
      </c>
      <c r="B6490" s="10">
        <f t="shared" ca="1" si="101"/>
        <v>7.0921298024887364E-2</v>
      </c>
      <c r="C6490" s="10">
        <f ca="1">NPV(B6490,Project_FCF!C18:J18)+Project_FCF!B18</f>
        <v>1017.5799245212099</v>
      </c>
      <c r="D6490" s="4"/>
      <c r="E6490" s="4"/>
    </row>
    <row r="6491" spans="1:5" x14ac:dyDescent="0.3">
      <c r="A6491" s="9">
        <v>6483</v>
      </c>
      <c r="B6491" s="10">
        <f t="shared" ca="1" si="101"/>
        <v>8.6912261699662458E-2</v>
      </c>
      <c r="C6491" s="10">
        <f ca="1">NPV(B6491,Project_FCF!C18:J18)+Project_FCF!B18</f>
        <v>881.73908894327701</v>
      </c>
      <c r="D6491" s="4"/>
      <c r="E6491" s="4"/>
    </row>
    <row r="6492" spans="1:5" x14ac:dyDescent="0.3">
      <c r="A6492" s="9">
        <v>6484</v>
      </c>
      <c r="B6492" s="10">
        <f t="shared" ca="1" si="101"/>
        <v>8.8555299602220139E-2</v>
      </c>
      <c r="C6492" s="10">
        <f ca="1">NPV(B6492,Project_FCF!C18:J18)+Project_FCF!B18</f>
        <v>868.73224904509357</v>
      </c>
      <c r="D6492" s="4"/>
      <c r="E6492" s="4"/>
    </row>
    <row r="6493" spans="1:5" x14ac:dyDescent="0.3">
      <c r="A6493" s="9">
        <v>6485</v>
      </c>
      <c r="B6493" s="10">
        <f t="shared" ca="1" si="101"/>
        <v>7.8341809607612153E-2</v>
      </c>
      <c r="C6493" s="10">
        <f ca="1">NPV(B6493,Project_FCF!C18:J18)+Project_FCF!B18</f>
        <v>952.39277262172686</v>
      </c>
      <c r="D6493" s="4"/>
      <c r="E6493" s="4"/>
    </row>
    <row r="6494" spans="1:5" x14ac:dyDescent="0.3">
      <c r="A6494" s="9">
        <v>6486</v>
      </c>
      <c r="B6494" s="10">
        <f t="shared" ca="1" si="101"/>
        <v>8.8177514058988798E-2</v>
      </c>
      <c r="C6494" s="10">
        <f ca="1">NPV(B6494,Project_FCF!C18:J18)+Project_FCF!B18</f>
        <v>871.70804537180015</v>
      </c>
      <c r="D6494" s="4"/>
      <c r="E6494" s="4"/>
    </row>
    <row r="6495" spans="1:5" x14ac:dyDescent="0.3">
      <c r="A6495" s="9">
        <v>6487</v>
      </c>
      <c r="B6495" s="10">
        <f t="shared" ca="1" si="101"/>
        <v>8.3539655966621745E-2</v>
      </c>
      <c r="C6495" s="10">
        <f ca="1">NPV(B6495,Project_FCF!C18:J18)+Project_FCF!B18</f>
        <v>908.97176521423603</v>
      </c>
      <c r="D6495" s="4"/>
      <c r="E6495" s="4"/>
    </row>
    <row r="6496" spans="1:5" x14ac:dyDescent="0.3">
      <c r="A6496" s="9">
        <v>6488</v>
      </c>
      <c r="B6496" s="10">
        <f t="shared" ca="1" si="101"/>
        <v>8.9310548498440376E-2</v>
      </c>
      <c r="C6496" s="10">
        <f ca="1">NPV(B6496,Project_FCF!C18:J18)+Project_FCF!B18</f>
        <v>862.80964452603439</v>
      </c>
      <c r="D6496" s="4"/>
      <c r="E6496" s="4"/>
    </row>
    <row r="6497" spans="1:5" x14ac:dyDescent="0.3">
      <c r="A6497" s="9">
        <v>6489</v>
      </c>
      <c r="B6497" s="10">
        <f t="shared" ca="1" si="101"/>
        <v>9.8341033041926609E-2</v>
      </c>
      <c r="C6497" s="10">
        <f ca="1">NPV(B6497,Project_FCF!C18:J18)+Project_FCF!B18</f>
        <v>794.64387554960535</v>
      </c>
      <c r="D6497" s="4"/>
      <c r="E6497" s="4"/>
    </row>
    <row r="6498" spans="1:5" x14ac:dyDescent="0.3">
      <c r="A6498" s="9">
        <v>6490</v>
      </c>
      <c r="B6498" s="10">
        <f t="shared" ca="1" si="101"/>
        <v>6.9443269225817741E-2</v>
      </c>
      <c r="C6498" s="10">
        <f ca="1">NPV(B6498,Project_FCF!C18:J18)+Project_FCF!B18</f>
        <v>1031.0328205694552</v>
      </c>
      <c r="D6498" s="4"/>
      <c r="E6498" s="4"/>
    </row>
    <row r="6499" spans="1:5" x14ac:dyDescent="0.3">
      <c r="A6499" s="9">
        <v>6491</v>
      </c>
      <c r="B6499" s="10">
        <f t="shared" ca="1" si="101"/>
        <v>7.9642130300528677E-2</v>
      </c>
      <c r="C6499" s="10">
        <f ca="1">NPV(B6499,Project_FCF!C18:J18)+Project_FCF!B18</f>
        <v>941.3617409150263</v>
      </c>
      <c r="D6499" s="4"/>
      <c r="E6499" s="4"/>
    </row>
    <row r="6500" spans="1:5" x14ac:dyDescent="0.3">
      <c r="A6500" s="9">
        <v>6492</v>
      </c>
      <c r="B6500" s="10">
        <f t="shared" ca="1" si="101"/>
        <v>8.2689656056819716E-2</v>
      </c>
      <c r="C6500" s="10">
        <f ca="1">NPV(B6500,Project_FCF!C18:J18)+Project_FCF!B18</f>
        <v>915.95054360391828</v>
      </c>
      <c r="D6500" s="4"/>
      <c r="E6500" s="4"/>
    </row>
    <row r="6501" spans="1:5" x14ac:dyDescent="0.3">
      <c r="A6501" s="9">
        <v>6493</v>
      </c>
      <c r="B6501" s="10">
        <f t="shared" ca="1" si="101"/>
        <v>9.8173994557758867E-2</v>
      </c>
      <c r="C6501" s="10">
        <f ca="1">NPV(B6501,Project_FCF!C18:J18)+Project_FCF!B18</f>
        <v>795.86159340183372</v>
      </c>
      <c r="D6501" s="4"/>
      <c r="E6501" s="4"/>
    </row>
    <row r="6502" spans="1:5" x14ac:dyDescent="0.3">
      <c r="A6502" s="9">
        <v>6494</v>
      </c>
      <c r="B6502" s="10">
        <f t="shared" ca="1" si="101"/>
        <v>7.7211179427118415E-2</v>
      </c>
      <c r="C6502" s="10">
        <f ca="1">NPV(B6502,Project_FCF!C18:J18)+Project_FCF!B18</f>
        <v>962.0774586571597</v>
      </c>
      <c r="D6502" s="4"/>
      <c r="E6502" s="4"/>
    </row>
    <row r="6503" spans="1:5" x14ac:dyDescent="0.3">
      <c r="A6503" s="9">
        <v>6495</v>
      </c>
      <c r="B6503" s="10">
        <f t="shared" ca="1" si="101"/>
        <v>9.0195985066170881E-2</v>
      </c>
      <c r="C6503" s="10">
        <f ca="1">NPV(B6503,Project_FCF!C18:J18)+Project_FCF!B18</f>
        <v>855.91075214626335</v>
      </c>
      <c r="D6503" s="4"/>
      <c r="E6503" s="4"/>
    </row>
    <row r="6504" spans="1:5" x14ac:dyDescent="0.3">
      <c r="A6504" s="9">
        <v>6496</v>
      </c>
      <c r="B6504" s="10">
        <f t="shared" ca="1" si="101"/>
        <v>7.2155661167409457E-2</v>
      </c>
      <c r="C6504" s="10">
        <f ca="1">NPV(B6504,Project_FCF!C18:J18)+Project_FCF!B18</f>
        <v>1006.4664391668528</v>
      </c>
      <c r="D6504" s="4"/>
      <c r="E6504" s="4"/>
    </row>
    <row r="6505" spans="1:5" x14ac:dyDescent="0.3">
      <c r="A6505" s="9">
        <v>6497</v>
      </c>
      <c r="B6505" s="10">
        <f t="shared" ca="1" si="101"/>
        <v>6.7075278761261833E-2</v>
      </c>
      <c r="C6505" s="10">
        <f ca="1">NPV(B6505,Project_FCF!C18:J18)+Project_FCF!B18</f>
        <v>1052.9219621869624</v>
      </c>
      <c r="D6505" s="4"/>
      <c r="E6505" s="4"/>
    </row>
    <row r="6506" spans="1:5" x14ac:dyDescent="0.3">
      <c r="A6506" s="9">
        <v>6498</v>
      </c>
      <c r="B6506" s="10">
        <f t="shared" ca="1" si="101"/>
        <v>9.1577405288329236E-2</v>
      </c>
      <c r="C6506" s="10">
        <f ca="1">NPV(B6506,Project_FCF!C18:J18)+Project_FCF!B18</f>
        <v>845.24274608414157</v>
      </c>
      <c r="D6506" s="4"/>
      <c r="E6506" s="4"/>
    </row>
    <row r="6507" spans="1:5" x14ac:dyDescent="0.3">
      <c r="A6507" s="9">
        <v>6499</v>
      </c>
      <c r="B6507" s="10">
        <f t="shared" ca="1" si="101"/>
        <v>6.4415100677724407E-2</v>
      </c>
      <c r="C6507" s="10">
        <f ca="1">NPV(B6507,Project_FCF!C18:J18)+Project_FCF!B18</f>
        <v>1078.0152162192346</v>
      </c>
      <c r="D6507" s="4"/>
      <c r="E6507" s="4"/>
    </row>
    <row r="6508" spans="1:5" x14ac:dyDescent="0.3">
      <c r="A6508" s="9">
        <v>6500</v>
      </c>
      <c r="B6508" s="10">
        <f t="shared" ca="1" si="101"/>
        <v>7.0721840783249307E-2</v>
      </c>
      <c r="C6508" s="10">
        <f ca="1">NPV(B6508,Project_FCF!C18:J18)+Project_FCF!B18</f>
        <v>1019.3860663983276</v>
      </c>
      <c r="D6508" s="4"/>
      <c r="E6508" s="4"/>
    </row>
    <row r="6509" spans="1:5" x14ac:dyDescent="0.3">
      <c r="A6509" s="9">
        <v>6501</v>
      </c>
      <c r="B6509" s="10">
        <f t="shared" ca="1" si="101"/>
        <v>9.8400829165282824E-2</v>
      </c>
      <c r="C6509" s="10">
        <f ca="1">NPV(B6509,Project_FCF!C18:J18)+Project_FCF!B18</f>
        <v>794.20834399895648</v>
      </c>
      <c r="D6509" s="4"/>
      <c r="E6509" s="4"/>
    </row>
    <row r="6510" spans="1:5" x14ac:dyDescent="0.3">
      <c r="A6510" s="9">
        <v>6502</v>
      </c>
      <c r="B6510" s="10">
        <f t="shared" ca="1" si="101"/>
        <v>7.8422370507873596E-2</v>
      </c>
      <c r="C6510" s="10">
        <f ca="1">NPV(B6510,Project_FCF!C18:J18)+Project_FCF!B18</f>
        <v>951.70602935646025</v>
      </c>
      <c r="D6510" s="4"/>
      <c r="E6510" s="4"/>
    </row>
    <row r="6511" spans="1:5" x14ac:dyDescent="0.3">
      <c r="A6511" s="9">
        <v>6503</v>
      </c>
      <c r="B6511" s="10">
        <f t="shared" ca="1" si="101"/>
        <v>8.6132387196712332E-2</v>
      </c>
      <c r="C6511" s="10">
        <f ca="1">NPV(B6511,Project_FCF!C18:J18)+Project_FCF!B18</f>
        <v>887.97202438359705</v>
      </c>
      <c r="D6511" s="4"/>
      <c r="E6511" s="4"/>
    </row>
    <row r="6512" spans="1:5" x14ac:dyDescent="0.3">
      <c r="A6512" s="9">
        <v>6504</v>
      </c>
      <c r="B6512" s="10">
        <f t="shared" ca="1" si="101"/>
        <v>8.2609819697986808E-2</v>
      </c>
      <c r="C6512" s="10">
        <f ca="1">NPV(B6512,Project_FCF!C18:J18)+Project_FCF!B18</f>
        <v>916.60844214289045</v>
      </c>
      <c r="D6512" s="4"/>
      <c r="E6512" s="4"/>
    </row>
    <row r="6513" spans="1:5" x14ac:dyDescent="0.3">
      <c r="A6513" s="9">
        <v>6505</v>
      </c>
      <c r="B6513" s="10">
        <f t="shared" ca="1" si="101"/>
        <v>8.5771533116485957E-2</v>
      </c>
      <c r="C6513" s="10">
        <f ca="1">NPV(B6513,Project_FCF!C18:J18)+Project_FCF!B18</f>
        <v>890.86905408764687</v>
      </c>
      <c r="D6513" s="4"/>
      <c r="E6513" s="4"/>
    </row>
    <row r="6514" spans="1:5" x14ac:dyDescent="0.3">
      <c r="A6514" s="9">
        <v>6506</v>
      </c>
      <c r="B6514" s="10">
        <f t="shared" ca="1" si="101"/>
        <v>8.1405634685538686E-2</v>
      </c>
      <c r="C6514" s="10">
        <f ca="1">NPV(B6514,Project_FCF!C18:J18)+Project_FCF!B18</f>
        <v>926.58227604182139</v>
      </c>
      <c r="D6514" s="4"/>
      <c r="E6514" s="4"/>
    </row>
    <row r="6515" spans="1:5" x14ac:dyDescent="0.3">
      <c r="A6515" s="9">
        <v>6507</v>
      </c>
      <c r="B6515" s="10">
        <f t="shared" ca="1" si="101"/>
        <v>7.6511917468476784E-2</v>
      </c>
      <c r="C6515" s="10">
        <f ca="1">NPV(B6515,Project_FCF!C18:J18)+Project_FCF!B18</f>
        <v>968.11095338897803</v>
      </c>
      <c r="D6515" s="4"/>
      <c r="E6515" s="4"/>
    </row>
    <row r="6516" spans="1:5" x14ac:dyDescent="0.3">
      <c r="A6516" s="9">
        <v>6508</v>
      </c>
      <c r="B6516" s="10">
        <f t="shared" ca="1" si="101"/>
        <v>6.8066855697753489E-2</v>
      </c>
      <c r="C6516" s="10">
        <f ca="1">NPV(B6516,Project_FCF!C18:J18)+Project_FCF!B18</f>
        <v>1043.7052860255378</v>
      </c>
      <c r="D6516" s="4"/>
      <c r="E6516" s="4"/>
    </row>
    <row r="6517" spans="1:5" x14ac:dyDescent="0.3">
      <c r="A6517" s="9">
        <v>6509</v>
      </c>
      <c r="B6517" s="10">
        <f t="shared" ca="1" si="101"/>
        <v>7.461539242165717E-2</v>
      </c>
      <c r="C6517" s="10">
        <f ca="1">NPV(B6517,Project_FCF!C18:J18)+Project_FCF!B18</f>
        <v>984.64529609793544</v>
      </c>
      <c r="D6517" s="4"/>
      <c r="E6517" s="4"/>
    </row>
    <row r="6518" spans="1:5" x14ac:dyDescent="0.3">
      <c r="A6518" s="9">
        <v>6510</v>
      </c>
      <c r="B6518" s="10">
        <f t="shared" ca="1" si="101"/>
        <v>7.1383975393867594E-2</v>
      </c>
      <c r="C6518" s="10">
        <f ca="1">NPV(B6518,Project_FCF!C18:J18)+Project_FCF!B18</f>
        <v>1013.4013578201154</v>
      </c>
      <c r="D6518" s="4"/>
      <c r="E6518" s="4"/>
    </row>
    <row r="6519" spans="1:5" x14ac:dyDescent="0.3">
      <c r="A6519" s="9">
        <v>6511</v>
      </c>
      <c r="B6519" s="10">
        <f t="shared" ca="1" si="101"/>
        <v>9.9073653387280997E-2</v>
      </c>
      <c r="C6519" s="10">
        <f ca="1">NPV(B6519,Project_FCF!C18:J18)+Project_FCF!B18</f>
        <v>789.32170284301628</v>
      </c>
      <c r="D6519" s="4"/>
      <c r="E6519" s="4"/>
    </row>
    <row r="6520" spans="1:5" x14ac:dyDescent="0.3">
      <c r="A6520" s="9">
        <v>6512</v>
      </c>
      <c r="B6520" s="10">
        <f t="shared" ca="1" si="101"/>
        <v>9.3738354012231961E-2</v>
      </c>
      <c r="C6520" s="10">
        <f ca="1">NPV(B6520,Project_FCF!C18:J18)+Project_FCF!B18</f>
        <v>828.78487199382357</v>
      </c>
      <c r="D6520" s="4"/>
      <c r="E6520" s="4"/>
    </row>
    <row r="6521" spans="1:5" x14ac:dyDescent="0.3">
      <c r="A6521" s="9">
        <v>6513</v>
      </c>
      <c r="B6521" s="10">
        <f t="shared" ca="1" si="101"/>
        <v>8.2641294085764705E-2</v>
      </c>
      <c r="C6521" s="10">
        <f ca="1">NPV(B6521,Project_FCF!C18:J18)+Project_FCF!B18</f>
        <v>916.34902501197848</v>
      </c>
      <c r="D6521" s="4"/>
      <c r="E6521" s="4"/>
    </row>
    <row r="6522" spans="1:5" x14ac:dyDescent="0.3">
      <c r="A6522" s="9">
        <v>6514</v>
      </c>
      <c r="B6522" s="10">
        <f t="shared" ca="1" si="101"/>
        <v>8.2999056244346142E-2</v>
      </c>
      <c r="C6522" s="10">
        <f ca="1">NPV(B6522,Project_FCF!C18:J18)+Project_FCF!B18</f>
        <v>913.40482963518298</v>
      </c>
      <c r="D6522" s="4"/>
      <c r="E6522" s="4"/>
    </row>
    <row r="6523" spans="1:5" x14ac:dyDescent="0.3">
      <c r="A6523" s="9">
        <v>6515</v>
      </c>
      <c r="B6523" s="10">
        <f t="shared" ca="1" si="101"/>
        <v>8.6340311609386974E-2</v>
      </c>
      <c r="C6523" s="10">
        <f ca="1">NPV(B6523,Project_FCF!C18:J18)+Project_FCF!B18</f>
        <v>886.30649519371946</v>
      </c>
      <c r="D6523" s="4"/>
      <c r="E6523" s="4"/>
    </row>
    <row r="6524" spans="1:5" x14ac:dyDescent="0.3">
      <c r="A6524" s="9">
        <v>6516</v>
      </c>
      <c r="B6524" s="10">
        <f t="shared" ca="1" si="101"/>
        <v>7.0742845270077709E-2</v>
      </c>
      <c r="C6524" s="10">
        <f ca="1">NPV(B6524,Project_FCF!C18:J18)+Project_FCF!B18</f>
        <v>1019.1957286403706</v>
      </c>
      <c r="D6524" s="4"/>
      <c r="E6524" s="4"/>
    </row>
    <row r="6525" spans="1:5" x14ac:dyDescent="0.3">
      <c r="A6525" s="9">
        <v>6517</v>
      </c>
      <c r="B6525" s="10">
        <f t="shared" ca="1" si="101"/>
        <v>7.9664089429548099E-2</v>
      </c>
      <c r="C6525" s="10">
        <f ca="1">NPV(B6525,Project_FCF!C18:J18)+Project_FCF!B18</f>
        <v>941.17643193764161</v>
      </c>
      <c r="D6525" s="4"/>
      <c r="E6525" s="4"/>
    </row>
    <row r="6526" spans="1:5" x14ac:dyDescent="0.3">
      <c r="A6526" s="9">
        <v>6518</v>
      </c>
      <c r="B6526" s="10">
        <f t="shared" ca="1" si="101"/>
        <v>8.3284504523707656E-2</v>
      </c>
      <c r="C6526" s="10">
        <f ca="1">NPV(B6526,Project_FCF!C18:J18)+Project_FCF!B18</f>
        <v>911.06171309283059</v>
      </c>
      <c r="D6526" s="4"/>
      <c r="E6526" s="4"/>
    </row>
    <row r="6527" spans="1:5" x14ac:dyDescent="0.3">
      <c r="A6527" s="9">
        <v>6519</v>
      </c>
      <c r="B6527" s="10">
        <f t="shared" ca="1" si="101"/>
        <v>8.6140099506134535E-2</v>
      </c>
      <c r="C6527" s="10">
        <f ca="1">NPV(B6527,Project_FCF!C18:J18)+Project_FCF!B18</f>
        <v>887.91019795912212</v>
      </c>
      <c r="D6527" s="4"/>
      <c r="E6527" s="4"/>
    </row>
    <row r="6528" spans="1:5" x14ac:dyDescent="0.3">
      <c r="A6528" s="9">
        <v>6520</v>
      </c>
      <c r="B6528" s="10">
        <f t="shared" ca="1" si="101"/>
        <v>9.0095267386238312E-2</v>
      </c>
      <c r="C6528" s="10">
        <f ca="1">NPV(B6528,Project_FCF!C18:J18)+Project_FCF!B18</f>
        <v>856.6930782988411</v>
      </c>
      <c r="D6528" s="4"/>
      <c r="E6528" s="4"/>
    </row>
    <row r="6529" spans="1:5" x14ac:dyDescent="0.3">
      <c r="A6529" s="9">
        <v>6521</v>
      </c>
      <c r="B6529" s="10">
        <f t="shared" ca="1" si="101"/>
        <v>8.008900673702106E-2</v>
      </c>
      <c r="C6529" s="10">
        <f ca="1">NPV(B6529,Project_FCF!C18:J18)+Project_FCF!B18</f>
        <v>937.59699171087436</v>
      </c>
      <c r="D6529" s="4"/>
      <c r="E6529" s="4"/>
    </row>
    <row r="6530" spans="1:5" x14ac:dyDescent="0.3">
      <c r="A6530" s="9">
        <v>6522</v>
      </c>
      <c r="B6530" s="10">
        <f t="shared" ca="1" si="101"/>
        <v>7.3679994423625411E-2</v>
      </c>
      <c r="C6530" s="10">
        <f ca="1">NPV(B6530,Project_FCF!C18:J18)+Project_FCF!B18</f>
        <v>992.89299230590768</v>
      </c>
      <c r="D6530" s="4"/>
      <c r="E6530" s="4"/>
    </row>
    <row r="6531" spans="1:5" x14ac:dyDescent="0.3">
      <c r="A6531" s="9">
        <v>6523</v>
      </c>
      <c r="B6531" s="10">
        <f t="shared" ca="1" si="101"/>
        <v>0.10368185635015426</v>
      </c>
      <c r="C6531" s="10">
        <f ca="1">NPV(B6531,Project_FCF!C18:J18)+Project_FCF!B18</f>
        <v>756.53072406315277</v>
      </c>
      <c r="D6531" s="4"/>
      <c r="E6531" s="4"/>
    </row>
    <row r="6532" spans="1:5" x14ac:dyDescent="0.3">
      <c r="A6532" s="9">
        <v>6524</v>
      </c>
      <c r="B6532" s="10">
        <f t="shared" ca="1" si="101"/>
        <v>9.3945007465531596E-2</v>
      </c>
      <c r="C6532" s="10">
        <f ca="1">NPV(B6532,Project_FCF!C18:J18)+Project_FCF!B18</f>
        <v>827.22553069161518</v>
      </c>
      <c r="D6532" s="4"/>
      <c r="E6532" s="4"/>
    </row>
    <row r="6533" spans="1:5" x14ac:dyDescent="0.3">
      <c r="A6533" s="9">
        <v>6525</v>
      </c>
      <c r="B6533" s="10">
        <f t="shared" ca="1" si="101"/>
        <v>8.9857144633859271E-2</v>
      </c>
      <c r="C6533" s="10">
        <f ca="1">NPV(B6533,Project_FCF!C18:J18)+Project_FCF!B18</f>
        <v>858.54516412847875</v>
      </c>
      <c r="D6533" s="4"/>
      <c r="E6533" s="4"/>
    </row>
    <row r="6534" spans="1:5" x14ac:dyDescent="0.3">
      <c r="A6534" s="9">
        <v>6526</v>
      </c>
      <c r="B6534" s="10">
        <f t="shared" ca="1" si="101"/>
        <v>8.2643379673100162E-2</v>
      </c>
      <c r="C6534" s="10">
        <f ca="1">NPV(B6534,Project_FCF!C18:J18)+Project_FCF!B18</f>
        <v>916.33183753903086</v>
      </c>
      <c r="D6534" s="4"/>
      <c r="E6534" s="4"/>
    </row>
    <row r="6535" spans="1:5" x14ac:dyDescent="0.3">
      <c r="A6535" s="9">
        <v>6527</v>
      </c>
      <c r="B6535" s="10">
        <f t="shared" ca="1" si="101"/>
        <v>9.5965770267444045E-2</v>
      </c>
      <c r="C6535" s="10">
        <f ca="1">NPV(B6535,Project_FCF!C18:J18)+Project_FCF!B18</f>
        <v>812.10952488924363</v>
      </c>
      <c r="D6535" s="4"/>
      <c r="E6535" s="4"/>
    </row>
    <row r="6536" spans="1:5" x14ac:dyDescent="0.3">
      <c r="A6536" s="9">
        <v>6528</v>
      </c>
      <c r="B6536" s="10">
        <f t="shared" ca="1" si="101"/>
        <v>8.0020517174844083E-2</v>
      </c>
      <c r="C6536" s="10">
        <f ca="1">NPV(B6536,Project_FCF!C18:J18)+Project_FCF!B18</f>
        <v>938.17312123303145</v>
      </c>
      <c r="D6536" s="4"/>
      <c r="E6536" s="4"/>
    </row>
    <row r="6537" spans="1:5" x14ac:dyDescent="0.3">
      <c r="A6537" s="9">
        <v>6529</v>
      </c>
      <c r="B6537" s="10">
        <f t="shared" ref="B6537:B6600" ca="1" si="102">$B$4+RAND()*($B$5-$B$4)</f>
        <v>8.006510969754177E-2</v>
      </c>
      <c r="C6537" s="10">
        <f ca="1">NPV(B6537,Project_FCF!C18:J18)+Project_FCF!B18</f>
        <v>937.79797638227114</v>
      </c>
      <c r="D6537" s="4"/>
      <c r="E6537" s="4"/>
    </row>
    <row r="6538" spans="1:5" x14ac:dyDescent="0.3">
      <c r="A6538" s="9">
        <v>6530</v>
      </c>
      <c r="B6538" s="10">
        <f t="shared" ca="1" si="102"/>
        <v>6.4583045186889995E-2</v>
      </c>
      <c r="C6538" s="10">
        <f ca="1">NPV(B6538,Project_FCF!C18:J18)+Project_FCF!B18</f>
        <v>1076.4150276993489</v>
      </c>
      <c r="D6538" s="4"/>
      <c r="E6538" s="4"/>
    </row>
    <row r="6539" spans="1:5" x14ac:dyDescent="0.3">
      <c r="A6539" s="9">
        <v>6531</v>
      </c>
      <c r="B6539" s="10">
        <f t="shared" ca="1" si="102"/>
        <v>7.3270205503626354E-2</v>
      </c>
      <c r="C6539" s="10">
        <f ca="1">NPV(B6539,Project_FCF!C18:J18)+Project_FCF!B18</f>
        <v>996.52570565714723</v>
      </c>
      <c r="D6539" s="4"/>
      <c r="E6539" s="4"/>
    </row>
    <row r="6540" spans="1:5" x14ac:dyDescent="0.3">
      <c r="A6540" s="9">
        <v>6532</v>
      </c>
      <c r="B6540" s="10">
        <f t="shared" ca="1" si="102"/>
        <v>7.9672854395379827E-2</v>
      </c>
      <c r="C6540" s="10">
        <f ca="1">NPV(B6540,Project_FCF!C18:J18)+Project_FCF!B18</f>
        <v>941.10247505975303</v>
      </c>
      <c r="D6540" s="4"/>
      <c r="E6540" s="4"/>
    </row>
    <row r="6541" spans="1:5" x14ac:dyDescent="0.3">
      <c r="A6541" s="9">
        <v>6533</v>
      </c>
      <c r="B6541" s="10">
        <f t="shared" ca="1" si="102"/>
        <v>9.2781012953803407E-2</v>
      </c>
      <c r="C6541" s="10">
        <f ca="1">NPV(B6541,Project_FCF!C18:J18)+Project_FCF!B18</f>
        <v>836.04166010832773</v>
      </c>
      <c r="D6541" s="4"/>
      <c r="E6541" s="4"/>
    </row>
    <row r="6542" spans="1:5" x14ac:dyDescent="0.3">
      <c r="A6542" s="9">
        <v>6534</v>
      </c>
      <c r="B6542" s="10">
        <f t="shared" ca="1" si="102"/>
        <v>0.10090944106849242</v>
      </c>
      <c r="C6542" s="10">
        <f ca="1">NPV(B6542,Project_FCF!C18:J18)+Project_FCF!B18</f>
        <v>776.11791901023503</v>
      </c>
      <c r="D6542" s="4"/>
      <c r="E6542" s="4"/>
    </row>
    <row r="6543" spans="1:5" x14ac:dyDescent="0.3">
      <c r="A6543" s="9">
        <v>6535</v>
      </c>
      <c r="B6543" s="10">
        <f t="shared" ca="1" si="102"/>
        <v>6.8951103797250973E-2</v>
      </c>
      <c r="C6543" s="10">
        <f ca="1">NPV(B6543,Project_FCF!C18:J18)+Project_FCF!B18</f>
        <v>1035.5480275289306</v>
      </c>
      <c r="D6543" s="4"/>
      <c r="E6543" s="4"/>
    </row>
    <row r="6544" spans="1:5" x14ac:dyDescent="0.3">
      <c r="A6544" s="9">
        <v>6536</v>
      </c>
      <c r="B6544" s="10">
        <f t="shared" ca="1" si="102"/>
        <v>9.6049366608244924E-2</v>
      </c>
      <c r="C6544" s="10">
        <f ca="1">NPV(B6544,Project_FCF!C18:J18)+Project_FCF!B18</f>
        <v>811.48932014349748</v>
      </c>
      <c r="D6544" s="4"/>
      <c r="E6544" s="4"/>
    </row>
    <row r="6545" spans="1:5" x14ac:dyDescent="0.3">
      <c r="A6545" s="9">
        <v>6537</v>
      </c>
      <c r="B6545" s="10">
        <f t="shared" ca="1" si="102"/>
        <v>8.8981551135311615E-2</v>
      </c>
      <c r="C6545" s="10">
        <f ca="1">NPV(B6545,Project_FCF!C18:J18)+Project_FCF!B18</f>
        <v>865.38529260796258</v>
      </c>
      <c r="D6545" s="4"/>
      <c r="E6545" s="4"/>
    </row>
    <row r="6546" spans="1:5" x14ac:dyDescent="0.3">
      <c r="A6546" s="9">
        <v>6538</v>
      </c>
      <c r="B6546" s="10">
        <f t="shared" ca="1" si="102"/>
        <v>8.5795929552277356E-2</v>
      </c>
      <c r="C6546" s="10">
        <f ca="1">NPV(B6546,Project_FCF!C18:J18)+Project_FCF!B18</f>
        <v>890.67293307954674</v>
      </c>
      <c r="D6546" s="4"/>
      <c r="E6546" s="4"/>
    </row>
    <row r="6547" spans="1:5" x14ac:dyDescent="0.3">
      <c r="A6547" s="9">
        <v>6539</v>
      </c>
      <c r="B6547" s="10">
        <f t="shared" ca="1" si="102"/>
        <v>9.1496289752932072E-2</v>
      </c>
      <c r="C6547" s="10">
        <f ca="1">NPV(B6547,Project_FCF!C18:J18)+Project_FCF!B18</f>
        <v>845.86596937453487</v>
      </c>
      <c r="D6547" s="4"/>
      <c r="E6547" s="4"/>
    </row>
    <row r="6548" spans="1:5" x14ac:dyDescent="0.3">
      <c r="A6548" s="9">
        <v>6540</v>
      </c>
      <c r="B6548" s="10">
        <f t="shared" ca="1" si="102"/>
        <v>7.932786718643145E-2</v>
      </c>
      <c r="C6548" s="10">
        <f ca="1">NPV(B6548,Project_FCF!C18:J18)+Project_FCF!B18</f>
        <v>944.01729416175704</v>
      </c>
      <c r="D6548" s="4"/>
      <c r="E6548" s="4"/>
    </row>
    <row r="6549" spans="1:5" x14ac:dyDescent="0.3">
      <c r="A6549" s="9">
        <v>6541</v>
      </c>
      <c r="B6549" s="10">
        <f t="shared" ca="1" si="102"/>
        <v>9.741157499305074E-2</v>
      </c>
      <c r="C6549" s="10">
        <f ca="1">NPV(B6549,Project_FCF!C18:J18)+Project_FCF!B18</f>
        <v>801.4398281453939</v>
      </c>
      <c r="D6549" s="4"/>
      <c r="E6549" s="4"/>
    </row>
    <row r="6550" spans="1:5" x14ac:dyDescent="0.3">
      <c r="A6550" s="9">
        <v>6542</v>
      </c>
      <c r="B6550" s="10">
        <f t="shared" ca="1" si="102"/>
        <v>7.153923113724539E-2</v>
      </c>
      <c r="C6550" s="10">
        <f ca="1">NPV(B6550,Project_FCF!C18:J18)+Project_FCF!B18</f>
        <v>1012.0026704201368</v>
      </c>
      <c r="D6550" s="4"/>
      <c r="E6550" s="4"/>
    </row>
    <row r="6551" spans="1:5" x14ac:dyDescent="0.3">
      <c r="A6551" s="9">
        <v>6543</v>
      </c>
      <c r="B6551" s="10">
        <f t="shared" ca="1" si="102"/>
        <v>7.3060183105748702E-2</v>
      </c>
      <c r="C6551" s="10">
        <f ca="1">NPV(B6551,Project_FCF!C18:J18)+Project_FCF!B18</f>
        <v>998.392141704712</v>
      </c>
      <c r="D6551" s="4"/>
      <c r="E6551" s="4"/>
    </row>
    <row r="6552" spans="1:5" x14ac:dyDescent="0.3">
      <c r="A6552" s="9">
        <v>6544</v>
      </c>
      <c r="B6552" s="10">
        <f t="shared" ca="1" si="102"/>
        <v>0.10001901188592943</v>
      </c>
      <c r="C6552" s="10">
        <f ca="1">NPV(B6552,Project_FCF!C18:J18)+Project_FCF!B18</f>
        <v>782.49874808822233</v>
      </c>
      <c r="D6552" s="4"/>
      <c r="E6552" s="4"/>
    </row>
    <row r="6553" spans="1:5" x14ac:dyDescent="0.3">
      <c r="A6553" s="9">
        <v>6545</v>
      </c>
      <c r="B6553" s="10">
        <f t="shared" ca="1" si="102"/>
        <v>7.832497498008506E-2</v>
      </c>
      <c r="C6553" s="10">
        <f ca="1">NPV(B6553,Project_FCF!C18:J18)+Project_FCF!B18</f>
        <v>952.53633540611645</v>
      </c>
      <c r="D6553" s="4"/>
      <c r="E6553" s="4"/>
    </row>
    <row r="6554" spans="1:5" x14ac:dyDescent="0.3">
      <c r="A6554" s="9">
        <v>6546</v>
      </c>
      <c r="B6554" s="10">
        <f t="shared" ca="1" si="102"/>
        <v>7.7251846697937207E-2</v>
      </c>
      <c r="C6554" s="10">
        <f ca="1">NPV(B6554,Project_FCF!C18:J18)+Project_FCF!B18</f>
        <v>961.72759951989769</v>
      </c>
      <c r="D6554" s="4"/>
      <c r="E6554" s="4"/>
    </row>
    <row r="6555" spans="1:5" x14ac:dyDescent="0.3">
      <c r="A6555" s="9">
        <v>6547</v>
      </c>
      <c r="B6555" s="10">
        <f t="shared" ca="1" si="102"/>
        <v>6.8903585705903742E-2</v>
      </c>
      <c r="C6555" s="10">
        <f ca="1">NPV(B6555,Project_FCF!C18:J18)+Project_FCF!B18</f>
        <v>1035.9849125359142</v>
      </c>
      <c r="D6555" s="4"/>
      <c r="E6555" s="4"/>
    </row>
    <row r="6556" spans="1:5" x14ac:dyDescent="0.3">
      <c r="A6556" s="9">
        <v>6548</v>
      </c>
      <c r="B6556" s="10">
        <f t="shared" ca="1" si="102"/>
        <v>9.5537745188795944E-2</v>
      </c>
      <c r="C6556" s="10">
        <f ca="1">NPV(B6556,Project_FCF!C18:J18)+Project_FCF!B18</f>
        <v>815.29141029824518</v>
      </c>
      <c r="D6556" s="4"/>
      <c r="E6556" s="4"/>
    </row>
    <row r="6557" spans="1:5" x14ac:dyDescent="0.3">
      <c r="A6557" s="9">
        <v>6549</v>
      </c>
      <c r="B6557" s="10">
        <f t="shared" ca="1" si="102"/>
        <v>8.9501173106594514E-2</v>
      </c>
      <c r="C6557" s="10">
        <f ca="1">NPV(B6557,Project_FCF!C18:J18)+Project_FCF!B18</f>
        <v>861.32033210149802</v>
      </c>
      <c r="D6557" s="4"/>
      <c r="E6557" s="4"/>
    </row>
    <row r="6558" spans="1:5" x14ac:dyDescent="0.3">
      <c r="A6558" s="9">
        <v>6550</v>
      </c>
      <c r="B6558" s="10">
        <f t="shared" ca="1" si="102"/>
        <v>7.3227427084140165E-2</v>
      </c>
      <c r="C6558" s="10">
        <f ca="1">NPV(B6558,Project_FCF!C18:J18)+Project_FCF!B18</f>
        <v>996.90561642732519</v>
      </c>
      <c r="D6558" s="4"/>
      <c r="E6558" s="4"/>
    </row>
    <row r="6559" spans="1:5" x14ac:dyDescent="0.3">
      <c r="A6559" s="9">
        <v>6551</v>
      </c>
      <c r="B6559" s="10">
        <f t="shared" ca="1" si="102"/>
        <v>7.3668829479806561E-2</v>
      </c>
      <c r="C6559" s="10">
        <f ca="1">NPV(B6559,Project_FCF!C18:J18)+Project_FCF!B18</f>
        <v>992.99181005030709</v>
      </c>
      <c r="D6559" s="4"/>
      <c r="E6559" s="4"/>
    </row>
    <row r="6560" spans="1:5" x14ac:dyDescent="0.3">
      <c r="A6560" s="9">
        <v>6552</v>
      </c>
      <c r="B6560" s="10">
        <f t="shared" ca="1" si="102"/>
        <v>0.10043065413831501</v>
      </c>
      <c r="C6560" s="10">
        <f ca="1">NPV(B6560,Project_FCF!C18:J18)+Project_FCF!B18</f>
        <v>779.54342743177813</v>
      </c>
      <c r="D6560" s="4"/>
      <c r="E6560" s="4"/>
    </row>
    <row r="6561" spans="1:5" x14ac:dyDescent="0.3">
      <c r="A6561" s="9">
        <v>6553</v>
      </c>
      <c r="B6561" s="10">
        <f t="shared" ca="1" si="102"/>
        <v>8.0592917407694892E-2</v>
      </c>
      <c r="C6561" s="10">
        <f ca="1">NPV(B6561,Project_FCF!C18:J18)+Project_FCF!B18</f>
        <v>933.36774852797134</v>
      </c>
      <c r="D6561" s="4"/>
      <c r="E6561" s="4"/>
    </row>
    <row r="6562" spans="1:5" x14ac:dyDescent="0.3">
      <c r="A6562" s="9">
        <v>6554</v>
      </c>
      <c r="B6562" s="10">
        <f t="shared" ca="1" si="102"/>
        <v>0.10135351116360534</v>
      </c>
      <c r="C6562" s="10">
        <f ca="1">NPV(B6562,Project_FCF!C18:J18)+Project_FCF!B18</f>
        <v>772.95215659750033</v>
      </c>
      <c r="D6562" s="4"/>
      <c r="E6562" s="4"/>
    </row>
    <row r="6563" spans="1:5" x14ac:dyDescent="0.3">
      <c r="A6563" s="9">
        <v>6555</v>
      </c>
      <c r="B6563" s="10">
        <f t="shared" ca="1" si="102"/>
        <v>6.989508975753958E-2</v>
      </c>
      <c r="C6563" s="10">
        <f ca="1">NPV(B6563,Project_FCF!C18:J18)+Project_FCF!B18</f>
        <v>1026.9034335320525</v>
      </c>
      <c r="D6563" s="4"/>
      <c r="E6563" s="4"/>
    </row>
    <row r="6564" spans="1:5" x14ac:dyDescent="0.3">
      <c r="A6564" s="9">
        <v>6556</v>
      </c>
      <c r="B6564" s="10">
        <f t="shared" ca="1" si="102"/>
        <v>6.9179096192979905E-2</v>
      </c>
      <c r="C6564" s="10">
        <f ca="1">NPV(B6564,Project_FCF!C18:J18)+Project_FCF!B18</f>
        <v>1033.4541672629778</v>
      </c>
      <c r="D6564" s="4"/>
      <c r="E6564" s="4"/>
    </row>
    <row r="6565" spans="1:5" x14ac:dyDescent="0.3">
      <c r="A6565" s="9">
        <v>6557</v>
      </c>
      <c r="B6565" s="10">
        <f t="shared" ca="1" si="102"/>
        <v>7.2233262542381146E-2</v>
      </c>
      <c r="C6565" s="10">
        <f ca="1">NPV(B6565,Project_FCF!C18:J18)+Project_FCF!B18</f>
        <v>1005.7714277067562</v>
      </c>
      <c r="D6565" s="4"/>
      <c r="E6565" s="4"/>
    </row>
    <row r="6566" spans="1:5" x14ac:dyDescent="0.3">
      <c r="A6566" s="9">
        <v>6558</v>
      </c>
      <c r="B6566" s="10">
        <f t="shared" ca="1" si="102"/>
        <v>9.2784938595040958E-2</v>
      </c>
      <c r="C6566" s="10">
        <f ca="1">NPV(B6566,Project_FCF!C18:J18)+Project_FCF!B18</f>
        <v>836.01179195247278</v>
      </c>
      <c r="D6566" s="4"/>
      <c r="E6566" s="4"/>
    </row>
    <row r="6567" spans="1:5" x14ac:dyDescent="0.3">
      <c r="A6567" s="9">
        <v>6559</v>
      </c>
      <c r="B6567" s="10">
        <f t="shared" ca="1" si="102"/>
        <v>7.3335879560778056E-2</v>
      </c>
      <c r="C6567" s="10">
        <f ca="1">NPV(B6567,Project_FCF!C18:J18)+Project_FCF!B18</f>
        <v>995.9427140451005</v>
      </c>
      <c r="D6567" s="4"/>
      <c r="E6567" s="4"/>
    </row>
    <row r="6568" spans="1:5" x14ac:dyDescent="0.3">
      <c r="A6568" s="9">
        <v>6560</v>
      </c>
      <c r="B6568" s="10">
        <f t="shared" ca="1" si="102"/>
        <v>7.5150501296902025E-2</v>
      </c>
      <c r="C6568" s="10">
        <f ca="1">NPV(B6568,Project_FCF!C18:J18)+Project_FCF!B18</f>
        <v>979.95471833006445</v>
      </c>
      <c r="D6568" s="4"/>
      <c r="E6568" s="4"/>
    </row>
    <row r="6569" spans="1:5" x14ac:dyDescent="0.3">
      <c r="A6569" s="9">
        <v>6561</v>
      </c>
      <c r="B6569" s="10">
        <f t="shared" ca="1" si="102"/>
        <v>7.5525032884292714E-2</v>
      </c>
      <c r="C6569" s="10">
        <f ca="1">NPV(B6569,Project_FCF!C18:J18)+Project_FCF!B18</f>
        <v>976.68360729143819</v>
      </c>
      <c r="D6569" s="4"/>
      <c r="E6569" s="4"/>
    </row>
    <row r="6570" spans="1:5" x14ac:dyDescent="0.3">
      <c r="A6570" s="9">
        <v>6562</v>
      </c>
      <c r="B6570" s="10">
        <f t="shared" ca="1" si="102"/>
        <v>6.5897178399391285E-2</v>
      </c>
      <c r="C6570" s="10">
        <f ca="1">NPV(B6570,Project_FCF!C18:J18)+Project_FCF!B18</f>
        <v>1063.9684934267898</v>
      </c>
      <c r="D6570" s="4"/>
      <c r="E6570" s="4"/>
    </row>
    <row r="6571" spans="1:5" x14ac:dyDescent="0.3">
      <c r="A6571" s="9">
        <v>6563</v>
      </c>
      <c r="B6571" s="10">
        <f t="shared" ca="1" si="102"/>
        <v>9.0368638369156998E-2</v>
      </c>
      <c r="C6571" s="10">
        <f ca="1">NPV(B6571,Project_FCF!C18:J18)+Project_FCF!B18</f>
        <v>854.57110386426689</v>
      </c>
      <c r="D6571" s="4"/>
      <c r="E6571" s="4"/>
    </row>
    <row r="6572" spans="1:5" x14ac:dyDescent="0.3">
      <c r="A6572" s="9">
        <v>6564</v>
      </c>
      <c r="B6572" s="10">
        <f t="shared" ca="1" si="102"/>
        <v>7.153537590795897E-2</v>
      </c>
      <c r="C6572" s="10">
        <f ca="1">NPV(B6572,Project_FCF!C18:J18)+Project_FCF!B18</f>
        <v>1012.0373808210547</v>
      </c>
      <c r="D6572" s="4"/>
      <c r="E6572" s="4"/>
    </row>
    <row r="6573" spans="1:5" x14ac:dyDescent="0.3">
      <c r="A6573" s="9">
        <v>6565</v>
      </c>
      <c r="B6573" s="10">
        <f t="shared" ca="1" si="102"/>
        <v>6.8236293288872624E-2</v>
      </c>
      <c r="C6573" s="10">
        <f ca="1">NPV(B6573,Project_FCF!C18:J18)+Project_FCF!B18</f>
        <v>1042.1377143062507</v>
      </c>
      <c r="D6573" s="4"/>
      <c r="E6573" s="4"/>
    </row>
    <row r="6574" spans="1:5" x14ac:dyDescent="0.3">
      <c r="A6574" s="9">
        <v>6566</v>
      </c>
      <c r="B6574" s="10">
        <f t="shared" ca="1" si="102"/>
        <v>8.354270210961548E-2</v>
      </c>
      <c r="C6574" s="10">
        <f ca="1">NPV(B6574,Project_FCF!C18:J18)+Project_FCF!B18</f>
        <v>908.94683970633241</v>
      </c>
      <c r="D6574" s="4"/>
      <c r="E6574" s="4"/>
    </row>
    <row r="6575" spans="1:5" x14ac:dyDescent="0.3">
      <c r="A6575" s="9">
        <v>6567</v>
      </c>
      <c r="B6575" s="10">
        <f t="shared" ca="1" si="102"/>
        <v>6.6280746899730403E-2</v>
      </c>
      <c r="C6575" s="10">
        <f ca="1">NPV(B6575,Project_FCF!C18:J18)+Project_FCF!B18</f>
        <v>1060.3604161655321</v>
      </c>
      <c r="D6575" s="4"/>
      <c r="E6575" s="4"/>
    </row>
    <row r="6576" spans="1:5" x14ac:dyDescent="0.3">
      <c r="A6576" s="9">
        <v>6568</v>
      </c>
      <c r="B6576" s="10">
        <f t="shared" ca="1" si="102"/>
        <v>9.2369485774485074E-2</v>
      </c>
      <c r="C6576" s="10">
        <f ca="1">NPV(B6576,Project_FCF!C18:J18)+Project_FCF!B18</f>
        <v>839.17785644520291</v>
      </c>
      <c r="D6576" s="4"/>
      <c r="E6576" s="4"/>
    </row>
    <row r="6577" spans="1:5" x14ac:dyDescent="0.3">
      <c r="A6577" s="9">
        <v>6569</v>
      </c>
      <c r="B6577" s="10">
        <f t="shared" ca="1" si="102"/>
        <v>6.7188255318773898E-2</v>
      </c>
      <c r="C6577" s="10">
        <f ca="1">NPV(B6577,Project_FCF!C18:J18)+Project_FCF!B18</f>
        <v>1051.8681304972768</v>
      </c>
      <c r="D6577" s="4"/>
      <c r="E6577" s="4"/>
    </row>
    <row r="6578" spans="1:5" x14ac:dyDescent="0.3">
      <c r="A6578" s="9">
        <v>6570</v>
      </c>
      <c r="B6578" s="10">
        <f t="shared" ca="1" si="102"/>
        <v>8.7040200628747955E-2</v>
      </c>
      <c r="C6578" s="10">
        <f ca="1">NPV(B6578,Project_FCF!C18:J18)+Project_FCF!B18</f>
        <v>880.72022623228054</v>
      </c>
      <c r="D6578" s="4"/>
      <c r="E6578" s="4"/>
    </row>
    <row r="6579" spans="1:5" x14ac:dyDescent="0.3">
      <c r="A6579" s="9">
        <v>6571</v>
      </c>
      <c r="B6579" s="10">
        <f t="shared" ca="1" si="102"/>
        <v>8.0567027473821953E-2</v>
      </c>
      <c r="C6579" s="10">
        <f ca="1">NPV(B6579,Project_FCF!C18:J18)+Project_FCF!B18</f>
        <v>933.58462664031572</v>
      </c>
      <c r="D6579" s="4"/>
      <c r="E6579" s="4"/>
    </row>
    <row r="6580" spans="1:5" x14ac:dyDescent="0.3">
      <c r="A6580" s="9">
        <v>6572</v>
      </c>
      <c r="B6580" s="10">
        <f t="shared" ca="1" si="102"/>
        <v>7.5062205390358738E-2</v>
      </c>
      <c r="C6580" s="10">
        <f ca="1">NPV(B6580,Project_FCF!C18:J18)+Project_FCF!B18</f>
        <v>980.72730924493067</v>
      </c>
      <c r="D6580" s="4"/>
      <c r="E6580" s="4"/>
    </row>
    <row r="6581" spans="1:5" x14ac:dyDescent="0.3">
      <c r="A6581" s="9">
        <v>6573</v>
      </c>
      <c r="B6581" s="10">
        <f t="shared" ca="1" si="102"/>
        <v>6.9296609305325788E-2</v>
      </c>
      <c r="C6581" s="10">
        <f ca="1">NPV(B6581,Project_FCF!C18:J18)+Project_FCF!B18</f>
        <v>1032.3764355640444</v>
      </c>
      <c r="D6581" s="4"/>
      <c r="E6581" s="4"/>
    </row>
    <row r="6582" spans="1:5" x14ac:dyDescent="0.3">
      <c r="A6582" s="9">
        <v>6574</v>
      </c>
      <c r="B6582" s="10">
        <f t="shared" ca="1" si="102"/>
        <v>9.5293293870874068E-2</v>
      </c>
      <c r="C6582" s="10">
        <f ca="1">NPV(B6582,Project_FCF!C18:J18)+Project_FCF!B18</f>
        <v>817.11340818319263</v>
      </c>
      <c r="D6582" s="4"/>
      <c r="E6582" s="4"/>
    </row>
    <row r="6583" spans="1:5" x14ac:dyDescent="0.3">
      <c r="A6583" s="9">
        <v>6575</v>
      </c>
      <c r="B6583" s="10">
        <f t="shared" ca="1" si="102"/>
        <v>9.980297038715269E-2</v>
      </c>
      <c r="C6583" s="10">
        <f ca="1">NPV(B6583,Project_FCF!C18:J18)+Project_FCF!B18</f>
        <v>784.05357092072904</v>
      </c>
      <c r="D6583" s="4"/>
      <c r="E6583" s="4"/>
    </row>
    <row r="6584" spans="1:5" x14ac:dyDescent="0.3">
      <c r="A6584" s="9">
        <v>6576</v>
      </c>
      <c r="B6584" s="10">
        <f t="shared" ca="1" si="102"/>
        <v>9.6046361524397855E-2</v>
      </c>
      <c r="C6584" s="10">
        <f ca="1">NPV(B6584,Project_FCF!C18:J18)+Project_FCF!B18</f>
        <v>811.51160797466741</v>
      </c>
      <c r="D6584" s="4"/>
      <c r="E6584" s="4"/>
    </row>
    <row r="6585" spans="1:5" x14ac:dyDescent="0.3">
      <c r="A6585" s="9">
        <v>6577</v>
      </c>
      <c r="B6585" s="10">
        <f t="shared" ca="1" si="102"/>
        <v>8.8987013009771632E-2</v>
      </c>
      <c r="C6585" s="10">
        <f ca="1">NPV(B6585,Project_FCF!C18:J18)+Project_FCF!B18</f>
        <v>865.34247837271573</v>
      </c>
      <c r="D6585" s="4"/>
      <c r="E6585" s="4"/>
    </row>
    <row r="6586" spans="1:5" x14ac:dyDescent="0.3">
      <c r="A6586" s="9">
        <v>6578</v>
      </c>
      <c r="B6586" s="10">
        <f t="shared" ca="1" si="102"/>
        <v>9.8625520149246415E-2</v>
      </c>
      <c r="C6586" s="10">
        <f ca="1">NPV(B6586,Project_FCF!C18:J18)+Project_FCF!B18</f>
        <v>792.57359387025826</v>
      </c>
      <c r="D6586" s="4"/>
      <c r="E6586" s="4"/>
    </row>
    <row r="6587" spans="1:5" x14ac:dyDescent="0.3">
      <c r="A6587" s="9">
        <v>6579</v>
      </c>
      <c r="B6587" s="10">
        <f t="shared" ca="1" si="102"/>
        <v>7.0602302812468251E-2</v>
      </c>
      <c r="C6587" s="10">
        <f ca="1">NPV(B6587,Project_FCF!C18:J18)+Project_FCF!B18</f>
        <v>1020.4699025266564</v>
      </c>
      <c r="D6587" s="4"/>
      <c r="E6587" s="4"/>
    </row>
    <row r="6588" spans="1:5" x14ac:dyDescent="0.3">
      <c r="A6588" s="9">
        <v>6580</v>
      </c>
      <c r="B6588" s="10">
        <f t="shared" ca="1" si="102"/>
        <v>6.8719486053075013E-2</v>
      </c>
      <c r="C6588" s="10">
        <f ca="1">NPV(B6588,Project_FCF!C18:J18)+Project_FCF!B18</f>
        <v>1037.6791157206148</v>
      </c>
      <c r="D6588" s="4"/>
      <c r="E6588" s="4"/>
    </row>
    <row r="6589" spans="1:5" x14ac:dyDescent="0.3">
      <c r="A6589" s="9">
        <v>6581</v>
      </c>
      <c r="B6589" s="10">
        <f t="shared" ca="1" si="102"/>
        <v>0.1011594937853052</v>
      </c>
      <c r="C6589" s="10">
        <f ca="1">NPV(B6589,Project_FCF!C18:J18)+Project_FCF!B18</f>
        <v>774.33395845794143</v>
      </c>
      <c r="D6589" s="4"/>
      <c r="E6589" s="4"/>
    </row>
    <row r="6590" spans="1:5" x14ac:dyDescent="0.3">
      <c r="A6590" s="9">
        <v>6582</v>
      </c>
      <c r="B6590" s="10">
        <f t="shared" ca="1" si="102"/>
        <v>8.0452072025317983E-2</v>
      </c>
      <c r="C6590" s="10">
        <f ca="1">NPV(B6590,Project_FCF!C18:J18)+Project_FCF!B18</f>
        <v>934.54813862428841</v>
      </c>
      <c r="D6590" s="4"/>
      <c r="E6590" s="4"/>
    </row>
    <row r="6591" spans="1:5" x14ac:dyDescent="0.3">
      <c r="A6591" s="9">
        <v>6583</v>
      </c>
      <c r="B6591" s="10">
        <f t="shared" ca="1" si="102"/>
        <v>8.1882821663030431E-2</v>
      </c>
      <c r="C6591" s="10">
        <f ca="1">NPV(B6591,Project_FCF!C18:J18)+Project_FCF!B18</f>
        <v>922.6185171884631</v>
      </c>
      <c r="D6591" s="4"/>
      <c r="E6591" s="4"/>
    </row>
    <row r="6592" spans="1:5" x14ac:dyDescent="0.3">
      <c r="A6592" s="9">
        <v>6584</v>
      </c>
      <c r="B6592" s="10">
        <f t="shared" ca="1" si="102"/>
        <v>7.5066072419309807E-2</v>
      </c>
      <c r="C6592" s="10">
        <f ca="1">NPV(B6592,Project_FCF!C18:J18)+Project_FCF!B18</f>
        <v>980.69346125919014</v>
      </c>
      <c r="D6592" s="4"/>
      <c r="E6592" s="4"/>
    </row>
    <row r="6593" spans="1:5" x14ac:dyDescent="0.3">
      <c r="A6593" s="9">
        <v>6585</v>
      </c>
      <c r="B6593" s="10">
        <f t="shared" ca="1" si="102"/>
        <v>7.68258817154059E-2</v>
      </c>
      <c r="C6593" s="10">
        <f ca="1">NPV(B6593,Project_FCF!C18:J18)+Project_FCF!B18</f>
        <v>965.39779244444594</v>
      </c>
      <c r="D6593" s="4"/>
      <c r="E6593" s="4"/>
    </row>
    <row r="6594" spans="1:5" x14ac:dyDescent="0.3">
      <c r="A6594" s="9">
        <v>6586</v>
      </c>
      <c r="B6594" s="10">
        <f t="shared" ca="1" si="102"/>
        <v>9.9884770235345727E-2</v>
      </c>
      <c r="C6594" s="10">
        <f ca="1">NPV(B6594,Project_FCF!C18:J18)+Project_FCF!B18</f>
        <v>783.46456080207531</v>
      </c>
      <c r="D6594" s="4"/>
      <c r="E6594" s="4"/>
    </row>
    <row r="6595" spans="1:5" x14ac:dyDescent="0.3">
      <c r="A6595" s="9">
        <v>6587</v>
      </c>
      <c r="B6595" s="10">
        <f t="shared" ca="1" si="102"/>
        <v>7.219546880620735E-2</v>
      </c>
      <c r="C6595" s="10">
        <f ca="1">NPV(B6595,Project_FCF!C18:J18)+Project_FCF!B18</f>
        <v>1006.1098610403508</v>
      </c>
      <c r="D6595" s="4"/>
      <c r="E6595" s="4"/>
    </row>
    <row r="6596" spans="1:5" x14ac:dyDescent="0.3">
      <c r="A6596" s="9">
        <v>6588</v>
      </c>
      <c r="B6596" s="10">
        <f t="shared" ca="1" si="102"/>
        <v>8.6033059358056399E-2</v>
      </c>
      <c r="C6596" s="10">
        <f ca="1">NPV(B6596,Project_FCF!C18:J18)+Project_FCF!B18</f>
        <v>888.76863128715627</v>
      </c>
      <c r="D6596" s="4"/>
      <c r="E6596" s="4"/>
    </row>
    <row r="6597" spans="1:5" x14ac:dyDescent="0.3">
      <c r="A6597" s="9">
        <v>6589</v>
      </c>
      <c r="B6597" s="10">
        <f t="shared" ca="1" si="102"/>
        <v>8.8156895726240816E-2</v>
      </c>
      <c r="C6597" s="10">
        <f ca="1">NPV(B6597,Project_FCF!C18:J18)+Project_FCF!B18</f>
        <v>871.870709647377</v>
      </c>
      <c r="D6597" s="4"/>
      <c r="E6597" s="4"/>
    </row>
    <row r="6598" spans="1:5" x14ac:dyDescent="0.3">
      <c r="A6598" s="9">
        <v>6590</v>
      </c>
      <c r="B6598" s="10">
        <f t="shared" ca="1" si="102"/>
        <v>0.10092016214471816</v>
      </c>
      <c r="C6598" s="10">
        <f ca="1">NPV(B6598,Project_FCF!C18:J18)+Project_FCF!B18</f>
        <v>776.04136015116092</v>
      </c>
      <c r="D6598" s="4"/>
      <c r="E6598" s="4"/>
    </row>
    <row r="6599" spans="1:5" x14ac:dyDescent="0.3">
      <c r="A6599" s="9">
        <v>6591</v>
      </c>
      <c r="B6599" s="10">
        <f t="shared" ca="1" si="102"/>
        <v>8.5574848858991762E-2</v>
      </c>
      <c r="C6599" s="10">
        <f ca="1">NPV(B6599,Project_FCF!C18:J18)+Project_FCF!B18</f>
        <v>892.45156348438286</v>
      </c>
      <c r="D6599" s="4"/>
      <c r="E6599" s="4"/>
    </row>
    <row r="6600" spans="1:5" x14ac:dyDescent="0.3">
      <c r="A6600" s="9">
        <v>6592</v>
      </c>
      <c r="B6600" s="10">
        <f t="shared" ca="1" si="102"/>
        <v>0.10379374285199428</v>
      </c>
      <c r="C6600" s="10">
        <f ca="1">NPV(B6600,Project_FCF!C18:J18)+Project_FCF!B18</f>
        <v>755.74904161320455</v>
      </c>
      <c r="D6600" s="4"/>
      <c r="E6600" s="4"/>
    </row>
    <row r="6601" spans="1:5" x14ac:dyDescent="0.3">
      <c r="A6601" s="9">
        <v>6593</v>
      </c>
      <c r="B6601" s="10">
        <f t="shared" ref="B6601:B6664" ca="1" si="103">$B$4+RAND()*($B$5-$B$4)</f>
        <v>7.3374586082486426E-2</v>
      </c>
      <c r="C6601" s="10">
        <f ca="1">NPV(B6601,Project_FCF!C18:J18)+Project_FCF!B18</f>
        <v>995.59925791493879</v>
      </c>
      <c r="D6601" s="4"/>
      <c r="E6601" s="4"/>
    </row>
    <row r="6602" spans="1:5" x14ac:dyDescent="0.3">
      <c r="A6602" s="9">
        <v>6594</v>
      </c>
      <c r="B6602" s="10">
        <f t="shared" ca="1" si="103"/>
        <v>6.5527231838135747E-2</v>
      </c>
      <c r="C6602" s="10">
        <f ca="1">NPV(B6602,Project_FCF!C18:J18)+Project_FCF!B18</f>
        <v>1067.4590247878216</v>
      </c>
      <c r="D6602" s="4"/>
      <c r="E6602" s="4"/>
    </row>
    <row r="6603" spans="1:5" x14ac:dyDescent="0.3">
      <c r="A6603" s="9">
        <v>6595</v>
      </c>
      <c r="B6603" s="10">
        <f t="shared" ca="1" si="103"/>
        <v>6.6324117242538339E-2</v>
      </c>
      <c r="C6603" s="10">
        <f ca="1">NPV(B6603,Project_FCF!C18:J18)+Project_FCF!B18</f>
        <v>1059.9531502390523</v>
      </c>
      <c r="D6603" s="4"/>
      <c r="E6603" s="4"/>
    </row>
    <row r="6604" spans="1:5" x14ac:dyDescent="0.3">
      <c r="A6604" s="9">
        <v>6596</v>
      </c>
      <c r="B6604" s="10">
        <f t="shared" ca="1" si="103"/>
        <v>6.5769687460036974E-2</v>
      </c>
      <c r="C6604" s="10">
        <f ca="1">NPV(B6604,Project_FCF!C18:J18)+Project_FCF!B18</f>
        <v>1065.1702237646664</v>
      </c>
      <c r="D6604" s="4"/>
      <c r="E6604" s="4"/>
    </row>
    <row r="6605" spans="1:5" x14ac:dyDescent="0.3">
      <c r="A6605" s="9">
        <v>6597</v>
      </c>
      <c r="B6605" s="10">
        <f t="shared" ca="1" si="103"/>
        <v>0.10285721535932559</v>
      </c>
      <c r="C6605" s="10">
        <f ca="1">NPV(B6605,Project_FCF!C18:J18)+Project_FCF!B18</f>
        <v>762.31292191961415</v>
      </c>
      <c r="D6605" s="4"/>
      <c r="E6605" s="4"/>
    </row>
    <row r="6606" spans="1:5" x14ac:dyDescent="0.3">
      <c r="A6606" s="9">
        <v>6598</v>
      </c>
      <c r="B6606" s="10">
        <f t="shared" ca="1" si="103"/>
        <v>7.8646815676447296E-2</v>
      </c>
      <c r="C6606" s="10">
        <f ca="1">NPV(B6606,Project_FCF!C18:J18)+Project_FCF!B18</f>
        <v>949.79506092011297</v>
      </c>
      <c r="D6606" s="4"/>
      <c r="E6606" s="4"/>
    </row>
    <row r="6607" spans="1:5" x14ac:dyDescent="0.3">
      <c r="A6607" s="9">
        <v>6599</v>
      </c>
      <c r="B6607" s="10">
        <f t="shared" ca="1" si="103"/>
        <v>7.5925556520703708E-2</v>
      </c>
      <c r="C6607" s="10">
        <f ca="1">NPV(B6607,Project_FCF!C18:J18)+Project_FCF!B18</f>
        <v>973.19628716003444</v>
      </c>
      <c r="D6607" s="4"/>
      <c r="E6607" s="4"/>
    </row>
    <row r="6608" spans="1:5" x14ac:dyDescent="0.3">
      <c r="A6608" s="9">
        <v>6600</v>
      </c>
      <c r="B6608" s="10">
        <f t="shared" ca="1" si="103"/>
        <v>6.7061572762707744E-2</v>
      </c>
      <c r="C6608" s="10">
        <f ca="1">NPV(B6608,Project_FCF!C18:J18)+Project_FCF!B18</f>
        <v>1053.0498753258705</v>
      </c>
      <c r="D6608" s="4"/>
      <c r="E6608" s="4"/>
    </row>
    <row r="6609" spans="1:5" x14ac:dyDescent="0.3">
      <c r="A6609" s="9">
        <v>6601</v>
      </c>
      <c r="B6609" s="10">
        <f t="shared" ca="1" si="103"/>
        <v>7.7865065692895225E-2</v>
      </c>
      <c r="C6609" s="10">
        <f ca="1">NPV(B6609,Project_FCF!C18:J18)+Project_FCF!B18</f>
        <v>956.46581119571624</v>
      </c>
      <c r="D6609" s="4"/>
      <c r="E6609" s="4"/>
    </row>
    <row r="6610" spans="1:5" x14ac:dyDescent="0.3">
      <c r="A6610" s="9">
        <v>6602</v>
      </c>
      <c r="B6610" s="10">
        <f t="shared" ca="1" si="103"/>
        <v>7.3197378255823189E-2</v>
      </c>
      <c r="C6610" s="10">
        <f ca="1">NPV(B6610,Project_FCF!C18:J18)+Project_FCF!B18</f>
        <v>997.17255475839488</v>
      </c>
      <c r="D6610" s="4"/>
      <c r="E6610" s="4"/>
    </row>
    <row r="6611" spans="1:5" x14ac:dyDescent="0.3">
      <c r="A6611" s="9">
        <v>6603</v>
      </c>
      <c r="B6611" s="10">
        <f t="shared" ca="1" si="103"/>
        <v>9.1913368873768483E-2</v>
      </c>
      <c r="C6611" s="10">
        <f ca="1">NPV(B6611,Project_FCF!C18:J18)+Project_FCF!B18</f>
        <v>842.66570282203429</v>
      </c>
      <c r="D6611" s="4"/>
      <c r="E6611" s="4"/>
    </row>
    <row r="6612" spans="1:5" x14ac:dyDescent="0.3">
      <c r="A6612" s="9">
        <v>6604</v>
      </c>
      <c r="B6612" s="10">
        <f t="shared" ca="1" si="103"/>
        <v>0.10171515171799006</v>
      </c>
      <c r="C6612" s="10">
        <f ca="1">NPV(B6612,Project_FCF!C18:J18)+Project_FCF!B18</f>
        <v>770.38208008144579</v>
      </c>
      <c r="D6612" s="4"/>
      <c r="E6612" s="4"/>
    </row>
    <row r="6613" spans="1:5" x14ac:dyDescent="0.3">
      <c r="A6613" s="9">
        <v>6605</v>
      </c>
      <c r="B6613" s="10">
        <f t="shared" ca="1" si="103"/>
        <v>0.10347738473456897</v>
      </c>
      <c r="C6613" s="10">
        <f ca="1">NPV(B6613,Project_FCF!C18:J18)+Project_FCF!B18</f>
        <v>757.96099238242346</v>
      </c>
      <c r="D6613" s="4"/>
      <c r="E6613" s="4"/>
    </row>
    <row r="6614" spans="1:5" x14ac:dyDescent="0.3">
      <c r="A6614" s="9">
        <v>6606</v>
      </c>
      <c r="B6614" s="10">
        <f t="shared" ca="1" si="103"/>
        <v>6.9771763892410577E-2</v>
      </c>
      <c r="C6614" s="10">
        <f ca="1">NPV(B6614,Project_FCF!C18:J18)+Project_FCF!B18</f>
        <v>1028.0290764802432</v>
      </c>
      <c r="D6614" s="4"/>
      <c r="E6614" s="4"/>
    </row>
    <row r="6615" spans="1:5" x14ac:dyDescent="0.3">
      <c r="A6615" s="9">
        <v>6607</v>
      </c>
      <c r="B6615" s="10">
        <f t="shared" ca="1" si="103"/>
        <v>6.9606264825711514E-2</v>
      </c>
      <c r="C6615" s="10">
        <f ca="1">NPV(B6615,Project_FCF!C18:J18)+Project_FCF!B18</f>
        <v>1029.5414036450543</v>
      </c>
      <c r="D6615" s="4"/>
      <c r="E6615" s="4"/>
    </row>
    <row r="6616" spans="1:5" x14ac:dyDescent="0.3">
      <c r="A6616" s="9">
        <v>6608</v>
      </c>
      <c r="B6616" s="10">
        <f t="shared" ca="1" si="103"/>
        <v>7.1141866833676362E-2</v>
      </c>
      <c r="C6616" s="10">
        <f ca="1">NPV(B6616,Project_FCF!C18:J18)+Project_FCF!B18</f>
        <v>1015.58597307329</v>
      </c>
      <c r="D6616" s="4"/>
      <c r="E6616" s="4"/>
    </row>
    <row r="6617" spans="1:5" x14ac:dyDescent="0.3">
      <c r="A6617" s="9">
        <v>6609</v>
      </c>
      <c r="B6617" s="10">
        <f t="shared" ca="1" si="103"/>
        <v>7.5543210073005712E-2</v>
      </c>
      <c r="C6617" s="10">
        <f ca="1">NPV(B6617,Project_FCF!C18:J18)+Project_FCF!B18</f>
        <v>976.52509873152462</v>
      </c>
      <c r="D6617" s="4"/>
      <c r="E6617" s="4"/>
    </row>
    <row r="6618" spans="1:5" x14ac:dyDescent="0.3">
      <c r="A6618" s="9">
        <v>6610</v>
      </c>
      <c r="B6618" s="10">
        <f t="shared" ca="1" si="103"/>
        <v>7.7814518693243004E-2</v>
      </c>
      <c r="C6618" s="10">
        <f ca="1">NPV(B6618,Project_FCF!C18:J18)+Project_FCF!B18</f>
        <v>956.89856394954609</v>
      </c>
      <c r="D6618" s="4"/>
      <c r="E6618" s="4"/>
    </row>
    <row r="6619" spans="1:5" x14ac:dyDescent="0.3">
      <c r="A6619" s="9">
        <v>6611</v>
      </c>
      <c r="B6619" s="10">
        <f t="shared" ca="1" si="103"/>
        <v>7.8305662855484071E-2</v>
      </c>
      <c r="C6619" s="10">
        <f ca="1">NPV(B6619,Project_FCF!C18:J18)+Project_FCF!B18</f>
        <v>952.70104954080489</v>
      </c>
      <c r="D6619" s="4"/>
      <c r="E6619" s="4"/>
    </row>
    <row r="6620" spans="1:5" x14ac:dyDescent="0.3">
      <c r="A6620" s="9">
        <v>6612</v>
      </c>
      <c r="B6620" s="10">
        <f t="shared" ca="1" si="103"/>
        <v>9.6709203048061465E-2</v>
      </c>
      <c r="C6620" s="10">
        <f ca="1">NPV(B6620,Project_FCF!C18:J18)+Project_FCF!B18</f>
        <v>806.60813995382637</v>
      </c>
      <c r="D6620" s="4"/>
      <c r="E6620" s="4"/>
    </row>
    <row r="6621" spans="1:5" x14ac:dyDescent="0.3">
      <c r="A6621" s="9">
        <v>6613</v>
      </c>
      <c r="B6621" s="10">
        <f t="shared" ca="1" si="103"/>
        <v>9.7679031957555965E-2</v>
      </c>
      <c r="C6621" s="10">
        <f ca="1">NPV(B6621,Project_FCF!C18:J18)+Project_FCF!B18</f>
        <v>799.4792080633224</v>
      </c>
      <c r="D6621" s="4"/>
      <c r="E6621" s="4"/>
    </row>
    <row r="6622" spans="1:5" x14ac:dyDescent="0.3">
      <c r="A6622" s="9">
        <v>6614</v>
      </c>
      <c r="B6622" s="10">
        <f t="shared" ca="1" si="103"/>
        <v>9.4597598412711911E-2</v>
      </c>
      <c r="C6622" s="10">
        <f ca="1">NPV(B6622,Project_FCF!C18:J18)+Project_FCF!B18</f>
        <v>822.31780130122684</v>
      </c>
      <c r="D6622" s="4"/>
      <c r="E6622" s="4"/>
    </row>
    <row r="6623" spans="1:5" x14ac:dyDescent="0.3">
      <c r="A6623" s="9">
        <v>6615</v>
      </c>
      <c r="B6623" s="10">
        <f t="shared" ca="1" si="103"/>
        <v>9.3539496299193864E-2</v>
      </c>
      <c r="C6623" s="10">
        <f ca="1">NPV(B6623,Project_FCF!C18:J18)+Project_FCF!B18</f>
        <v>830.28777153601413</v>
      </c>
      <c r="D6623" s="4"/>
      <c r="E6623" s="4"/>
    </row>
    <row r="6624" spans="1:5" x14ac:dyDescent="0.3">
      <c r="A6624" s="9">
        <v>6616</v>
      </c>
      <c r="B6624" s="10">
        <f t="shared" ca="1" si="103"/>
        <v>6.5306105902408068E-2</v>
      </c>
      <c r="C6624" s="10">
        <f ca="1">NPV(B6624,Project_FCF!C18:J18)+Project_FCF!B18</f>
        <v>1069.5503793660969</v>
      </c>
      <c r="D6624" s="4"/>
      <c r="E6624" s="4"/>
    </row>
    <row r="6625" spans="1:5" x14ac:dyDescent="0.3">
      <c r="A6625" s="9">
        <v>6617</v>
      </c>
      <c r="B6625" s="10">
        <f t="shared" ca="1" si="103"/>
        <v>8.0144769608533825E-2</v>
      </c>
      <c r="C6625" s="10">
        <f ca="1">NPV(B6625,Project_FCF!C18:J18)+Project_FCF!B18</f>
        <v>937.12814961416552</v>
      </c>
      <c r="D6625" s="4"/>
      <c r="E6625" s="4"/>
    </row>
    <row r="6626" spans="1:5" x14ac:dyDescent="0.3">
      <c r="A6626" s="9">
        <v>6618</v>
      </c>
      <c r="B6626" s="10">
        <f t="shared" ca="1" si="103"/>
        <v>9.5743789850491853E-2</v>
      </c>
      <c r="C6626" s="10">
        <f ca="1">NPV(B6626,Project_FCF!C18:J18)+Project_FCF!B18</f>
        <v>813.75837245022467</v>
      </c>
      <c r="D6626" s="4"/>
      <c r="E6626" s="4"/>
    </row>
    <row r="6627" spans="1:5" x14ac:dyDescent="0.3">
      <c r="A6627" s="9">
        <v>6619</v>
      </c>
      <c r="B6627" s="10">
        <f t="shared" ca="1" si="103"/>
        <v>8.6245111077496148E-2</v>
      </c>
      <c r="C6627" s="10">
        <f ca="1">NPV(B6627,Project_FCF!C18:J18)+Project_FCF!B18</f>
        <v>887.06873742953326</v>
      </c>
      <c r="D6627" s="4"/>
      <c r="E6627" s="4"/>
    </row>
    <row r="6628" spans="1:5" x14ac:dyDescent="0.3">
      <c r="A6628" s="9">
        <v>6620</v>
      </c>
      <c r="B6628" s="10">
        <f t="shared" ca="1" si="103"/>
        <v>8.2310362459060663E-2</v>
      </c>
      <c r="C6628" s="10">
        <f ca="1">NPV(B6628,Project_FCF!C18:J18)+Project_FCF!B18</f>
        <v>919.07985582260858</v>
      </c>
      <c r="D6628" s="4"/>
      <c r="E6628" s="4"/>
    </row>
    <row r="6629" spans="1:5" x14ac:dyDescent="0.3">
      <c r="A6629" s="9">
        <v>6621</v>
      </c>
      <c r="B6629" s="10">
        <f t="shared" ca="1" si="103"/>
        <v>6.4830436123464563E-2</v>
      </c>
      <c r="C6629" s="10">
        <f ca="1">NPV(B6629,Project_FCF!C18:J18)+Project_FCF!B18</f>
        <v>1074.0618174110182</v>
      </c>
      <c r="D6629" s="4"/>
      <c r="E6629" s="4"/>
    </row>
    <row r="6630" spans="1:5" x14ac:dyDescent="0.3">
      <c r="A6630" s="9">
        <v>6622</v>
      </c>
      <c r="B6630" s="10">
        <f t="shared" ca="1" si="103"/>
        <v>7.8673217560437589E-2</v>
      </c>
      <c r="C6630" s="10">
        <f ca="1">NPV(B6630,Project_FCF!C18:J18)+Project_FCF!B18</f>
        <v>949.57049449280157</v>
      </c>
      <c r="D6630" s="4"/>
      <c r="E6630" s="4"/>
    </row>
    <row r="6631" spans="1:5" x14ac:dyDescent="0.3">
      <c r="A6631" s="9">
        <v>6623</v>
      </c>
      <c r="B6631" s="10">
        <f t="shared" ca="1" si="103"/>
        <v>9.9821662006242401E-2</v>
      </c>
      <c r="C6631" s="10">
        <f ca="1">NPV(B6631,Project_FCF!C18:J18)+Project_FCF!B18</f>
        <v>783.91894654730936</v>
      </c>
      <c r="D6631" s="4"/>
      <c r="E6631" s="4"/>
    </row>
    <row r="6632" spans="1:5" x14ac:dyDescent="0.3">
      <c r="A6632" s="9">
        <v>6624</v>
      </c>
      <c r="B6632" s="10">
        <f t="shared" ca="1" si="103"/>
        <v>9.937743849160624E-2</v>
      </c>
      <c r="C6632" s="10">
        <f ca="1">NPV(B6632,Project_FCF!C18:J18)+Project_FCF!B18</f>
        <v>787.12371700769518</v>
      </c>
      <c r="D6632" s="4"/>
      <c r="E6632" s="4"/>
    </row>
    <row r="6633" spans="1:5" x14ac:dyDescent="0.3">
      <c r="A6633" s="9">
        <v>6625</v>
      </c>
      <c r="B6633" s="10">
        <f t="shared" ca="1" si="103"/>
        <v>9.8519294356553558E-2</v>
      </c>
      <c r="C6633" s="10">
        <f ca="1">NPV(B6633,Project_FCF!C18:J18)+Project_FCF!B18</f>
        <v>793.34608842320677</v>
      </c>
      <c r="D6633" s="4"/>
      <c r="E6633" s="4"/>
    </row>
    <row r="6634" spans="1:5" x14ac:dyDescent="0.3">
      <c r="A6634" s="9">
        <v>6626</v>
      </c>
      <c r="B6634" s="10">
        <f t="shared" ca="1" si="103"/>
        <v>7.6798540864836909E-2</v>
      </c>
      <c r="C6634" s="10">
        <f ca="1">NPV(B6634,Project_FCF!C18:J18)+Project_FCF!B18</f>
        <v>965.63379199815813</v>
      </c>
      <c r="D6634" s="4"/>
      <c r="E6634" s="4"/>
    </row>
    <row r="6635" spans="1:5" x14ac:dyDescent="0.3">
      <c r="A6635" s="9">
        <v>6627</v>
      </c>
      <c r="B6635" s="10">
        <f t="shared" ca="1" si="103"/>
        <v>8.2060066766545439E-2</v>
      </c>
      <c r="C6635" s="10">
        <f ca="1">NPV(B6635,Project_FCF!C18:J18)+Project_FCF!B18</f>
        <v>921.1500433799049</v>
      </c>
      <c r="D6635" s="4"/>
      <c r="E6635" s="4"/>
    </row>
    <row r="6636" spans="1:5" x14ac:dyDescent="0.3">
      <c r="A6636" s="9">
        <v>6628</v>
      </c>
      <c r="B6636" s="10">
        <f t="shared" ca="1" si="103"/>
        <v>7.4889481723834486E-2</v>
      </c>
      <c r="C6636" s="10">
        <f ca="1">NPV(B6636,Project_FCF!C18:J18)+Project_FCF!B18</f>
        <v>982.24022066595739</v>
      </c>
      <c r="D6636" s="4"/>
      <c r="E6636" s="4"/>
    </row>
    <row r="6637" spans="1:5" x14ac:dyDescent="0.3">
      <c r="A6637" s="9">
        <v>6629</v>
      </c>
      <c r="B6637" s="10">
        <f t="shared" ca="1" si="103"/>
        <v>8.1530469738524777E-2</v>
      </c>
      <c r="C6637" s="10">
        <f ca="1">NPV(B6637,Project_FCF!C18:J18)+Project_FCF!B18</f>
        <v>925.54388349353485</v>
      </c>
      <c r="D6637" s="4"/>
      <c r="E6637" s="4"/>
    </row>
    <row r="6638" spans="1:5" x14ac:dyDescent="0.3">
      <c r="A6638" s="9">
        <v>6630</v>
      </c>
      <c r="B6638" s="10">
        <f t="shared" ca="1" si="103"/>
        <v>0.10169548400459308</v>
      </c>
      <c r="C6638" s="10">
        <f ca="1">NPV(B6638,Project_FCF!C18:J18)+Project_FCF!B18</f>
        <v>770.52166757949976</v>
      </c>
      <c r="D6638" s="4"/>
      <c r="E6638" s="4"/>
    </row>
    <row r="6639" spans="1:5" x14ac:dyDescent="0.3">
      <c r="A6639" s="9">
        <v>6631</v>
      </c>
      <c r="B6639" s="10">
        <f t="shared" ca="1" si="103"/>
        <v>8.3756685523631524E-2</v>
      </c>
      <c r="C6639" s="10">
        <f ca="1">NPV(B6639,Project_FCF!C18:J18)+Project_FCF!B18</f>
        <v>907.19739158492075</v>
      </c>
      <c r="D6639" s="4"/>
      <c r="E6639" s="4"/>
    </row>
    <row r="6640" spans="1:5" x14ac:dyDescent="0.3">
      <c r="A6640" s="9">
        <v>6632</v>
      </c>
      <c r="B6640" s="10">
        <f t="shared" ca="1" si="103"/>
        <v>9.6782154656107899E-2</v>
      </c>
      <c r="C6640" s="10">
        <f ca="1">NPV(B6640,Project_FCF!C18:J18)+Project_FCF!B18</f>
        <v>806.0700169009383</v>
      </c>
      <c r="D6640" s="4"/>
      <c r="E6640" s="4"/>
    </row>
    <row r="6641" spans="1:5" x14ac:dyDescent="0.3">
      <c r="A6641" s="9">
        <v>6633</v>
      </c>
      <c r="B6641" s="10">
        <f t="shared" ca="1" si="103"/>
        <v>8.0994056191152394E-2</v>
      </c>
      <c r="C6641" s="10">
        <f ca="1">NPV(B6641,Project_FCF!C18:J18)+Project_FCF!B18</f>
        <v>930.01312543796212</v>
      </c>
      <c r="D6641" s="4"/>
      <c r="E6641" s="4"/>
    </row>
    <row r="6642" spans="1:5" x14ac:dyDescent="0.3">
      <c r="A6642" s="9">
        <v>6634</v>
      </c>
      <c r="B6642" s="10">
        <f t="shared" ca="1" si="103"/>
        <v>9.2562718752873391E-2</v>
      </c>
      <c r="C6642" s="10">
        <f ca="1">NPV(B6642,Project_FCF!C18:J18)+Project_FCF!B18</f>
        <v>837.7039931862239</v>
      </c>
      <c r="D6642" s="4"/>
      <c r="E6642" s="4"/>
    </row>
    <row r="6643" spans="1:5" x14ac:dyDescent="0.3">
      <c r="A6643" s="9">
        <v>6635</v>
      </c>
      <c r="B6643" s="10">
        <f t="shared" ca="1" si="103"/>
        <v>9.0236206722836845E-2</v>
      </c>
      <c r="C6643" s="10">
        <f ca="1">NPV(B6643,Project_FCF!C18:J18)+Project_FCF!B18</f>
        <v>855.59850269403523</v>
      </c>
      <c r="D6643" s="4"/>
      <c r="E6643" s="4"/>
    </row>
    <row r="6644" spans="1:5" x14ac:dyDescent="0.3">
      <c r="A6644" s="9">
        <v>6636</v>
      </c>
      <c r="B6644" s="10">
        <f t="shared" ca="1" si="103"/>
        <v>8.2329078673751804E-2</v>
      </c>
      <c r="C6644" s="10">
        <f ca="1">NPV(B6644,Project_FCF!C18:J18)+Project_FCF!B18</f>
        <v>918.92521952323023</v>
      </c>
      <c r="D6644" s="4"/>
      <c r="E6644" s="4"/>
    </row>
    <row r="6645" spans="1:5" x14ac:dyDescent="0.3">
      <c r="A6645" s="9">
        <v>6637</v>
      </c>
      <c r="B6645" s="10">
        <f t="shared" ca="1" si="103"/>
        <v>8.6216808506548823E-2</v>
      </c>
      <c r="C6645" s="10">
        <f ca="1">NPV(B6645,Project_FCF!C18:J18)+Project_FCF!B18</f>
        <v>887.29545807170166</v>
      </c>
      <c r="D6645" s="4"/>
      <c r="E6645" s="4"/>
    </row>
    <row r="6646" spans="1:5" x14ac:dyDescent="0.3">
      <c r="A6646" s="9">
        <v>6638</v>
      </c>
      <c r="B6646" s="10">
        <f t="shared" ca="1" si="103"/>
        <v>7.4440950793018462E-2</v>
      </c>
      <c r="C6646" s="10">
        <f ca="1">NPV(B6646,Project_FCF!C18:J18)+Project_FCF!B18</f>
        <v>986.1787289548497</v>
      </c>
      <c r="D6646" s="4"/>
      <c r="E6646" s="4"/>
    </row>
    <row r="6647" spans="1:5" x14ac:dyDescent="0.3">
      <c r="A6647" s="9">
        <v>6639</v>
      </c>
      <c r="B6647" s="10">
        <f t="shared" ca="1" si="103"/>
        <v>9.1852344095285157E-2</v>
      </c>
      <c r="C6647" s="10">
        <f ca="1">NPV(B6647,Project_FCF!C18:J18)+Project_FCF!B18</f>
        <v>843.13329523258108</v>
      </c>
      <c r="D6647" s="4"/>
      <c r="E6647" s="4"/>
    </row>
    <row r="6648" spans="1:5" x14ac:dyDescent="0.3">
      <c r="A6648" s="9">
        <v>6640</v>
      </c>
      <c r="B6648" s="10">
        <f t="shared" ca="1" si="103"/>
        <v>6.7492237384582904E-2</v>
      </c>
      <c r="C6648" s="10">
        <f ca="1">NPV(B6648,Project_FCF!C18:J18)+Project_FCF!B18</f>
        <v>1049.0373785814702</v>
      </c>
      <c r="D6648" s="4"/>
      <c r="E6648" s="4"/>
    </row>
    <row r="6649" spans="1:5" x14ac:dyDescent="0.3">
      <c r="A6649" s="9">
        <v>6641</v>
      </c>
      <c r="B6649" s="10">
        <f t="shared" ca="1" si="103"/>
        <v>6.9252817601635486E-2</v>
      </c>
      <c r="C6649" s="10">
        <f ca="1">NPV(B6649,Project_FCF!C18:J18)+Project_FCF!B18</f>
        <v>1032.7779373805226</v>
      </c>
      <c r="D6649" s="4"/>
      <c r="E6649" s="4"/>
    </row>
    <row r="6650" spans="1:5" x14ac:dyDescent="0.3">
      <c r="A6650" s="9">
        <v>6642</v>
      </c>
      <c r="B6650" s="10">
        <f t="shared" ca="1" si="103"/>
        <v>6.4550224202091153E-2</v>
      </c>
      <c r="C6650" s="10">
        <f ca="1">NPV(B6650,Project_FCF!C18:J18)+Project_FCF!B18</f>
        <v>1076.7275779917193</v>
      </c>
      <c r="D6650" s="4"/>
      <c r="E6650" s="4"/>
    </row>
    <row r="6651" spans="1:5" x14ac:dyDescent="0.3">
      <c r="A6651" s="9">
        <v>6643</v>
      </c>
      <c r="B6651" s="10">
        <f t="shared" ca="1" si="103"/>
        <v>7.3668146694580633E-2</v>
      </c>
      <c r="C6651" s="10">
        <f ca="1">NPV(B6651,Project_FCF!C18:J18)+Project_FCF!B18</f>
        <v>992.9978534745685</v>
      </c>
      <c r="D6651" s="4"/>
      <c r="E6651" s="4"/>
    </row>
    <row r="6652" spans="1:5" x14ac:dyDescent="0.3">
      <c r="A6652" s="9">
        <v>6644</v>
      </c>
      <c r="B6652" s="10">
        <f t="shared" ca="1" si="103"/>
        <v>8.7636480698149916E-2</v>
      </c>
      <c r="C6652" s="10">
        <f ca="1">NPV(B6652,Project_FCF!C18:J18)+Project_FCF!B18</f>
        <v>875.98517854501392</v>
      </c>
      <c r="D6652" s="4"/>
      <c r="E6652" s="4"/>
    </row>
    <row r="6653" spans="1:5" x14ac:dyDescent="0.3">
      <c r="A6653" s="9">
        <v>6645</v>
      </c>
      <c r="B6653" s="10">
        <f t="shared" ca="1" si="103"/>
        <v>6.9864848304451638E-2</v>
      </c>
      <c r="C6653" s="10">
        <f ca="1">NPV(B6653,Project_FCF!C18:J18)+Project_FCF!B18</f>
        <v>1027.1793558312447</v>
      </c>
      <c r="D6653" s="4"/>
      <c r="E6653" s="4"/>
    </row>
    <row r="6654" spans="1:5" x14ac:dyDescent="0.3">
      <c r="A6654" s="9">
        <v>6646</v>
      </c>
      <c r="B6654" s="10">
        <f t="shared" ca="1" si="103"/>
        <v>0.10337828953129533</v>
      </c>
      <c r="C6654" s="10">
        <f ca="1">NPV(B6654,Project_FCF!C18:J18)+Project_FCF!B18</f>
        <v>758.65497318384746</v>
      </c>
      <c r="D6654" s="4"/>
      <c r="E6654" s="4"/>
    </row>
    <row r="6655" spans="1:5" x14ac:dyDescent="0.3">
      <c r="A6655" s="9">
        <v>6647</v>
      </c>
      <c r="B6655" s="10">
        <f t="shared" ca="1" si="103"/>
        <v>8.5987487592684417E-2</v>
      </c>
      <c r="C6655" s="10">
        <f ca="1">NPV(B6655,Project_FCF!C18:J18)+Project_FCF!B18</f>
        <v>889.13432473826265</v>
      </c>
      <c r="D6655" s="4"/>
      <c r="E6655" s="4"/>
    </row>
    <row r="6656" spans="1:5" x14ac:dyDescent="0.3">
      <c r="A6656" s="9">
        <v>6648</v>
      </c>
      <c r="B6656" s="10">
        <f t="shared" ca="1" si="103"/>
        <v>8.4428987744982004E-2</v>
      </c>
      <c r="C6656" s="10">
        <f ca="1">NPV(B6656,Project_FCF!C18:J18)+Project_FCF!B18</f>
        <v>901.72012424240779</v>
      </c>
      <c r="D6656" s="4"/>
      <c r="E6656" s="4"/>
    </row>
    <row r="6657" spans="1:5" x14ac:dyDescent="0.3">
      <c r="A6657" s="9">
        <v>6649</v>
      </c>
      <c r="B6657" s="10">
        <f t="shared" ca="1" si="103"/>
        <v>7.7662765242916931E-2</v>
      </c>
      <c r="C6657" s="10">
        <f ca="1">NPV(B6657,Project_FCF!C18:J18)+Project_FCF!B18</f>
        <v>958.19883169914806</v>
      </c>
      <c r="D6657" s="4"/>
      <c r="E6657" s="4"/>
    </row>
    <row r="6658" spans="1:5" x14ac:dyDescent="0.3">
      <c r="A6658" s="9">
        <v>6650</v>
      </c>
      <c r="B6658" s="10">
        <f t="shared" ca="1" si="103"/>
        <v>0.1029969367211761</v>
      </c>
      <c r="C6658" s="10">
        <f ca="1">NPV(B6658,Project_FCF!C18:J18)+Project_FCF!B18</f>
        <v>761.33062665764555</v>
      </c>
      <c r="D6658" s="4"/>
      <c r="E6658" s="4"/>
    </row>
    <row r="6659" spans="1:5" x14ac:dyDescent="0.3">
      <c r="A6659" s="9">
        <v>6651</v>
      </c>
      <c r="B6659" s="10">
        <f t="shared" ca="1" si="103"/>
        <v>9.9919647149312923E-2</v>
      </c>
      <c r="C6659" s="10">
        <f ca="1">NPV(B6659,Project_FCF!C18:J18)+Project_FCF!B18</f>
        <v>783.21353904367288</v>
      </c>
      <c r="D6659" s="4"/>
      <c r="E6659" s="4"/>
    </row>
    <row r="6660" spans="1:5" x14ac:dyDescent="0.3">
      <c r="A6660" s="9">
        <v>6652</v>
      </c>
      <c r="B6660" s="10">
        <f t="shared" ca="1" si="103"/>
        <v>6.9498320684689363E-2</v>
      </c>
      <c r="C6660" s="10">
        <f ca="1">NPV(B6660,Project_FCF!C18:J18)+Project_FCF!B18</f>
        <v>1030.5288788729551</v>
      </c>
      <c r="D6660" s="4"/>
      <c r="E6660" s="4"/>
    </row>
    <row r="6661" spans="1:5" x14ac:dyDescent="0.3">
      <c r="A6661" s="9">
        <v>6653</v>
      </c>
      <c r="B6661" s="10">
        <f t="shared" ca="1" si="103"/>
        <v>7.1345749581047627E-2</v>
      </c>
      <c r="C6661" s="10">
        <f ca="1">NPV(B6661,Project_FCF!C18:J18)+Project_FCF!B18</f>
        <v>1013.7459984740094</v>
      </c>
      <c r="D6661" s="4"/>
      <c r="E6661" s="4"/>
    </row>
    <row r="6662" spans="1:5" x14ac:dyDescent="0.3">
      <c r="A6662" s="9">
        <v>6654</v>
      </c>
      <c r="B6662" s="10">
        <f t="shared" ca="1" si="103"/>
        <v>7.9859098707801543E-2</v>
      </c>
      <c r="C6662" s="10">
        <f ca="1">NPV(B6662,Project_FCF!C18:J18)+Project_FCF!B18</f>
        <v>939.53220270370025</v>
      </c>
      <c r="D6662" s="4"/>
      <c r="E6662" s="4"/>
    </row>
    <row r="6663" spans="1:5" x14ac:dyDescent="0.3">
      <c r="A6663" s="9">
        <v>6655</v>
      </c>
      <c r="B6663" s="10">
        <f t="shared" ca="1" si="103"/>
        <v>8.8923926084164814E-2</v>
      </c>
      <c r="C6663" s="10">
        <f ca="1">NPV(B6663,Project_FCF!C18:J18)+Project_FCF!B18</f>
        <v>865.83711271223638</v>
      </c>
      <c r="D6663" s="4"/>
      <c r="E6663" s="4"/>
    </row>
    <row r="6664" spans="1:5" x14ac:dyDescent="0.3">
      <c r="A6664" s="9">
        <v>6656</v>
      </c>
      <c r="B6664" s="10">
        <f t="shared" ca="1" si="103"/>
        <v>7.8417097610049558E-2</v>
      </c>
      <c r="C6664" s="10">
        <f ca="1">NPV(B6664,Project_FCF!C18:J18)+Project_FCF!B18</f>
        <v>951.75096483555012</v>
      </c>
      <c r="D6664" s="4"/>
      <c r="E6664" s="4"/>
    </row>
    <row r="6665" spans="1:5" x14ac:dyDescent="0.3">
      <c r="A6665" s="9">
        <v>6657</v>
      </c>
      <c r="B6665" s="10">
        <f t="shared" ref="B6665:B6728" ca="1" si="104">$B$4+RAND()*($B$5-$B$4)</f>
        <v>7.1775290368476283E-2</v>
      </c>
      <c r="C6665" s="10">
        <f ca="1">NPV(B6665,Project_FCF!C18:J18)+Project_FCF!B18</f>
        <v>1009.8793628292508</v>
      </c>
      <c r="D6665" s="4"/>
      <c r="E6665" s="4"/>
    </row>
    <row r="6666" spans="1:5" x14ac:dyDescent="0.3">
      <c r="A6666" s="9">
        <v>6658</v>
      </c>
      <c r="B6666" s="10">
        <f t="shared" ca="1" si="104"/>
        <v>6.8570294451058222E-2</v>
      </c>
      <c r="C6666" s="10">
        <f ca="1">NPV(B6666,Project_FCF!C18:J18)+Project_FCF!B18</f>
        <v>1039.0539134128089</v>
      </c>
      <c r="D6666" s="4"/>
      <c r="E6666" s="4"/>
    </row>
    <row r="6667" spans="1:5" x14ac:dyDescent="0.3">
      <c r="A6667" s="9">
        <v>6659</v>
      </c>
      <c r="B6667" s="10">
        <f t="shared" ca="1" si="104"/>
        <v>8.1615707583851657E-2</v>
      </c>
      <c r="C6667" s="10">
        <f ca="1">NPV(B6667,Project_FCF!C18:J18)+Project_FCF!B18</f>
        <v>924.83545541200488</v>
      </c>
      <c r="D6667" s="4"/>
      <c r="E6667" s="4"/>
    </row>
    <row r="6668" spans="1:5" x14ac:dyDescent="0.3">
      <c r="A6668" s="9">
        <v>6660</v>
      </c>
      <c r="B6668" s="10">
        <f t="shared" ca="1" si="104"/>
        <v>6.7229821769491466E-2</v>
      </c>
      <c r="C6668" s="10">
        <f ca="1">NPV(B6668,Project_FCF!C18:J18)+Project_FCF!B18</f>
        <v>1051.4806449030241</v>
      </c>
      <c r="D6668" s="4"/>
      <c r="E6668" s="4"/>
    </row>
    <row r="6669" spans="1:5" x14ac:dyDescent="0.3">
      <c r="A6669" s="9">
        <v>6661</v>
      </c>
      <c r="B6669" s="10">
        <f t="shared" ca="1" si="104"/>
        <v>0.10215531117762565</v>
      </c>
      <c r="C6669" s="10">
        <f ca="1">NPV(B6669,Project_FCF!C18:J18)+Project_FCF!B18</f>
        <v>767.26370436301681</v>
      </c>
      <c r="D6669" s="4"/>
      <c r="E6669" s="4"/>
    </row>
    <row r="6670" spans="1:5" x14ac:dyDescent="0.3">
      <c r="A6670" s="9">
        <v>6662</v>
      </c>
      <c r="B6670" s="10">
        <f t="shared" ca="1" si="104"/>
        <v>7.6964297988186228E-2</v>
      </c>
      <c r="C6670" s="10">
        <f ca="1">NPV(B6670,Project_FCF!C18:J18)+Project_FCF!B18</f>
        <v>964.20380575258105</v>
      </c>
      <c r="D6670" s="4"/>
      <c r="E6670" s="4"/>
    </row>
    <row r="6671" spans="1:5" x14ac:dyDescent="0.3">
      <c r="A6671" s="9">
        <v>6663</v>
      </c>
      <c r="B6671" s="10">
        <f t="shared" ca="1" si="104"/>
        <v>0.10287172210926926</v>
      </c>
      <c r="C6671" s="10">
        <f ca="1">NPV(B6671,Project_FCF!C18:J18)+Project_FCF!B18</f>
        <v>762.2108843758208</v>
      </c>
      <c r="D6671" s="4"/>
      <c r="E6671" s="4"/>
    </row>
    <row r="6672" spans="1:5" x14ac:dyDescent="0.3">
      <c r="A6672" s="9">
        <v>6664</v>
      </c>
      <c r="B6672" s="10">
        <f t="shared" ca="1" si="104"/>
        <v>6.481907626705001E-2</v>
      </c>
      <c r="C6672" s="10">
        <f ca="1">NPV(B6672,Project_FCF!C18:J18)+Project_FCF!B18</f>
        <v>1074.1697706872831</v>
      </c>
      <c r="D6672" s="4"/>
      <c r="E6672" s="4"/>
    </row>
    <row r="6673" spans="1:5" x14ac:dyDescent="0.3">
      <c r="A6673" s="9">
        <v>6665</v>
      </c>
      <c r="B6673" s="10">
        <f t="shared" ca="1" si="104"/>
        <v>6.5997925378187425E-2</v>
      </c>
      <c r="C6673" s="10">
        <f ca="1">NPV(B6673,Project_FCF!C18:J18)+Project_FCF!B18</f>
        <v>1063.0197254924631</v>
      </c>
      <c r="D6673" s="4"/>
      <c r="E6673" s="4"/>
    </row>
    <row r="6674" spans="1:5" x14ac:dyDescent="0.3">
      <c r="A6674" s="9">
        <v>6666</v>
      </c>
      <c r="B6674" s="10">
        <f t="shared" ca="1" si="104"/>
        <v>6.5183968272967741E-2</v>
      </c>
      <c r="C6674" s="10">
        <f ca="1">NPV(B6674,Project_FCF!C18:J18)+Project_FCF!B18</f>
        <v>1070.7071279550773</v>
      </c>
      <c r="D6674" s="4"/>
      <c r="E6674" s="4"/>
    </row>
    <row r="6675" spans="1:5" x14ac:dyDescent="0.3">
      <c r="A6675" s="9">
        <v>6667</v>
      </c>
      <c r="B6675" s="10">
        <f t="shared" ca="1" si="104"/>
        <v>8.0753897621935355E-2</v>
      </c>
      <c r="C6675" s="10">
        <f ca="1">NPV(B6675,Project_FCF!C18:J18)+Project_FCF!B18</f>
        <v>932.02022841280291</v>
      </c>
      <c r="D6675" s="4"/>
      <c r="E6675" s="4"/>
    </row>
    <row r="6676" spans="1:5" x14ac:dyDescent="0.3">
      <c r="A6676" s="9">
        <v>6668</v>
      </c>
      <c r="B6676" s="10">
        <f t="shared" ca="1" si="104"/>
        <v>7.9410158199963873E-2</v>
      </c>
      <c r="C6676" s="10">
        <f ca="1">NPV(B6676,Project_FCF!C18:J18)+Project_FCF!B18</f>
        <v>943.32128619744685</v>
      </c>
      <c r="D6676" s="4"/>
      <c r="E6676" s="4"/>
    </row>
    <row r="6677" spans="1:5" x14ac:dyDescent="0.3">
      <c r="A6677" s="9">
        <v>6669</v>
      </c>
      <c r="B6677" s="10">
        <f t="shared" ca="1" si="104"/>
        <v>0.10368251155695418</v>
      </c>
      <c r="C6677" s="10">
        <f ca="1">NPV(B6677,Project_FCF!C18:J18)+Project_FCF!B18</f>
        <v>756.52614456368974</v>
      </c>
      <c r="D6677" s="4"/>
      <c r="E6677" s="4"/>
    </row>
    <row r="6678" spans="1:5" x14ac:dyDescent="0.3">
      <c r="A6678" s="9">
        <v>6670</v>
      </c>
      <c r="B6678" s="10">
        <f t="shared" ca="1" si="104"/>
        <v>6.9098135593669507E-2</v>
      </c>
      <c r="C6678" s="10">
        <f ca="1">NPV(B6678,Project_FCF!C18:J18)+Project_FCF!B18</f>
        <v>1034.1972623378249</v>
      </c>
      <c r="D6678" s="4"/>
      <c r="E6678" s="4"/>
    </row>
    <row r="6679" spans="1:5" x14ac:dyDescent="0.3">
      <c r="A6679" s="9">
        <v>6671</v>
      </c>
      <c r="B6679" s="10">
        <f t="shared" ca="1" si="104"/>
        <v>8.9051272825475508E-2</v>
      </c>
      <c r="C6679" s="10">
        <f ca="1">NPV(B6679,Project_FCF!C18:J18)+Project_FCF!B18</f>
        <v>864.83890021491607</v>
      </c>
      <c r="D6679" s="4"/>
      <c r="E6679" s="4"/>
    </row>
    <row r="6680" spans="1:5" x14ac:dyDescent="0.3">
      <c r="A6680" s="9">
        <v>6672</v>
      </c>
      <c r="B6680" s="10">
        <f t="shared" ca="1" si="104"/>
        <v>8.2349146513052363E-2</v>
      </c>
      <c r="C6680" s="10">
        <f ca="1">NPV(B6680,Project_FCF!C18:J18)+Project_FCF!B18</f>
        <v>918.75944135908344</v>
      </c>
      <c r="D6680" s="4"/>
      <c r="E6680" s="4"/>
    </row>
    <row r="6681" spans="1:5" x14ac:dyDescent="0.3">
      <c r="A6681" s="9">
        <v>6673</v>
      </c>
      <c r="B6681" s="10">
        <f t="shared" ca="1" si="104"/>
        <v>9.9593743447580055E-2</v>
      </c>
      <c r="C6681" s="10">
        <f ca="1">NPV(B6681,Project_FCF!C18:J18)+Project_FCF!B18</f>
        <v>785.56184119691102</v>
      </c>
      <c r="D6681" s="4"/>
      <c r="E6681" s="4"/>
    </row>
    <row r="6682" spans="1:5" x14ac:dyDescent="0.3">
      <c r="A6682" s="9">
        <v>6674</v>
      </c>
      <c r="B6682" s="10">
        <f t="shared" ca="1" si="104"/>
        <v>6.6610252277077342E-2</v>
      </c>
      <c r="C6682" s="10">
        <f ca="1">NPV(B6682,Project_FCF!C18:J18)+Project_FCF!B18</f>
        <v>1057.2697862257598</v>
      </c>
      <c r="D6682" s="4"/>
      <c r="E6682" s="4"/>
    </row>
    <row r="6683" spans="1:5" x14ac:dyDescent="0.3">
      <c r="A6683" s="9">
        <v>6675</v>
      </c>
      <c r="B6683" s="10">
        <f t="shared" ca="1" si="104"/>
        <v>6.9611827284894887E-2</v>
      </c>
      <c r="C6683" s="10">
        <f ca="1">NPV(B6683,Project_FCF!C18:J18)+Project_FCF!B18</f>
        <v>1029.4905413486024</v>
      </c>
      <c r="D6683" s="4"/>
      <c r="E6683" s="4"/>
    </row>
    <row r="6684" spans="1:5" x14ac:dyDescent="0.3">
      <c r="A6684" s="9">
        <v>6676</v>
      </c>
      <c r="B6684" s="10">
        <f t="shared" ca="1" si="104"/>
        <v>9.6199444761835493E-2</v>
      </c>
      <c r="C6684" s="10">
        <f ca="1">NPV(B6684,Project_FCF!C18:J18)+Project_FCF!B18</f>
        <v>810.37689888766499</v>
      </c>
      <c r="D6684" s="4"/>
      <c r="E6684" s="4"/>
    </row>
    <row r="6685" spans="1:5" x14ac:dyDescent="0.3">
      <c r="A6685" s="9">
        <v>6677</v>
      </c>
      <c r="B6685" s="10">
        <f t="shared" ca="1" si="104"/>
        <v>6.9392130894656803E-2</v>
      </c>
      <c r="C6685" s="10">
        <f ca="1">NPV(B6685,Project_FCF!C18:J18)+Project_FCF!B18</f>
        <v>1031.5011411771172</v>
      </c>
      <c r="D6685" s="4"/>
      <c r="E6685" s="4"/>
    </row>
    <row r="6686" spans="1:5" x14ac:dyDescent="0.3">
      <c r="A6686" s="9">
        <v>6678</v>
      </c>
      <c r="B6686" s="10">
        <f t="shared" ca="1" si="104"/>
        <v>6.9929917105460149E-2</v>
      </c>
      <c r="C6686" s="10">
        <f ca="1">NPV(B6686,Project_FCF!C18:J18)+Project_FCF!B18</f>
        <v>1026.5857526437419</v>
      </c>
      <c r="D6686" s="4"/>
      <c r="E6686" s="4"/>
    </row>
    <row r="6687" spans="1:5" x14ac:dyDescent="0.3">
      <c r="A6687" s="9">
        <v>6679</v>
      </c>
      <c r="B6687" s="10">
        <f t="shared" ca="1" si="104"/>
        <v>9.5455980291713899E-2</v>
      </c>
      <c r="C6687" s="10">
        <f ca="1">NPV(B6687,Project_FCF!C18:J18)+Project_FCF!B18</f>
        <v>815.9004511260564</v>
      </c>
      <c r="D6687" s="4"/>
      <c r="E6687" s="4"/>
    </row>
    <row r="6688" spans="1:5" x14ac:dyDescent="0.3">
      <c r="A6688" s="9">
        <v>6680</v>
      </c>
      <c r="B6688" s="10">
        <f t="shared" ca="1" si="104"/>
        <v>9.3006122351973586E-2</v>
      </c>
      <c r="C6688" s="10">
        <f ca="1">NPV(B6688,Project_FCF!C18:J18)+Project_FCF!B18</f>
        <v>834.33040280761179</v>
      </c>
      <c r="D6688" s="4"/>
      <c r="E6688" s="4"/>
    </row>
    <row r="6689" spans="1:5" x14ac:dyDescent="0.3">
      <c r="A6689" s="9">
        <v>6681</v>
      </c>
      <c r="B6689" s="10">
        <f t="shared" ca="1" si="104"/>
        <v>0.10308317543506718</v>
      </c>
      <c r="C6689" s="10">
        <f ca="1">NPV(B6689,Project_FCF!C18:J18)+Project_FCF!B18</f>
        <v>760.7248655501769</v>
      </c>
      <c r="D6689" s="4"/>
      <c r="E6689" s="4"/>
    </row>
    <row r="6690" spans="1:5" x14ac:dyDescent="0.3">
      <c r="A6690" s="9">
        <v>6682</v>
      </c>
      <c r="B6690" s="10">
        <f t="shared" ca="1" si="104"/>
        <v>9.7058844213496628E-2</v>
      </c>
      <c r="C6690" s="10">
        <f ca="1">NPV(B6690,Project_FCF!C18:J18)+Project_FCF!B18</f>
        <v>804.03181360831786</v>
      </c>
      <c r="D6690" s="4"/>
      <c r="E6690" s="4"/>
    </row>
    <row r="6691" spans="1:5" x14ac:dyDescent="0.3">
      <c r="A6691" s="9">
        <v>6683</v>
      </c>
      <c r="B6691" s="10">
        <f t="shared" ca="1" si="104"/>
        <v>7.2355158160215371E-2</v>
      </c>
      <c r="C6691" s="10">
        <f ca="1">NPV(B6691,Project_FCF!C18:J18)+Project_FCF!B18</f>
        <v>1004.6805811178797</v>
      </c>
      <c r="D6691" s="4"/>
      <c r="E6691" s="4"/>
    </row>
    <row r="6692" spans="1:5" x14ac:dyDescent="0.3">
      <c r="A6692" s="9">
        <v>6684</v>
      </c>
      <c r="B6692" s="10">
        <f t="shared" ca="1" si="104"/>
        <v>6.9175947483609154E-2</v>
      </c>
      <c r="C6692" s="10">
        <f ca="1">NPV(B6692,Project_FCF!C18:J18)+Project_FCF!B18</f>
        <v>1033.4830585869968</v>
      </c>
      <c r="D6692" s="4"/>
      <c r="E6692" s="4"/>
    </row>
    <row r="6693" spans="1:5" x14ac:dyDescent="0.3">
      <c r="A6693" s="9">
        <v>6685</v>
      </c>
      <c r="B6693" s="10">
        <f t="shared" ca="1" si="104"/>
        <v>6.6545215958324383E-2</v>
      </c>
      <c r="C6693" s="10">
        <f ca="1">NPV(B6693,Project_FCF!C18:J18)+Project_FCF!B18</f>
        <v>1057.8791511386535</v>
      </c>
      <c r="D6693" s="4"/>
      <c r="E6693" s="4"/>
    </row>
    <row r="6694" spans="1:5" x14ac:dyDescent="0.3">
      <c r="A6694" s="9">
        <v>6686</v>
      </c>
      <c r="B6694" s="10">
        <f t="shared" ca="1" si="104"/>
        <v>8.4033879980270038E-2</v>
      </c>
      <c r="C6694" s="10">
        <f ca="1">NPV(B6694,Project_FCF!C18:J18)+Project_FCF!B18</f>
        <v>904.93555143315211</v>
      </c>
      <c r="D6694" s="4"/>
      <c r="E6694" s="4"/>
    </row>
    <row r="6695" spans="1:5" x14ac:dyDescent="0.3">
      <c r="A6695" s="9">
        <v>6687</v>
      </c>
      <c r="B6695" s="10">
        <f t="shared" ca="1" si="104"/>
        <v>8.5773037461314566E-2</v>
      </c>
      <c r="C6695" s="10">
        <f ca="1">NPV(B6695,Project_FCF!C18:J18)+Project_FCF!B18</f>
        <v>890.8569596866414</v>
      </c>
      <c r="D6695" s="4"/>
      <c r="E6695" s="4"/>
    </row>
    <row r="6696" spans="1:5" x14ac:dyDescent="0.3">
      <c r="A6696" s="9">
        <v>6688</v>
      </c>
      <c r="B6696" s="10">
        <f t="shared" ca="1" si="104"/>
        <v>7.4445178946279139E-2</v>
      </c>
      <c r="C6696" s="10">
        <f ca="1">NPV(B6696,Project_FCF!C18:J18)+Project_FCF!B18</f>
        <v>986.14153600410782</v>
      </c>
      <c r="D6696" s="4"/>
      <c r="E6696" s="4"/>
    </row>
    <row r="6697" spans="1:5" x14ac:dyDescent="0.3">
      <c r="A6697" s="9">
        <v>6689</v>
      </c>
      <c r="B6697" s="10">
        <f t="shared" ca="1" si="104"/>
        <v>7.9483363323225795E-2</v>
      </c>
      <c r="C6697" s="10">
        <f ca="1">NPV(B6697,Project_FCF!C18:J18)+Project_FCF!B18</f>
        <v>942.70250810724042</v>
      </c>
      <c r="D6697" s="4"/>
      <c r="E6697" s="4"/>
    </row>
    <row r="6698" spans="1:5" x14ac:dyDescent="0.3">
      <c r="A6698" s="9">
        <v>6690</v>
      </c>
      <c r="B6698" s="10">
        <f t="shared" ca="1" si="104"/>
        <v>8.0360943803474014E-2</v>
      </c>
      <c r="C6698" s="10">
        <f ca="1">NPV(B6698,Project_FCF!C18:J18)+Project_FCF!B18</f>
        <v>935.3125650451359</v>
      </c>
      <c r="D6698" s="4"/>
      <c r="E6698" s="4"/>
    </row>
    <row r="6699" spans="1:5" x14ac:dyDescent="0.3">
      <c r="A6699" s="9">
        <v>6691</v>
      </c>
      <c r="B6699" s="10">
        <f t="shared" ca="1" si="104"/>
        <v>8.4963878430076717E-2</v>
      </c>
      <c r="C6699" s="10">
        <f ca="1">NPV(B6699,Project_FCF!C18:J18)+Project_FCF!B18</f>
        <v>897.38309662143274</v>
      </c>
      <c r="D6699" s="4"/>
      <c r="E6699" s="4"/>
    </row>
    <row r="6700" spans="1:5" x14ac:dyDescent="0.3">
      <c r="A6700" s="9">
        <v>6692</v>
      </c>
      <c r="B6700" s="10">
        <f t="shared" ca="1" si="104"/>
        <v>9.4861345445900372E-2</v>
      </c>
      <c r="C6700" s="10">
        <f ca="1">NPV(B6700,Project_FCF!C18:J18)+Project_FCF!B18</f>
        <v>820.34141863579839</v>
      </c>
      <c r="D6700" s="4"/>
      <c r="E6700" s="4"/>
    </row>
    <row r="6701" spans="1:5" x14ac:dyDescent="0.3">
      <c r="A6701" s="9">
        <v>6693</v>
      </c>
      <c r="B6701" s="10">
        <f t="shared" ca="1" si="104"/>
        <v>8.2131525047017151E-2</v>
      </c>
      <c r="C6701" s="10">
        <f ca="1">NPV(B6701,Project_FCF!C18:J18)+Project_FCF!B18</f>
        <v>920.55859545182057</v>
      </c>
      <c r="D6701" s="4"/>
      <c r="E6701" s="4"/>
    </row>
    <row r="6702" spans="1:5" x14ac:dyDescent="0.3">
      <c r="A6702" s="9">
        <v>6694</v>
      </c>
      <c r="B6702" s="10">
        <f t="shared" ca="1" si="104"/>
        <v>0.10233949066807817</v>
      </c>
      <c r="C6702" s="10">
        <f ca="1">NPV(B6702,Project_FCF!C18:J18)+Project_FCF!B18</f>
        <v>765.96201248090188</v>
      </c>
      <c r="D6702" s="4"/>
      <c r="E6702" s="4"/>
    </row>
    <row r="6703" spans="1:5" x14ac:dyDescent="0.3">
      <c r="A6703" s="9">
        <v>6695</v>
      </c>
      <c r="B6703" s="10">
        <f t="shared" ca="1" si="104"/>
        <v>9.024581433500331E-2</v>
      </c>
      <c r="C6703" s="10">
        <f ca="1">NPV(B6703,Project_FCF!C18:J18)+Project_FCF!B18</f>
        <v>855.52393130977111</v>
      </c>
      <c r="D6703" s="4"/>
      <c r="E6703" s="4"/>
    </row>
    <row r="6704" spans="1:5" x14ac:dyDescent="0.3">
      <c r="A6704" s="9">
        <v>6696</v>
      </c>
      <c r="B6704" s="10">
        <f t="shared" ca="1" si="104"/>
        <v>0.10206432214808719</v>
      </c>
      <c r="C6704" s="10">
        <f ca="1">NPV(B6704,Project_FCF!C18:J18)+Project_FCF!B18</f>
        <v>767.90745729545597</v>
      </c>
      <c r="D6704" s="4"/>
      <c r="E6704" s="4"/>
    </row>
    <row r="6705" spans="1:5" x14ac:dyDescent="0.3">
      <c r="A6705" s="9">
        <v>6697</v>
      </c>
      <c r="B6705" s="10">
        <f t="shared" ca="1" si="104"/>
        <v>8.9590994570076965E-2</v>
      </c>
      <c r="C6705" s="10">
        <f ca="1">NPV(B6705,Project_FCF!C18:J18)+Project_FCF!B18</f>
        <v>860.61934790148234</v>
      </c>
      <c r="D6705" s="4"/>
      <c r="E6705" s="4"/>
    </row>
    <row r="6706" spans="1:5" x14ac:dyDescent="0.3">
      <c r="A6706" s="9">
        <v>6698</v>
      </c>
      <c r="B6706" s="10">
        <f t="shared" ca="1" si="104"/>
        <v>8.8089432019110347E-2</v>
      </c>
      <c r="C6706" s="10">
        <f ca="1">NPV(B6706,Project_FCF!C18:J18)+Project_FCF!B18</f>
        <v>872.40313584467253</v>
      </c>
      <c r="D6706" s="4"/>
      <c r="E6706" s="4"/>
    </row>
    <row r="6707" spans="1:5" x14ac:dyDescent="0.3">
      <c r="A6707" s="9">
        <v>6699</v>
      </c>
      <c r="B6707" s="10">
        <f t="shared" ca="1" si="104"/>
        <v>7.5469946821511563E-2</v>
      </c>
      <c r="C6707" s="10">
        <f ca="1">NPV(B6707,Project_FCF!C18:J18)+Project_FCF!B18</f>
        <v>977.16410874997837</v>
      </c>
      <c r="D6707" s="4"/>
      <c r="E6707" s="4"/>
    </row>
    <row r="6708" spans="1:5" x14ac:dyDescent="0.3">
      <c r="A6708" s="9">
        <v>6700</v>
      </c>
      <c r="B6708" s="10">
        <f t="shared" ca="1" si="104"/>
        <v>9.2413052237595703E-2</v>
      </c>
      <c r="C6708" s="10">
        <f ca="1">NPV(B6708,Project_FCF!C18:J18)+Project_FCF!B18</f>
        <v>838.84536317283937</v>
      </c>
      <c r="D6708" s="4"/>
      <c r="E6708" s="4"/>
    </row>
    <row r="6709" spans="1:5" x14ac:dyDescent="0.3">
      <c r="A6709" s="9">
        <v>6701</v>
      </c>
      <c r="B6709" s="10">
        <f t="shared" ca="1" si="104"/>
        <v>0.10184882202633334</v>
      </c>
      <c r="C6709" s="10">
        <f ca="1">NPV(B6709,Project_FCF!C18:J18)+Project_FCF!B18</f>
        <v>769.43394692668994</v>
      </c>
      <c r="D6709" s="4"/>
      <c r="E6709" s="4"/>
    </row>
    <row r="6710" spans="1:5" x14ac:dyDescent="0.3">
      <c r="A6710" s="9">
        <v>6702</v>
      </c>
      <c r="B6710" s="10">
        <f t="shared" ca="1" si="104"/>
        <v>8.5438046268413753E-2</v>
      </c>
      <c r="C6710" s="10">
        <f ca="1">NPV(B6710,Project_FCF!C18:J18)+Project_FCF!B18</f>
        <v>893.55371841308261</v>
      </c>
      <c r="D6710" s="4"/>
      <c r="E6710" s="4"/>
    </row>
    <row r="6711" spans="1:5" x14ac:dyDescent="0.3">
      <c r="A6711" s="9">
        <v>6703</v>
      </c>
      <c r="B6711" s="10">
        <f t="shared" ca="1" si="104"/>
        <v>6.6979385634688138E-2</v>
      </c>
      <c r="C6711" s="10">
        <f ca="1">NPV(B6711,Project_FCF!C18:J18)+Project_FCF!B18</f>
        <v>1053.8171944467365</v>
      </c>
      <c r="D6711" s="4"/>
      <c r="E6711" s="4"/>
    </row>
    <row r="6712" spans="1:5" x14ac:dyDescent="0.3">
      <c r="A6712" s="9">
        <v>6704</v>
      </c>
      <c r="B6712" s="10">
        <f t="shared" ca="1" si="104"/>
        <v>9.903412599891577E-2</v>
      </c>
      <c r="C6712" s="10">
        <f ca="1">NPV(B6712,Project_FCF!C18:J18)+Project_FCF!B18</f>
        <v>789.60807866173104</v>
      </c>
      <c r="D6712" s="4"/>
      <c r="E6712" s="4"/>
    </row>
    <row r="6713" spans="1:5" x14ac:dyDescent="0.3">
      <c r="A6713" s="9">
        <v>6705</v>
      </c>
      <c r="B6713" s="10">
        <f t="shared" ca="1" si="104"/>
        <v>8.5009141882539038E-2</v>
      </c>
      <c r="C6713" s="10">
        <f ca="1">NPV(B6713,Project_FCF!C18:J18)+Project_FCF!B18</f>
        <v>897.01692964719086</v>
      </c>
      <c r="D6713" s="4"/>
      <c r="E6713" s="4"/>
    </row>
    <row r="6714" spans="1:5" x14ac:dyDescent="0.3">
      <c r="A6714" s="9">
        <v>6706</v>
      </c>
      <c r="B6714" s="10">
        <f t="shared" ca="1" si="104"/>
        <v>7.9823969442294418E-2</v>
      </c>
      <c r="C6714" s="10">
        <f ca="1">NPV(B6714,Project_FCF!C18:J18)+Project_FCF!B18</f>
        <v>939.82820857173465</v>
      </c>
      <c r="D6714" s="4"/>
      <c r="E6714" s="4"/>
    </row>
    <row r="6715" spans="1:5" x14ac:dyDescent="0.3">
      <c r="A6715" s="9">
        <v>6707</v>
      </c>
      <c r="B6715" s="10">
        <f t="shared" ca="1" si="104"/>
        <v>7.5950489335777027E-2</v>
      </c>
      <c r="C6715" s="10">
        <f ca="1">NPV(B6715,Project_FCF!C18:J18)+Project_FCF!B18</f>
        <v>972.97956781246353</v>
      </c>
      <c r="D6715" s="4"/>
      <c r="E6715" s="4"/>
    </row>
    <row r="6716" spans="1:5" x14ac:dyDescent="0.3">
      <c r="A6716" s="9">
        <v>6708</v>
      </c>
      <c r="B6716" s="10">
        <f t="shared" ca="1" si="104"/>
        <v>8.9027563687295391E-2</v>
      </c>
      <c r="C6716" s="10">
        <f ca="1">NPV(B6716,Project_FCF!C18:J18)+Project_FCF!B18</f>
        <v>865.02466950455232</v>
      </c>
      <c r="D6716" s="4"/>
      <c r="E6716" s="4"/>
    </row>
    <row r="6717" spans="1:5" x14ac:dyDescent="0.3">
      <c r="A6717" s="9">
        <v>6709</v>
      </c>
      <c r="B6717" s="10">
        <f t="shared" ca="1" si="104"/>
        <v>7.746260026189733E-2</v>
      </c>
      <c r="C6717" s="10">
        <f ca="1">NPV(B6717,Project_FCF!C18:J18)+Project_FCF!B18</f>
        <v>959.91630825775724</v>
      </c>
      <c r="D6717" s="4"/>
      <c r="E6717" s="4"/>
    </row>
    <row r="6718" spans="1:5" x14ac:dyDescent="0.3">
      <c r="A6718" s="9">
        <v>6710</v>
      </c>
      <c r="B6718" s="10">
        <f t="shared" ca="1" si="104"/>
        <v>7.1110859726726233E-2</v>
      </c>
      <c r="C6718" s="10">
        <f ca="1">NPV(B6718,Project_FCF!C18:J18)+Project_FCF!B18</f>
        <v>1015.8660656184152</v>
      </c>
      <c r="D6718" s="4"/>
      <c r="E6718" s="4"/>
    </row>
    <row r="6719" spans="1:5" x14ac:dyDescent="0.3">
      <c r="A6719" s="9">
        <v>6711</v>
      </c>
      <c r="B6719" s="10">
        <f t="shared" ca="1" si="104"/>
        <v>8.4736172221820061E-2</v>
      </c>
      <c r="C6719" s="10">
        <f ca="1">NPV(B6719,Project_FCF!C18:J18)+Project_FCF!B18</f>
        <v>899.22715509872637</v>
      </c>
      <c r="D6719" s="4"/>
      <c r="E6719" s="4"/>
    </row>
    <row r="6720" spans="1:5" x14ac:dyDescent="0.3">
      <c r="A6720" s="9">
        <v>6712</v>
      </c>
      <c r="B6720" s="10">
        <f t="shared" ca="1" si="104"/>
        <v>9.1659529283275767E-2</v>
      </c>
      <c r="C6720" s="10">
        <f ca="1">NPV(B6720,Project_FCF!C18:J18)+Project_FCF!B18</f>
        <v>844.61217842257133</v>
      </c>
      <c r="D6720" s="4"/>
      <c r="E6720" s="4"/>
    </row>
    <row r="6721" spans="1:5" x14ac:dyDescent="0.3">
      <c r="A6721" s="9">
        <v>6713</v>
      </c>
      <c r="B6721" s="10">
        <f t="shared" ca="1" si="104"/>
        <v>6.7052336157032849E-2</v>
      </c>
      <c r="C6721" s="10">
        <f ca="1">NPV(B6721,Project_FCF!C18:J18)+Project_FCF!B18</f>
        <v>1053.1360851992852</v>
      </c>
      <c r="D6721" s="4"/>
      <c r="E6721" s="4"/>
    </row>
    <row r="6722" spans="1:5" x14ac:dyDescent="0.3">
      <c r="A6722" s="9">
        <v>6714</v>
      </c>
      <c r="B6722" s="10">
        <f t="shared" ca="1" si="104"/>
        <v>7.4505928284244655E-2</v>
      </c>
      <c r="C6722" s="10">
        <f ca="1">NPV(B6722,Project_FCF!C18:J18)+Project_FCF!B18</f>
        <v>985.60729314200285</v>
      </c>
      <c r="D6722" s="4"/>
      <c r="E6722" s="4"/>
    </row>
    <row r="6723" spans="1:5" x14ac:dyDescent="0.3">
      <c r="A6723" s="9">
        <v>6715</v>
      </c>
      <c r="B6723" s="10">
        <f t="shared" ca="1" si="104"/>
        <v>7.9839077615201343E-2</v>
      </c>
      <c r="C6723" s="10">
        <f ca="1">NPV(B6723,Project_FCF!C18:J18)+Project_FCF!B18</f>
        <v>939.70089411206709</v>
      </c>
      <c r="D6723" s="4"/>
      <c r="E6723" s="4"/>
    </row>
    <row r="6724" spans="1:5" x14ac:dyDescent="0.3">
      <c r="A6724" s="9">
        <v>6716</v>
      </c>
      <c r="B6724" s="10">
        <f t="shared" ca="1" si="104"/>
        <v>9.719916369347778E-2</v>
      </c>
      <c r="C6724" s="10">
        <f ca="1">NPV(B6724,Project_FCF!C18:J18)+Project_FCF!B18</f>
        <v>802.99984472310916</v>
      </c>
      <c r="D6724" s="4"/>
      <c r="E6724" s="4"/>
    </row>
    <row r="6725" spans="1:5" x14ac:dyDescent="0.3">
      <c r="A6725" s="9">
        <v>6717</v>
      </c>
      <c r="B6725" s="10">
        <f t="shared" ca="1" si="104"/>
        <v>9.2497965939514593E-2</v>
      </c>
      <c r="C6725" s="10">
        <f ca="1">NPV(B6725,Project_FCF!C18:J18)+Project_FCF!B18</f>
        <v>838.19763956076122</v>
      </c>
      <c r="D6725" s="4"/>
      <c r="E6725" s="4"/>
    </row>
    <row r="6726" spans="1:5" x14ac:dyDescent="0.3">
      <c r="A6726" s="9">
        <v>6718</v>
      </c>
      <c r="B6726" s="10">
        <f t="shared" ca="1" si="104"/>
        <v>7.9206458525912182E-2</v>
      </c>
      <c r="C6726" s="10">
        <f ca="1">NPV(B6726,Project_FCF!C18:J18)+Project_FCF!B18</f>
        <v>945.04498631635306</v>
      </c>
      <c r="D6726" s="4"/>
      <c r="E6726" s="4"/>
    </row>
    <row r="6727" spans="1:5" x14ac:dyDescent="0.3">
      <c r="A6727" s="9">
        <v>6719</v>
      </c>
      <c r="B6727" s="10">
        <f t="shared" ca="1" si="104"/>
        <v>7.1961532371457776E-2</v>
      </c>
      <c r="C6727" s="10">
        <f ca="1">NPV(B6727,Project_FCF!C18:J18)+Project_FCF!B18</f>
        <v>1008.2069840262886</v>
      </c>
      <c r="D6727" s="4"/>
      <c r="E6727" s="4"/>
    </row>
    <row r="6728" spans="1:5" x14ac:dyDescent="0.3">
      <c r="A6728" s="9">
        <v>6720</v>
      </c>
      <c r="B6728" s="10">
        <f t="shared" ca="1" si="104"/>
        <v>7.4489628091768109E-2</v>
      </c>
      <c r="C6728" s="10">
        <f ca="1">NPV(B6728,Project_FCF!C18:J18)+Project_FCF!B18</f>
        <v>985.75061511811737</v>
      </c>
      <c r="D6728" s="4"/>
      <c r="E6728" s="4"/>
    </row>
    <row r="6729" spans="1:5" x14ac:dyDescent="0.3">
      <c r="A6729" s="9">
        <v>6721</v>
      </c>
      <c r="B6729" s="10">
        <f t="shared" ref="B6729:B6792" ca="1" si="105">$B$4+RAND()*($B$5-$B$4)</f>
        <v>7.2262948654334067E-2</v>
      </c>
      <c r="C6729" s="10">
        <f ca="1">NPV(B6729,Project_FCF!C18:J18)+Project_FCF!B18</f>
        <v>1005.5056679249089</v>
      </c>
      <c r="D6729" s="4"/>
      <c r="E6729" s="4"/>
    </row>
    <row r="6730" spans="1:5" x14ac:dyDescent="0.3">
      <c r="A6730" s="9">
        <v>6722</v>
      </c>
      <c r="B6730" s="10">
        <f t="shared" ca="1" si="105"/>
        <v>8.5932813935120131E-2</v>
      </c>
      <c r="C6730" s="10">
        <f ca="1">NPV(B6730,Project_FCF!C18:J18)+Project_FCF!B18</f>
        <v>889.57323044136547</v>
      </c>
      <c r="D6730" s="4"/>
      <c r="E6730" s="4"/>
    </row>
    <row r="6731" spans="1:5" x14ac:dyDescent="0.3">
      <c r="A6731" s="9">
        <v>6723</v>
      </c>
      <c r="B6731" s="10">
        <f t="shared" ca="1" si="105"/>
        <v>9.7558022217715201E-2</v>
      </c>
      <c r="C6731" s="10">
        <f ca="1">NPV(B6731,Project_FCF!C18:J18)+Project_FCF!B18</f>
        <v>800.36577595062226</v>
      </c>
      <c r="D6731" s="4"/>
      <c r="E6731" s="4"/>
    </row>
    <row r="6732" spans="1:5" x14ac:dyDescent="0.3">
      <c r="A6732" s="9">
        <v>6724</v>
      </c>
      <c r="B6732" s="10">
        <f t="shared" ca="1" si="105"/>
        <v>7.1847682644254743E-2</v>
      </c>
      <c r="C6732" s="10">
        <f ca="1">NPV(B6732,Project_FCF!C18:J18)+Project_FCF!B18</f>
        <v>1009.2290125778068</v>
      </c>
      <c r="D6732" s="4"/>
      <c r="E6732" s="4"/>
    </row>
    <row r="6733" spans="1:5" x14ac:dyDescent="0.3">
      <c r="A6733" s="9">
        <v>6725</v>
      </c>
      <c r="B6733" s="10">
        <f t="shared" ca="1" si="105"/>
        <v>6.6094013718535682E-2</v>
      </c>
      <c r="C6733" s="10">
        <f ca="1">NPV(B6733,Project_FCF!C18:J18)+Project_FCF!B18</f>
        <v>1062.1155474282521</v>
      </c>
      <c r="D6733" s="4"/>
      <c r="E6733" s="4"/>
    </row>
    <row r="6734" spans="1:5" x14ac:dyDescent="0.3">
      <c r="A6734" s="9">
        <v>6726</v>
      </c>
      <c r="B6734" s="10">
        <f t="shared" ca="1" si="105"/>
        <v>9.1138680210192696E-2</v>
      </c>
      <c r="C6734" s="10">
        <f ca="1">NPV(B6734,Project_FCF!C18:J18)+Project_FCF!B18</f>
        <v>848.61827205432019</v>
      </c>
      <c r="D6734" s="4"/>
      <c r="E6734" s="4"/>
    </row>
    <row r="6735" spans="1:5" x14ac:dyDescent="0.3">
      <c r="A6735" s="9">
        <v>6727</v>
      </c>
      <c r="B6735" s="10">
        <f t="shared" ca="1" si="105"/>
        <v>0.10030703813323066</v>
      </c>
      <c r="C6735" s="10">
        <f ca="1">NPV(B6735,Project_FCF!C18:J18)+Project_FCF!B18</f>
        <v>780.42991622841078</v>
      </c>
      <c r="D6735" s="4"/>
      <c r="E6735" s="4"/>
    </row>
    <row r="6736" spans="1:5" x14ac:dyDescent="0.3">
      <c r="A6736" s="9">
        <v>6728</v>
      </c>
      <c r="B6736" s="10">
        <f t="shared" ca="1" si="105"/>
        <v>9.2126432233357508E-2</v>
      </c>
      <c r="C6736" s="10">
        <f ca="1">NPV(B6736,Project_FCF!C18:J18)+Project_FCF!B18</f>
        <v>841.03489246313575</v>
      </c>
      <c r="D6736" s="4"/>
      <c r="E6736" s="4"/>
    </row>
    <row r="6737" spans="1:5" x14ac:dyDescent="0.3">
      <c r="A6737" s="9">
        <v>6729</v>
      </c>
      <c r="B6737" s="10">
        <f t="shared" ca="1" si="105"/>
        <v>7.0048633329329327E-2</v>
      </c>
      <c r="C6737" s="10">
        <f ca="1">NPV(B6737,Project_FCF!C18:J18)+Project_FCF!B18</f>
        <v>1025.5035388768629</v>
      </c>
      <c r="D6737" s="4"/>
      <c r="E6737" s="4"/>
    </row>
    <row r="6738" spans="1:5" x14ac:dyDescent="0.3">
      <c r="A6738" s="9">
        <v>6730</v>
      </c>
      <c r="B6738" s="10">
        <f t="shared" ca="1" si="105"/>
        <v>9.2976064130582348E-2</v>
      </c>
      <c r="C6738" s="10">
        <f ca="1">NPV(B6738,Project_FCF!C18:J18)+Project_FCF!B18</f>
        <v>834.55872767119808</v>
      </c>
      <c r="D6738" s="4"/>
      <c r="E6738" s="4"/>
    </row>
    <row r="6739" spans="1:5" x14ac:dyDescent="0.3">
      <c r="A6739" s="9">
        <v>6731</v>
      </c>
      <c r="B6739" s="10">
        <f t="shared" ca="1" si="105"/>
        <v>6.4175195904142626E-2</v>
      </c>
      <c r="C6739" s="10">
        <f ca="1">NPV(B6739,Project_FCF!C18:J18)+Project_FCF!B18</f>
        <v>1080.3048168331741</v>
      </c>
      <c r="D6739" s="4"/>
      <c r="E6739" s="4"/>
    </row>
    <row r="6740" spans="1:5" x14ac:dyDescent="0.3">
      <c r="A6740" s="9">
        <v>6732</v>
      </c>
      <c r="B6740" s="10">
        <f t="shared" ca="1" si="105"/>
        <v>6.7276539162037047E-2</v>
      </c>
      <c r="C6740" s="10">
        <f ca="1">NPV(B6740,Project_FCF!C18:J18)+Project_FCF!B18</f>
        <v>1051.0452966325322</v>
      </c>
      <c r="D6740" s="4"/>
      <c r="E6740" s="4"/>
    </row>
    <row r="6741" spans="1:5" x14ac:dyDescent="0.3">
      <c r="A6741" s="9">
        <v>6733</v>
      </c>
      <c r="B6741" s="10">
        <f t="shared" ca="1" si="105"/>
        <v>8.7186099451135979E-2</v>
      </c>
      <c r="C6741" s="10">
        <f ca="1">NPV(B6741,Project_FCF!C18:J18)+Project_FCF!B18</f>
        <v>879.55959010446691</v>
      </c>
      <c r="D6741" s="4"/>
      <c r="E6741" s="4"/>
    </row>
    <row r="6742" spans="1:5" x14ac:dyDescent="0.3">
      <c r="A6742" s="9">
        <v>6734</v>
      </c>
      <c r="B6742" s="10">
        <f t="shared" ca="1" si="105"/>
        <v>0.10202947936170159</v>
      </c>
      <c r="C6742" s="10">
        <f ca="1">NPV(B6742,Project_FCF!C18:J18)+Project_FCF!B18</f>
        <v>768.15409242624355</v>
      </c>
      <c r="D6742" s="4"/>
      <c r="E6742" s="4"/>
    </row>
    <row r="6743" spans="1:5" x14ac:dyDescent="0.3">
      <c r="A6743" s="9">
        <v>6735</v>
      </c>
      <c r="B6743" s="10">
        <f t="shared" ca="1" si="105"/>
        <v>6.6590273130934907E-2</v>
      </c>
      <c r="C6743" s="10">
        <f ca="1">NPV(B6743,Project_FCF!C18:J18)+Project_FCF!B18</f>
        <v>1057.456949037135</v>
      </c>
      <c r="D6743" s="4"/>
      <c r="E6743" s="4"/>
    </row>
    <row r="6744" spans="1:5" x14ac:dyDescent="0.3">
      <c r="A6744" s="9">
        <v>6736</v>
      </c>
      <c r="B6744" s="10">
        <f t="shared" ca="1" si="105"/>
        <v>9.0137854560750255E-2</v>
      </c>
      <c r="C6744" s="10">
        <f ca="1">NPV(B6744,Project_FCF!C18:J18)+Project_FCF!B18</f>
        <v>856.36220622897963</v>
      </c>
      <c r="D6744" s="4"/>
      <c r="E6744" s="4"/>
    </row>
    <row r="6745" spans="1:5" x14ac:dyDescent="0.3">
      <c r="A6745" s="9">
        <v>6737</v>
      </c>
      <c r="B6745" s="10">
        <f t="shared" ca="1" si="105"/>
        <v>8.1993651598684242E-2</v>
      </c>
      <c r="C6745" s="10">
        <f ca="1">NPV(B6745,Project_FCF!C18:J18)+Project_FCF!B18</f>
        <v>921.70005070543812</v>
      </c>
      <c r="D6745" s="4"/>
      <c r="E6745" s="4"/>
    </row>
    <row r="6746" spans="1:5" x14ac:dyDescent="0.3">
      <c r="A6746" s="9">
        <v>6738</v>
      </c>
      <c r="B6746" s="10">
        <f t="shared" ca="1" si="105"/>
        <v>8.4608982881831454E-2</v>
      </c>
      <c r="C6746" s="10">
        <f ca="1">NPV(B6746,Project_FCF!C18:J18)+Project_FCF!B18</f>
        <v>900.25863171146079</v>
      </c>
      <c r="D6746" s="4"/>
      <c r="E6746" s="4"/>
    </row>
    <row r="6747" spans="1:5" x14ac:dyDescent="0.3">
      <c r="A6747" s="9">
        <v>6739</v>
      </c>
      <c r="B6747" s="10">
        <f t="shared" ca="1" si="105"/>
        <v>6.5078581677016495E-2</v>
      </c>
      <c r="C6747" s="10">
        <f ca="1">NPV(B6747,Project_FCF!C18:J18)+Project_FCF!B18</f>
        <v>1071.7061467270362</v>
      </c>
      <c r="D6747" s="4"/>
      <c r="E6747" s="4"/>
    </row>
    <row r="6748" spans="1:5" x14ac:dyDescent="0.3">
      <c r="A6748" s="9">
        <v>6740</v>
      </c>
      <c r="B6748" s="10">
        <f t="shared" ca="1" si="105"/>
        <v>0.10393487091109076</v>
      </c>
      <c r="C6748" s="10">
        <f ca="1">NPV(B6748,Project_FCF!C18:J18)+Project_FCF!B18</f>
        <v>754.76403125157685</v>
      </c>
      <c r="D6748" s="4"/>
      <c r="E6748" s="4"/>
    </row>
    <row r="6749" spans="1:5" x14ac:dyDescent="0.3">
      <c r="A6749" s="9">
        <v>6741</v>
      </c>
      <c r="B6749" s="10">
        <f t="shared" ca="1" si="105"/>
        <v>9.2871723130588585E-2</v>
      </c>
      <c r="C6749" s="10">
        <f ca="1">NPV(B6749,Project_FCF!C18:J18)+Project_FCF!B18</f>
        <v>835.35172821549668</v>
      </c>
      <c r="D6749" s="4"/>
      <c r="E6749" s="4"/>
    </row>
    <row r="6750" spans="1:5" x14ac:dyDescent="0.3">
      <c r="A6750" s="9">
        <v>6742</v>
      </c>
      <c r="B6750" s="10">
        <f t="shared" ca="1" si="105"/>
        <v>8.7554272576396003E-2</v>
      </c>
      <c r="C6750" s="10">
        <f ca="1">NPV(B6750,Project_FCF!C18:J18)+Project_FCF!B18</f>
        <v>876.63667030771944</v>
      </c>
      <c r="D6750" s="4"/>
      <c r="E6750" s="4"/>
    </row>
    <row r="6751" spans="1:5" x14ac:dyDescent="0.3">
      <c r="A6751" s="9">
        <v>6743</v>
      </c>
      <c r="B6751" s="10">
        <f t="shared" ca="1" si="105"/>
        <v>6.7736310244276968E-2</v>
      </c>
      <c r="C6751" s="10">
        <f ca="1">NPV(B6751,Project_FCF!C18:J18)+Project_FCF!B18</f>
        <v>1046.7695244836789</v>
      </c>
      <c r="D6751" s="4"/>
      <c r="E6751" s="4"/>
    </row>
    <row r="6752" spans="1:5" x14ac:dyDescent="0.3">
      <c r="A6752" s="9">
        <v>6744</v>
      </c>
      <c r="B6752" s="10">
        <f t="shared" ca="1" si="105"/>
        <v>7.7657612225018643E-2</v>
      </c>
      <c r="C6752" s="10">
        <f ca="1">NPV(B6752,Project_FCF!C18:J18)+Project_FCF!B18</f>
        <v>958.24301184244632</v>
      </c>
      <c r="D6752" s="4"/>
      <c r="E6752" s="4"/>
    </row>
    <row r="6753" spans="1:5" x14ac:dyDescent="0.3">
      <c r="A6753" s="9">
        <v>6745</v>
      </c>
      <c r="B6753" s="10">
        <f t="shared" ca="1" si="105"/>
        <v>7.5533476655395865E-2</v>
      </c>
      <c r="C6753" s="10">
        <f ca="1">NPV(B6753,Project_FCF!C18:J18)+Project_FCF!B18</f>
        <v>976.60997313360826</v>
      </c>
      <c r="D6753" s="4"/>
      <c r="E6753" s="4"/>
    </row>
    <row r="6754" spans="1:5" x14ac:dyDescent="0.3">
      <c r="A6754" s="9">
        <v>6746</v>
      </c>
      <c r="B6754" s="10">
        <f t="shared" ca="1" si="105"/>
        <v>9.1791584519281433E-2</v>
      </c>
      <c r="C6754" s="10">
        <f ca="1">NPV(B6754,Project_FCF!C18:J18)+Project_FCF!B18</f>
        <v>843.59907789902354</v>
      </c>
      <c r="D6754" s="4"/>
      <c r="E6754" s="4"/>
    </row>
    <row r="6755" spans="1:5" x14ac:dyDescent="0.3">
      <c r="A6755" s="9">
        <v>6747</v>
      </c>
      <c r="B6755" s="10">
        <f t="shared" ca="1" si="105"/>
        <v>8.1343700610513492E-2</v>
      </c>
      <c r="C6755" s="10">
        <f ca="1">NPV(B6755,Project_FCF!C18:J18)+Project_FCF!B18</f>
        <v>927.09783253593582</v>
      </c>
      <c r="D6755" s="4"/>
      <c r="E6755" s="4"/>
    </row>
    <row r="6756" spans="1:5" x14ac:dyDescent="0.3">
      <c r="A6756" s="9">
        <v>6748</v>
      </c>
      <c r="B6756" s="10">
        <f t="shared" ca="1" si="105"/>
        <v>8.8685135258332062E-2</v>
      </c>
      <c r="C6756" s="10">
        <f ca="1">NPV(B6756,Project_FCF!C18:J18)+Project_FCF!B18</f>
        <v>867.71158157881018</v>
      </c>
      <c r="D6756" s="4"/>
      <c r="E6756" s="4"/>
    </row>
    <row r="6757" spans="1:5" x14ac:dyDescent="0.3">
      <c r="A6757" s="9">
        <v>6749</v>
      </c>
      <c r="B6757" s="10">
        <f t="shared" ca="1" si="105"/>
        <v>6.8960123393115691E-2</v>
      </c>
      <c r="C6757" s="10">
        <f ca="1">NPV(B6757,Project_FCF!C18:J18)+Project_FCF!B18</f>
        <v>1035.4651195095976</v>
      </c>
      <c r="D6757" s="4"/>
      <c r="E6757" s="4"/>
    </row>
    <row r="6758" spans="1:5" x14ac:dyDescent="0.3">
      <c r="A6758" s="9">
        <v>6750</v>
      </c>
      <c r="B6758" s="10">
        <f t="shared" ca="1" si="105"/>
        <v>7.5487980218729878E-2</v>
      </c>
      <c r="C6758" s="10">
        <f ca="1">NPV(B6758,Project_FCF!C18:J18)+Project_FCF!B18</f>
        <v>977.00678483711113</v>
      </c>
      <c r="D6758" s="4"/>
      <c r="E6758" s="4"/>
    </row>
    <row r="6759" spans="1:5" x14ac:dyDescent="0.3">
      <c r="A6759" s="9">
        <v>6751</v>
      </c>
      <c r="B6759" s="10">
        <f t="shared" ca="1" si="105"/>
        <v>7.6015990427840172E-2</v>
      </c>
      <c r="C6759" s="10">
        <f ca="1">NPV(B6759,Project_FCF!C18:J18)+Project_FCF!B18</f>
        <v>972.41042892215614</v>
      </c>
      <c r="D6759" s="4"/>
      <c r="E6759" s="4"/>
    </row>
    <row r="6760" spans="1:5" x14ac:dyDescent="0.3">
      <c r="A6760" s="9">
        <v>6752</v>
      </c>
      <c r="B6760" s="10">
        <f t="shared" ca="1" si="105"/>
        <v>6.6484377622036794E-2</v>
      </c>
      <c r="C6760" s="10">
        <f ca="1">NPV(B6760,Project_FCF!C18:J18)+Project_FCF!B18</f>
        <v>1058.4494718147184</v>
      </c>
      <c r="D6760" s="4"/>
      <c r="E6760" s="4"/>
    </row>
    <row r="6761" spans="1:5" x14ac:dyDescent="0.3">
      <c r="A6761" s="9">
        <v>6753</v>
      </c>
      <c r="B6761" s="10">
        <f t="shared" ca="1" si="105"/>
        <v>8.9210433106465425E-2</v>
      </c>
      <c r="C6761" s="10">
        <f ca="1">NPV(B6761,Project_FCF!C18:J18)+Project_FCF!B18</f>
        <v>863.59272072791782</v>
      </c>
      <c r="D6761" s="4"/>
      <c r="E6761" s="4"/>
    </row>
    <row r="6762" spans="1:5" x14ac:dyDescent="0.3">
      <c r="A6762" s="9">
        <v>6754</v>
      </c>
      <c r="B6762" s="10">
        <f t="shared" ca="1" si="105"/>
        <v>9.7178346896988815E-2</v>
      </c>
      <c r="C6762" s="10">
        <f ca="1">NPV(B6762,Project_FCF!C18:J18)+Project_FCF!B18</f>
        <v>803.15286895658801</v>
      </c>
      <c r="D6762" s="4"/>
      <c r="E6762" s="4"/>
    </row>
    <row r="6763" spans="1:5" x14ac:dyDescent="0.3">
      <c r="A6763" s="9">
        <v>6755</v>
      </c>
      <c r="B6763" s="10">
        <f t="shared" ca="1" si="105"/>
        <v>7.6563184186696692E-2</v>
      </c>
      <c r="C6763" s="10">
        <f ca="1">NPV(B6763,Project_FCF!C18:J18)+Project_FCF!B18</f>
        <v>967.66746169988028</v>
      </c>
      <c r="D6763" s="4"/>
      <c r="E6763" s="4"/>
    </row>
    <row r="6764" spans="1:5" x14ac:dyDescent="0.3">
      <c r="A6764" s="9">
        <v>6756</v>
      </c>
      <c r="B6764" s="10">
        <f t="shared" ca="1" si="105"/>
        <v>0.10041041763010834</v>
      </c>
      <c r="C6764" s="10">
        <f ca="1">NPV(B6764,Project_FCF!C18:J18)+Project_FCF!B18</f>
        <v>779.6884914538266</v>
      </c>
      <c r="D6764" s="4"/>
      <c r="E6764" s="4"/>
    </row>
    <row r="6765" spans="1:5" x14ac:dyDescent="0.3">
      <c r="A6765" s="9">
        <v>6757</v>
      </c>
      <c r="B6765" s="10">
        <f t="shared" ca="1" si="105"/>
        <v>9.5814063871419497E-2</v>
      </c>
      <c r="C6765" s="10">
        <f ca="1">NPV(B6765,Project_FCF!C18:J18)+Project_FCF!B18</f>
        <v>813.23607515644676</v>
      </c>
      <c r="D6765" s="4"/>
      <c r="E6765" s="4"/>
    </row>
    <row r="6766" spans="1:5" x14ac:dyDescent="0.3">
      <c r="A6766" s="9">
        <v>6758</v>
      </c>
      <c r="B6766" s="10">
        <f t="shared" ca="1" si="105"/>
        <v>9.5618700876289112E-2</v>
      </c>
      <c r="C6766" s="10">
        <f ca="1">NPV(B6766,Project_FCF!C18:J18)+Project_FCF!B18</f>
        <v>814.6887800343809</v>
      </c>
      <c r="D6766" s="4"/>
      <c r="E6766" s="4"/>
    </row>
    <row r="6767" spans="1:5" x14ac:dyDescent="0.3">
      <c r="A6767" s="9">
        <v>6759</v>
      </c>
      <c r="B6767" s="10">
        <f t="shared" ca="1" si="105"/>
        <v>9.3821016436081386E-2</v>
      </c>
      <c r="C6767" s="10">
        <f ca="1">NPV(B6767,Project_FCF!C18:J18)+Project_FCF!B18</f>
        <v>828.1608250486322</v>
      </c>
      <c r="D6767" s="4"/>
      <c r="E6767" s="4"/>
    </row>
    <row r="6768" spans="1:5" x14ac:dyDescent="0.3">
      <c r="A6768" s="9">
        <v>6760</v>
      </c>
      <c r="B6768" s="10">
        <f t="shared" ca="1" si="105"/>
        <v>7.2272856241906991E-2</v>
      </c>
      <c r="C6768" s="10">
        <f ca="1">NPV(B6768,Project_FCF!C18:J18)+Project_FCF!B18</f>
        <v>1005.4169860239645</v>
      </c>
      <c r="D6768" s="4"/>
      <c r="E6768" s="4"/>
    </row>
    <row r="6769" spans="1:5" x14ac:dyDescent="0.3">
      <c r="A6769" s="9">
        <v>6761</v>
      </c>
      <c r="B6769" s="10">
        <f t="shared" ca="1" si="105"/>
        <v>6.956741086039131E-2</v>
      </c>
      <c r="C6769" s="10">
        <f ca="1">NPV(B6769,Project_FCF!C18:J18)+Project_FCF!B18</f>
        <v>1029.8967418898349</v>
      </c>
      <c r="D6769" s="4"/>
      <c r="E6769" s="4"/>
    </row>
    <row r="6770" spans="1:5" x14ac:dyDescent="0.3">
      <c r="A6770" s="9">
        <v>6762</v>
      </c>
      <c r="B6770" s="10">
        <f t="shared" ca="1" si="105"/>
        <v>9.7237743856074685E-2</v>
      </c>
      <c r="C6770" s="10">
        <f ca="1">NPV(B6770,Project_FCF!C18:J18)+Project_FCF!B18</f>
        <v>802.71630766564476</v>
      </c>
      <c r="D6770" s="4"/>
      <c r="E6770" s="4"/>
    </row>
    <row r="6771" spans="1:5" x14ac:dyDescent="0.3">
      <c r="A6771" s="9">
        <v>6763</v>
      </c>
      <c r="B6771" s="10">
        <f t="shared" ca="1" si="105"/>
        <v>6.876234312491436E-2</v>
      </c>
      <c r="C6771" s="10">
        <f ca="1">NPV(B6771,Project_FCF!C18:J18)+Project_FCF!B18</f>
        <v>1037.2844934732457</v>
      </c>
      <c r="D6771" s="4"/>
      <c r="E6771" s="4"/>
    </row>
    <row r="6772" spans="1:5" x14ac:dyDescent="0.3">
      <c r="A6772" s="9">
        <v>6764</v>
      </c>
      <c r="B6772" s="10">
        <f t="shared" ca="1" si="105"/>
        <v>9.5011007621101276E-2</v>
      </c>
      <c r="C6772" s="10">
        <f ca="1">NPV(B6772,Project_FCF!C18:J18)+Project_FCF!B18</f>
        <v>819.22173880022319</v>
      </c>
      <c r="D6772" s="4"/>
      <c r="E6772" s="4"/>
    </row>
    <row r="6773" spans="1:5" x14ac:dyDescent="0.3">
      <c r="A6773" s="9">
        <v>6765</v>
      </c>
      <c r="B6773" s="10">
        <f t="shared" ca="1" si="105"/>
        <v>8.7005195766678506E-2</v>
      </c>
      <c r="C6773" s="10">
        <f ca="1">NPV(B6773,Project_FCF!C18:J18)+Project_FCF!B18</f>
        <v>880.99889111767766</v>
      </c>
      <c r="D6773" s="4"/>
      <c r="E6773" s="4"/>
    </row>
    <row r="6774" spans="1:5" x14ac:dyDescent="0.3">
      <c r="A6774" s="9">
        <v>6766</v>
      </c>
      <c r="B6774" s="10">
        <f t="shared" ca="1" si="105"/>
        <v>0.10184385461452067</v>
      </c>
      <c r="C6774" s="10">
        <f ca="1">NPV(B6774,Project_FCF!C18:J18)+Project_FCF!B18</f>
        <v>769.46916355309645</v>
      </c>
      <c r="D6774" s="4"/>
      <c r="E6774" s="4"/>
    </row>
    <row r="6775" spans="1:5" x14ac:dyDescent="0.3">
      <c r="A6775" s="9">
        <v>6767</v>
      </c>
      <c r="B6775" s="10">
        <f t="shared" ca="1" si="105"/>
        <v>7.7482562221139889E-2</v>
      </c>
      <c r="C6775" s="10">
        <f ca="1">NPV(B6775,Project_FCF!C18:J18)+Project_FCF!B18</f>
        <v>959.7449056386522</v>
      </c>
      <c r="D6775" s="4"/>
      <c r="E6775" s="4"/>
    </row>
    <row r="6776" spans="1:5" x14ac:dyDescent="0.3">
      <c r="A6776" s="9">
        <v>6768</v>
      </c>
      <c r="B6776" s="10">
        <f t="shared" ca="1" si="105"/>
        <v>8.9946782743957884E-2</v>
      </c>
      <c r="C6776" s="10">
        <f ca="1">NPV(B6776,Project_FCF!C18:J18)+Project_FCF!B18</f>
        <v>857.84756460557242</v>
      </c>
      <c r="D6776" s="4"/>
      <c r="E6776" s="4"/>
    </row>
    <row r="6777" spans="1:5" x14ac:dyDescent="0.3">
      <c r="A6777" s="9">
        <v>6769</v>
      </c>
      <c r="B6777" s="10">
        <f t="shared" ca="1" si="105"/>
        <v>9.4422023387575771E-2</v>
      </c>
      <c r="C6777" s="10">
        <f ca="1">NPV(B6777,Project_FCF!C18:J18)+Project_FCF!B18</f>
        <v>823.63572989782938</v>
      </c>
      <c r="D6777" s="4"/>
      <c r="E6777" s="4"/>
    </row>
    <row r="6778" spans="1:5" x14ac:dyDescent="0.3">
      <c r="A6778" s="9">
        <v>6770</v>
      </c>
      <c r="B6778" s="10">
        <f t="shared" ca="1" si="105"/>
        <v>9.7181824900777702E-2</v>
      </c>
      <c r="C6778" s="10">
        <f ca="1">NPV(B6778,Project_FCF!C18:J18)+Project_FCF!B18</f>
        <v>803.12730042911517</v>
      </c>
      <c r="D6778" s="4"/>
      <c r="E6778" s="4"/>
    </row>
    <row r="6779" spans="1:5" x14ac:dyDescent="0.3">
      <c r="A6779" s="9">
        <v>6771</v>
      </c>
      <c r="B6779" s="10">
        <f t="shared" ca="1" si="105"/>
        <v>9.6342870253786045E-2</v>
      </c>
      <c r="C6779" s="10">
        <f ca="1">NPV(B6779,Project_FCF!C18:J18)+Project_FCF!B18</f>
        <v>809.31500582963736</v>
      </c>
      <c r="D6779" s="4"/>
      <c r="E6779" s="4"/>
    </row>
    <row r="6780" spans="1:5" x14ac:dyDescent="0.3">
      <c r="A6780" s="9">
        <v>6772</v>
      </c>
      <c r="B6780" s="10">
        <f t="shared" ca="1" si="105"/>
        <v>9.448800450082967E-2</v>
      </c>
      <c r="C6780" s="10">
        <f ca="1">NPV(B6780,Project_FCF!C18:J18)+Project_FCF!B18</f>
        <v>823.14023999568781</v>
      </c>
      <c r="D6780" s="4"/>
      <c r="E6780" s="4"/>
    </row>
    <row r="6781" spans="1:5" x14ac:dyDescent="0.3">
      <c r="A6781" s="9">
        <v>6773</v>
      </c>
      <c r="B6781" s="10">
        <f t="shared" ca="1" si="105"/>
        <v>9.9791826771547104E-2</v>
      </c>
      <c r="C6781" s="10">
        <f ca="1">NPV(B6781,Project_FCF!C18:J18)+Project_FCF!B18</f>
        <v>784.13384091958528</v>
      </c>
      <c r="D6781" s="4"/>
      <c r="E6781" s="4"/>
    </row>
    <row r="6782" spans="1:5" x14ac:dyDescent="0.3">
      <c r="A6782" s="9">
        <v>6774</v>
      </c>
      <c r="B6782" s="10">
        <f t="shared" ca="1" si="105"/>
        <v>6.4381383942400658E-2</v>
      </c>
      <c r="C6782" s="10">
        <f ca="1">NPV(B6782,Project_FCF!C18:J18)+Project_FCF!B18</f>
        <v>1078.3367336793308</v>
      </c>
      <c r="D6782" s="4"/>
      <c r="E6782" s="4"/>
    </row>
    <row r="6783" spans="1:5" x14ac:dyDescent="0.3">
      <c r="A6783" s="9">
        <v>6775</v>
      </c>
      <c r="B6783" s="10">
        <f t="shared" ca="1" si="105"/>
        <v>8.9211165915936641E-2</v>
      </c>
      <c r="C6783" s="10">
        <f ca="1">NPV(B6783,Project_FCF!C18:J18)+Project_FCF!B18</f>
        <v>863.5869866456303</v>
      </c>
      <c r="D6783" s="4"/>
      <c r="E6783" s="4"/>
    </row>
    <row r="6784" spans="1:5" x14ac:dyDescent="0.3">
      <c r="A6784" s="9">
        <v>6776</v>
      </c>
      <c r="B6784" s="10">
        <f t="shared" ca="1" si="105"/>
        <v>6.8546268302017668E-2</v>
      </c>
      <c r="C6784" s="10">
        <f ca="1">NPV(B6784,Project_FCF!C18:J18)+Project_FCF!B18</f>
        <v>1039.2754681424146</v>
      </c>
      <c r="D6784" s="4"/>
      <c r="E6784" s="4"/>
    </row>
    <row r="6785" spans="1:5" x14ac:dyDescent="0.3">
      <c r="A6785" s="9">
        <v>6777</v>
      </c>
      <c r="B6785" s="10">
        <f t="shared" ca="1" si="105"/>
        <v>6.5926081245926735E-2</v>
      </c>
      <c r="C6785" s="10">
        <f ca="1">NPV(B6785,Project_FCF!C18:J18)+Project_FCF!B18</f>
        <v>1063.6962268119323</v>
      </c>
      <c r="D6785" s="4"/>
      <c r="E6785" s="4"/>
    </row>
    <row r="6786" spans="1:5" x14ac:dyDescent="0.3">
      <c r="A6786" s="9">
        <v>6778</v>
      </c>
      <c r="B6786" s="10">
        <f t="shared" ca="1" si="105"/>
        <v>7.8027860093349291E-2</v>
      </c>
      <c r="C6786" s="10">
        <f ca="1">NPV(B6786,Project_FCF!C18:J18)+Project_FCF!B18</f>
        <v>955.0732471612373</v>
      </c>
      <c r="D6786" s="4"/>
      <c r="E6786" s="4"/>
    </row>
    <row r="6787" spans="1:5" x14ac:dyDescent="0.3">
      <c r="A6787" s="9">
        <v>6779</v>
      </c>
      <c r="B6787" s="10">
        <f t="shared" ca="1" si="105"/>
        <v>7.5290777921929675E-2</v>
      </c>
      <c r="C6787" s="10">
        <f ca="1">NPV(B6787,Project_FCF!C18:J18)+Project_FCF!B18</f>
        <v>978.72841454520972</v>
      </c>
      <c r="D6787" s="4"/>
      <c r="E6787" s="4"/>
    </row>
    <row r="6788" spans="1:5" x14ac:dyDescent="0.3">
      <c r="A6788" s="9">
        <v>6780</v>
      </c>
      <c r="B6788" s="10">
        <f t="shared" ca="1" si="105"/>
        <v>8.6848564300783665E-2</v>
      </c>
      <c r="C6788" s="10">
        <f ca="1">NPV(B6788,Project_FCF!C18:J18)+Project_FCF!B18</f>
        <v>882.24673692048555</v>
      </c>
      <c r="D6788" s="4"/>
      <c r="E6788" s="4"/>
    </row>
    <row r="6789" spans="1:5" x14ac:dyDescent="0.3">
      <c r="A6789" s="9">
        <v>6781</v>
      </c>
      <c r="B6789" s="10">
        <f t="shared" ca="1" si="105"/>
        <v>6.5771162043775117E-2</v>
      </c>
      <c r="C6789" s="10">
        <f ca="1">NPV(B6789,Project_FCF!C18:J18)+Project_FCF!B18</f>
        <v>1065.1563172645047</v>
      </c>
      <c r="D6789" s="4"/>
      <c r="E6789" s="4"/>
    </row>
    <row r="6790" spans="1:5" x14ac:dyDescent="0.3">
      <c r="A6790" s="9">
        <v>6782</v>
      </c>
      <c r="B6790" s="10">
        <f t="shared" ca="1" si="105"/>
        <v>9.9995049422110641E-2</v>
      </c>
      <c r="C6790" s="10">
        <f ca="1">NPV(B6790,Project_FCF!C18:J18)+Project_FCF!B18</f>
        <v>782.67107415235591</v>
      </c>
      <c r="D6790" s="4"/>
      <c r="E6790" s="4"/>
    </row>
    <row r="6791" spans="1:5" x14ac:dyDescent="0.3">
      <c r="A6791" s="9">
        <v>6783</v>
      </c>
      <c r="B6791" s="10">
        <f t="shared" ca="1" si="105"/>
        <v>7.3308882619549293E-2</v>
      </c>
      <c r="C6791" s="10">
        <f ca="1">NPV(B6791,Project_FCF!C18:J18)+Project_FCF!B18</f>
        <v>996.18233005118577</v>
      </c>
      <c r="D6791" s="4"/>
      <c r="E6791" s="4"/>
    </row>
    <row r="6792" spans="1:5" x14ac:dyDescent="0.3">
      <c r="A6792" s="9">
        <v>6784</v>
      </c>
      <c r="B6792" s="10">
        <f t="shared" ca="1" si="105"/>
        <v>8.3470415057558728E-2</v>
      </c>
      <c r="C6792" s="10">
        <f ca="1">NPV(B6792,Project_FCF!C18:J18)+Project_FCF!B18</f>
        <v>909.53850106796131</v>
      </c>
      <c r="D6792" s="4"/>
      <c r="E6792" s="4"/>
    </row>
    <row r="6793" spans="1:5" x14ac:dyDescent="0.3">
      <c r="A6793" s="9">
        <v>6785</v>
      </c>
      <c r="B6793" s="10">
        <f t="shared" ref="B6793:B6856" ca="1" si="106">$B$4+RAND()*($B$5-$B$4)</f>
        <v>8.6746851154190105E-2</v>
      </c>
      <c r="C6793" s="10">
        <f ca="1">NPV(B6793,Project_FCF!C18:J18)+Project_FCF!B18</f>
        <v>883.05788700538437</v>
      </c>
      <c r="D6793" s="4"/>
      <c r="E6793" s="4"/>
    </row>
    <row r="6794" spans="1:5" x14ac:dyDescent="0.3">
      <c r="A6794" s="9">
        <v>6786</v>
      </c>
      <c r="B6794" s="10">
        <f t="shared" ca="1" si="106"/>
        <v>8.8313321259648248E-2</v>
      </c>
      <c r="C6794" s="10">
        <f ca="1">NPV(B6794,Project_FCF!C18:J18)+Project_FCF!B18</f>
        <v>870.63728058768015</v>
      </c>
      <c r="D6794" s="4"/>
      <c r="E6794" s="4"/>
    </row>
    <row r="6795" spans="1:5" x14ac:dyDescent="0.3">
      <c r="A6795" s="9">
        <v>6787</v>
      </c>
      <c r="B6795" s="10">
        <f t="shared" ca="1" si="106"/>
        <v>8.0287730717273811E-2</v>
      </c>
      <c r="C6795" s="10">
        <f ca="1">NPV(B6795,Project_FCF!C18:J18)+Project_FCF!B18</f>
        <v>935.92711164077673</v>
      </c>
      <c r="D6795" s="4"/>
      <c r="E6795" s="4"/>
    </row>
    <row r="6796" spans="1:5" x14ac:dyDescent="0.3">
      <c r="A6796" s="9">
        <v>6788</v>
      </c>
      <c r="B6796" s="10">
        <f t="shared" ca="1" si="106"/>
        <v>0.10116908461417555</v>
      </c>
      <c r="C6796" s="10">
        <f ca="1">NPV(B6796,Project_FCF!C18:J18)+Project_FCF!B18</f>
        <v>774.2656031769709</v>
      </c>
      <c r="D6796" s="4"/>
      <c r="E6796" s="4"/>
    </row>
    <row r="6797" spans="1:5" x14ac:dyDescent="0.3">
      <c r="A6797" s="9">
        <v>6789</v>
      </c>
      <c r="B6797" s="10">
        <f t="shared" ca="1" si="106"/>
        <v>6.8451712592962982E-2</v>
      </c>
      <c r="C6797" s="10">
        <f ca="1">NPV(B6797,Project_FCF!C18:J18)+Project_FCF!B18</f>
        <v>1040.1478200358858</v>
      </c>
      <c r="D6797" s="4"/>
      <c r="E6797" s="4"/>
    </row>
    <row r="6798" spans="1:5" x14ac:dyDescent="0.3">
      <c r="A6798" s="9">
        <v>6790</v>
      </c>
      <c r="B6798" s="10">
        <f t="shared" ca="1" si="106"/>
        <v>6.7789953438733036E-2</v>
      </c>
      <c r="C6798" s="10">
        <f ca="1">NPV(B6798,Project_FCF!C18:J18)+Project_FCF!B18</f>
        <v>1046.2716844799627</v>
      </c>
      <c r="D6798" s="4"/>
      <c r="E6798" s="4"/>
    </row>
    <row r="6799" spans="1:5" x14ac:dyDescent="0.3">
      <c r="A6799" s="9">
        <v>6791</v>
      </c>
      <c r="B6799" s="10">
        <f t="shared" ca="1" si="106"/>
        <v>6.9225427074177698E-2</v>
      </c>
      <c r="C6799" s="10">
        <f ca="1">NPV(B6799,Project_FCF!C18:J18)+Project_FCF!B18</f>
        <v>1033.0291377509161</v>
      </c>
      <c r="D6799" s="4"/>
      <c r="E6799" s="4"/>
    </row>
    <row r="6800" spans="1:5" x14ac:dyDescent="0.3">
      <c r="A6800" s="9">
        <v>6792</v>
      </c>
      <c r="B6800" s="10">
        <f t="shared" ca="1" si="106"/>
        <v>7.3235956529522001E-2</v>
      </c>
      <c r="C6800" s="10">
        <f ca="1">NPV(B6800,Project_FCF!C18:J18)+Project_FCF!B18</f>
        <v>996.8298569161102</v>
      </c>
      <c r="D6800" s="4"/>
      <c r="E6800" s="4"/>
    </row>
    <row r="6801" spans="1:5" x14ac:dyDescent="0.3">
      <c r="A6801" s="9">
        <v>6793</v>
      </c>
      <c r="B6801" s="10">
        <f t="shared" ca="1" si="106"/>
        <v>9.786276193825133E-2</v>
      </c>
      <c r="C6801" s="10">
        <f ca="1">NPV(B6801,Project_FCF!C18:J18)+Project_FCF!B18</f>
        <v>798.13472247027607</v>
      </c>
      <c r="D6801" s="4"/>
      <c r="E6801" s="4"/>
    </row>
    <row r="6802" spans="1:5" x14ac:dyDescent="0.3">
      <c r="A6802" s="9">
        <v>6794</v>
      </c>
      <c r="B6802" s="10">
        <f t="shared" ca="1" si="106"/>
        <v>9.9913859633786295E-2</v>
      </c>
      <c r="C6802" s="10">
        <f ca="1">NPV(B6802,Project_FCF!C18:J18)+Project_FCF!B18</f>
        <v>783.25518917626232</v>
      </c>
      <c r="D6802" s="4"/>
      <c r="E6802" s="4"/>
    </row>
    <row r="6803" spans="1:5" x14ac:dyDescent="0.3">
      <c r="A6803" s="9">
        <v>6795</v>
      </c>
      <c r="B6803" s="10">
        <f t="shared" ca="1" si="106"/>
        <v>0.10273910245454257</v>
      </c>
      <c r="C6803" s="10">
        <f ca="1">NPV(B6803,Project_FCF!C18:J18)+Project_FCF!B18</f>
        <v>763.14413116876676</v>
      </c>
      <c r="D6803" s="4"/>
      <c r="E6803" s="4"/>
    </row>
    <row r="6804" spans="1:5" x14ac:dyDescent="0.3">
      <c r="A6804" s="9">
        <v>6796</v>
      </c>
      <c r="B6804" s="10">
        <f t="shared" ca="1" si="106"/>
        <v>9.1173190086224251E-2</v>
      </c>
      <c r="C6804" s="10">
        <f ca="1">NPV(B6804,Project_FCF!C18:J18)+Project_FCF!B18</f>
        <v>848.35233380902901</v>
      </c>
      <c r="D6804" s="4"/>
      <c r="E6804" s="4"/>
    </row>
    <row r="6805" spans="1:5" x14ac:dyDescent="0.3">
      <c r="A6805" s="9">
        <v>6797</v>
      </c>
      <c r="B6805" s="10">
        <f t="shared" ca="1" si="106"/>
        <v>8.1379405890038461E-2</v>
      </c>
      <c r="C6805" s="10">
        <f ca="1">NPV(B6805,Project_FCF!C18:J18)+Project_FCF!B18</f>
        <v>926.80058093154298</v>
      </c>
      <c r="D6805" s="4"/>
      <c r="E6805" s="4"/>
    </row>
    <row r="6806" spans="1:5" x14ac:dyDescent="0.3">
      <c r="A6806" s="9">
        <v>6798</v>
      </c>
      <c r="B6806" s="10">
        <f t="shared" ca="1" si="106"/>
        <v>7.0186654318721967E-2</v>
      </c>
      <c r="C6806" s="10">
        <f ca="1">NPV(B6806,Project_FCF!C18:J18)+Project_FCF!B18</f>
        <v>1024.2466394667194</v>
      </c>
      <c r="D6806" s="4"/>
      <c r="E6806" s="4"/>
    </row>
    <row r="6807" spans="1:5" x14ac:dyDescent="0.3">
      <c r="A6807" s="9">
        <v>6799</v>
      </c>
      <c r="B6807" s="10">
        <f t="shared" ca="1" si="106"/>
        <v>6.8412382495539534E-2</v>
      </c>
      <c r="C6807" s="10">
        <f ca="1">NPV(B6807,Project_FCF!C18:J18)+Project_FCF!B18</f>
        <v>1040.5108669830097</v>
      </c>
      <c r="D6807" s="4"/>
      <c r="E6807" s="4"/>
    </row>
    <row r="6808" spans="1:5" x14ac:dyDescent="0.3">
      <c r="A6808" s="9">
        <v>6800</v>
      </c>
      <c r="B6808" s="10">
        <f t="shared" ca="1" si="106"/>
        <v>9.4313583831728359E-2</v>
      </c>
      <c r="C6808" s="10">
        <f ca="1">NPV(B6808,Project_FCF!C18:J18)+Project_FCF!B18</f>
        <v>824.45062001380097</v>
      </c>
      <c r="D6808" s="4"/>
      <c r="E6808" s="4"/>
    </row>
    <row r="6809" spans="1:5" x14ac:dyDescent="0.3">
      <c r="A6809" s="9">
        <v>6801</v>
      </c>
      <c r="B6809" s="10">
        <f t="shared" ca="1" si="106"/>
        <v>9.1559738984563335E-2</v>
      </c>
      <c r="C6809" s="10">
        <f ca="1">NPV(B6809,Project_FCF!C18:J18)+Project_FCF!B18</f>
        <v>845.3784452755549</v>
      </c>
      <c r="D6809" s="4"/>
      <c r="E6809" s="4"/>
    </row>
    <row r="6810" spans="1:5" x14ac:dyDescent="0.3">
      <c r="A6810" s="9">
        <v>6802</v>
      </c>
      <c r="B6810" s="10">
        <f t="shared" ca="1" si="106"/>
        <v>6.6010430411107227E-2</v>
      </c>
      <c r="C6810" s="10">
        <f ca="1">NPV(B6810,Project_FCF!C18:J18)+Project_FCF!B18</f>
        <v>1062.9020151927921</v>
      </c>
      <c r="D6810" s="4"/>
      <c r="E6810" s="4"/>
    </row>
    <row r="6811" spans="1:5" x14ac:dyDescent="0.3">
      <c r="A6811" s="9">
        <v>6803</v>
      </c>
      <c r="B6811" s="10">
        <f t="shared" ca="1" si="106"/>
        <v>6.7978514293541153E-2</v>
      </c>
      <c r="C6811" s="10">
        <f ca="1">NPV(B6811,Project_FCF!C18:J18)+Project_FCF!B18</f>
        <v>1044.5234348392462</v>
      </c>
      <c r="D6811" s="4"/>
      <c r="E6811" s="4"/>
    </row>
    <row r="6812" spans="1:5" x14ac:dyDescent="0.3">
      <c r="A6812" s="9">
        <v>6804</v>
      </c>
      <c r="B6812" s="10">
        <f t="shared" ca="1" si="106"/>
        <v>6.7670274273726225E-2</v>
      </c>
      <c r="C6812" s="10">
        <f ca="1">NPV(B6812,Project_FCF!C18:J18)+Project_FCF!B18</f>
        <v>1047.3826719058677</v>
      </c>
      <c r="D6812" s="4"/>
      <c r="E6812" s="4"/>
    </row>
    <row r="6813" spans="1:5" x14ac:dyDescent="0.3">
      <c r="A6813" s="9">
        <v>6805</v>
      </c>
      <c r="B6813" s="10">
        <f t="shared" ca="1" si="106"/>
        <v>0.10352890383657201</v>
      </c>
      <c r="C6813" s="10">
        <f ca="1">NPV(B6813,Project_FCF!C18:J18)+Project_FCF!B18</f>
        <v>757.60040554636134</v>
      </c>
      <c r="D6813" s="4"/>
      <c r="E6813" s="4"/>
    </row>
    <row r="6814" spans="1:5" x14ac:dyDescent="0.3">
      <c r="A6814" s="9">
        <v>6806</v>
      </c>
      <c r="B6814" s="10">
        <f t="shared" ca="1" si="106"/>
        <v>9.3190602053650484E-2</v>
      </c>
      <c r="C6814" s="10">
        <f ca="1">NPV(B6814,Project_FCF!C18:J18)+Project_FCF!B18</f>
        <v>832.93025539143855</v>
      </c>
      <c r="D6814" s="4"/>
      <c r="E6814" s="4"/>
    </row>
    <row r="6815" spans="1:5" x14ac:dyDescent="0.3">
      <c r="A6815" s="9">
        <v>6807</v>
      </c>
      <c r="B6815" s="10">
        <f t="shared" ca="1" si="106"/>
        <v>9.185122836446076E-2</v>
      </c>
      <c r="C6815" s="10">
        <f ca="1">NPV(B6815,Project_FCF!C18:J18)+Project_FCF!B18</f>
        <v>843.14184642079636</v>
      </c>
      <c r="D6815" s="4"/>
      <c r="E6815" s="4"/>
    </row>
    <row r="6816" spans="1:5" x14ac:dyDescent="0.3">
      <c r="A6816" s="9">
        <v>6808</v>
      </c>
      <c r="B6816" s="10">
        <f t="shared" ca="1" si="106"/>
        <v>6.4108299428064341E-2</v>
      </c>
      <c r="C6816" s="10">
        <f ca="1">NPV(B6816,Project_FCF!C18:J18)+Project_FCF!B18</f>
        <v>1080.9440544436786</v>
      </c>
      <c r="D6816" s="4"/>
      <c r="E6816" s="4"/>
    </row>
    <row r="6817" spans="1:5" x14ac:dyDescent="0.3">
      <c r="A6817" s="9">
        <v>6809</v>
      </c>
      <c r="B6817" s="10">
        <f t="shared" ca="1" si="106"/>
        <v>9.081549308286764E-2</v>
      </c>
      <c r="C6817" s="10">
        <f ca="1">NPV(B6817,Project_FCF!C18:J18)+Project_FCF!B18</f>
        <v>851.11229880688779</v>
      </c>
      <c r="D6817" s="4"/>
      <c r="E6817" s="4"/>
    </row>
    <row r="6818" spans="1:5" x14ac:dyDescent="0.3">
      <c r="A6818" s="9">
        <v>6810</v>
      </c>
      <c r="B6818" s="10">
        <f t="shared" ca="1" si="106"/>
        <v>0.10335556444780136</v>
      </c>
      <c r="C6818" s="10">
        <f ca="1">NPV(B6818,Project_FCF!C18:J18)+Project_FCF!B18</f>
        <v>758.81419593855026</v>
      </c>
      <c r="D6818" s="4"/>
      <c r="E6818" s="4"/>
    </row>
    <row r="6819" spans="1:5" x14ac:dyDescent="0.3">
      <c r="A6819" s="9">
        <v>6811</v>
      </c>
      <c r="B6819" s="10">
        <f t="shared" ca="1" si="106"/>
        <v>9.7114752721757958E-2</v>
      </c>
      <c r="C6819" s="10">
        <f ca="1">NPV(B6819,Project_FCF!C18:J18)+Project_FCF!B18</f>
        <v>803.62050346413207</v>
      </c>
      <c r="D6819" s="4"/>
      <c r="E6819" s="4"/>
    </row>
    <row r="6820" spans="1:5" x14ac:dyDescent="0.3">
      <c r="A6820" s="9">
        <v>6812</v>
      </c>
      <c r="B6820" s="10">
        <f t="shared" ca="1" si="106"/>
        <v>9.3967184860433206E-2</v>
      </c>
      <c r="C6820" s="10">
        <f ca="1">NPV(B6820,Project_FCF!C18:J18)+Project_FCF!B18</f>
        <v>827.05833685870789</v>
      </c>
      <c r="D6820" s="4"/>
      <c r="E6820" s="4"/>
    </row>
    <row r="6821" spans="1:5" x14ac:dyDescent="0.3">
      <c r="A6821" s="9">
        <v>6813</v>
      </c>
      <c r="B6821" s="10">
        <f t="shared" ca="1" si="106"/>
        <v>9.3583209987208218E-2</v>
      </c>
      <c r="C6821" s="10">
        <f ca="1">NPV(B6821,Project_FCF!C18:J18)+Project_FCF!B18</f>
        <v>829.95719763987927</v>
      </c>
      <c r="D6821" s="4"/>
      <c r="E6821" s="4"/>
    </row>
    <row r="6822" spans="1:5" x14ac:dyDescent="0.3">
      <c r="A6822" s="9">
        <v>6814</v>
      </c>
      <c r="B6822" s="10">
        <f t="shared" ca="1" si="106"/>
        <v>9.5793648664308131E-2</v>
      </c>
      <c r="C6822" s="10">
        <f ca="1">NPV(B6822,Project_FCF!C18:J18)+Project_FCF!B18</f>
        <v>813.38777747893118</v>
      </c>
      <c r="D6822" s="4"/>
      <c r="E6822" s="4"/>
    </row>
    <row r="6823" spans="1:5" x14ac:dyDescent="0.3">
      <c r="A6823" s="9">
        <v>6815</v>
      </c>
      <c r="B6823" s="10">
        <f t="shared" ca="1" si="106"/>
        <v>7.2817721545341441E-2</v>
      </c>
      <c r="C6823" s="10">
        <f ca="1">NPV(B6823,Project_FCF!C18:J18)+Project_FCF!B18</f>
        <v>1000.5507642465723</v>
      </c>
      <c r="D6823" s="4"/>
      <c r="E6823" s="4"/>
    </row>
    <row r="6824" spans="1:5" x14ac:dyDescent="0.3">
      <c r="A6824" s="9">
        <v>6816</v>
      </c>
      <c r="B6824" s="10">
        <f t="shared" ca="1" si="106"/>
        <v>9.1672920815507056E-2</v>
      </c>
      <c r="C6824" s="10">
        <f ca="1">NPV(B6824,Project_FCF!C18:J18)+Project_FCF!B18</f>
        <v>844.50939354319189</v>
      </c>
      <c r="D6824" s="4"/>
      <c r="E6824" s="4"/>
    </row>
    <row r="6825" spans="1:5" x14ac:dyDescent="0.3">
      <c r="A6825" s="9">
        <v>6817</v>
      </c>
      <c r="B6825" s="10">
        <f t="shared" ca="1" si="106"/>
        <v>8.9558279554157585E-2</v>
      </c>
      <c r="C6825" s="10">
        <f ca="1">NPV(B6825,Project_FCF!C18:J18)+Project_FCF!B18</f>
        <v>860.87460495976961</v>
      </c>
      <c r="D6825" s="4"/>
      <c r="E6825" s="4"/>
    </row>
    <row r="6826" spans="1:5" x14ac:dyDescent="0.3">
      <c r="A6826" s="9">
        <v>6818</v>
      </c>
      <c r="B6826" s="10">
        <f t="shared" ca="1" si="106"/>
        <v>6.4263283946042832E-2</v>
      </c>
      <c r="C6826" s="10">
        <f ca="1">NPV(B6826,Project_FCF!C18:J18)+Project_FCF!B18</f>
        <v>1079.4636074747455</v>
      </c>
      <c r="D6826" s="4"/>
      <c r="E6826" s="4"/>
    </row>
    <row r="6827" spans="1:5" x14ac:dyDescent="0.3">
      <c r="A6827" s="9">
        <v>6819</v>
      </c>
      <c r="B6827" s="10">
        <f t="shared" ca="1" si="106"/>
        <v>8.8761198407154976E-2</v>
      </c>
      <c r="C6827" s="10">
        <f ca="1">NPV(B6827,Project_FCF!C18:J18)+Project_FCF!B18</f>
        <v>867.11411610535833</v>
      </c>
      <c r="D6827" s="4"/>
      <c r="E6827" s="4"/>
    </row>
    <row r="6828" spans="1:5" x14ac:dyDescent="0.3">
      <c r="A6828" s="9">
        <v>6820</v>
      </c>
      <c r="B6828" s="10">
        <f t="shared" ca="1" si="106"/>
        <v>6.4299334592407012E-2</v>
      </c>
      <c r="C6828" s="10">
        <f ca="1">NPV(B6828,Project_FCF!C18:J18)+Project_FCF!B18</f>
        <v>1079.1195092887467</v>
      </c>
      <c r="D6828" s="4"/>
      <c r="E6828" s="4"/>
    </row>
    <row r="6829" spans="1:5" x14ac:dyDescent="0.3">
      <c r="A6829" s="9">
        <v>6821</v>
      </c>
      <c r="B6829" s="10">
        <f t="shared" ca="1" si="106"/>
        <v>8.1839370063370734E-2</v>
      </c>
      <c r="C6829" s="10">
        <f ca="1">NPV(B6829,Project_FCF!C18:J18)+Project_FCF!B18</f>
        <v>922.97882818376479</v>
      </c>
      <c r="D6829" s="4"/>
      <c r="E6829" s="4"/>
    </row>
    <row r="6830" spans="1:5" x14ac:dyDescent="0.3">
      <c r="A6830" s="9">
        <v>6822</v>
      </c>
      <c r="B6830" s="10">
        <f t="shared" ca="1" si="106"/>
        <v>8.777380530646739E-2</v>
      </c>
      <c r="C6830" s="10">
        <f ca="1">NPV(B6830,Project_FCF!C18:J18)+Project_FCF!B18</f>
        <v>874.89783417257559</v>
      </c>
      <c r="D6830" s="4"/>
      <c r="E6830" s="4"/>
    </row>
    <row r="6831" spans="1:5" x14ac:dyDescent="0.3">
      <c r="A6831" s="9">
        <v>6823</v>
      </c>
      <c r="B6831" s="10">
        <f t="shared" ca="1" si="106"/>
        <v>9.8330749669472167E-2</v>
      </c>
      <c r="C6831" s="10">
        <f ca="1">NPV(B6831,Project_FCF!C18:J18)+Project_FCF!B18</f>
        <v>794.71879604363812</v>
      </c>
      <c r="D6831" s="4"/>
      <c r="E6831" s="4"/>
    </row>
    <row r="6832" spans="1:5" x14ac:dyDescent="0.3">
      <c r="A6832" s="9">
        <v>6824</v>
      </c>
      <c r="B6832" s="10">
        <f t="shared" ca="1" si="106"/>
        <v>0.10297056507006498</v>
      </c>
      <c r="C6832" s="10">
        <f ca="1">NPV(B6832,Project_FCF!C18:J18)+Project_FCF!B18</f>
        <v>761.51594817834962</v>
      </c>
      <c r="D6832" s="4"/>
      <c r="E6832" s="4"/>
    </row>
    <row r="6833" spans="1:5" x14ac:dyDescent="0.3">
      <c r="A6833" s="9">
        <v>6825</v>
      </c>
      <c r="B6833" s="10">
        <f t="shared" ca="1" si="106"/>
        <v>8.8652802510130302E-2</v>
      </c>
      <c r="C6833" s="10">
        <f ca="1">NPV(B6833,Project_FCF!C18:J18)+Project_FCF!B18</f>
        <v>867.96565913944437</v>
      </c>
      <c r="D6833" s="4"/>
      <c r="E6833" s="4"/>
    </row>
    <row r="6834" spans="1:5" x14ac:dyDescent="0.3">
      <c r="A6834" s="9">
        <v>6826</v>
      </c>
      <c r="B6834" s="10">
        <f t="shared" ca="1" si="106"/>
        <v>9.304220768789738E-2</v>
      </c>
      <c r="C6834" s="10">
        <f ca="1">NPV(B6834,Project_FCF!C18:J18)+Project_FCF!B18</f>
        <v>834.05636643644061</v>
      </c>
      <c r="D6834" s="4"/>
      <c r="E6834" s="4"/>
    </row>
    <row r="6835" spans="1:5" x14ac:dyDescent="0.3">
      <c r="A6835" s="9">
        <v>6827</v>
      </c>
      <c r="B6835" s="10">
        <f t="shared" ca="1" si="106"/>
        <v>6.4650971474486216E-2</v>
      </c>
      <c r="C6835" s="10">
        <f ca="1">NPV(B6835,Project_FCF!C18:J18)+Project_FCF!B18</f>
        <v>1075.7684369466613</v>
      </c>
      <c r="D6835" s="4"/>
      <c r="E6835" s="4"/>
    </row>
    <row r="6836" spans="1:5" x14ac:dyDescent="0.3">
      <c r="A6836" s="9">
        <v>6828</v>
      </c>
      <c r="B6836" s="10">
        <f t="shared" ca="1" si="106"/>
        <v>0.10221824563741842</v>
      </c>
      <c r="C6836" s="10">
        <f ca="1">NPV(B6836,Project_FCF!C18:J18)+Project_FCF!B18</f>
        <v>766.81870485827289</v>
      </c>
      <c r="D6836" s="4"/>
      <c r="E6836" s="4"/>
    </row>
    <row r="6837" spans="1:5" x14ac:dyDescent="0.3">
      <c r="A6837" s="9">
        <v>6829</v>
      </c>
      <c r="B6837" s="10">
        <f t="shared" ca="1" si="106"/>
        <v>0.10233730603778718</v>
      </c>
      <c r="C6837" s="10">
        <f ca="1">NPV(B6837,Project_FCF!C18:J18)+Project_FCF!B18</f>
        <v>765.97744150505537</v>
      </c>
      <c r="D6837" s="4"/>
      <c r="E6837" s="4"/>
    </row>
    <row r="6838" spans="1:5" x14ac:dyDescent="0.3">
      <c r="A6838" s="9">
        <v>6830</v>
      </c>
      <c r="B6838" s="10">
        <f t="shared" ca="1" si="106"/>
        <v>6.9132060869810733E-2</v>
      </c>
      <c r="C6838" s="10">
        <f ca="1">NPV(B6838,Project_FCF!C18:J18)+Project_FCF!B18</f>
        <v>1033.8858210848023</v>
      </c>
      <c r="D6838" s="4"/>
      <c r="E6838" s="4"/>
    </row>
    <row r="6839" spans="1:5" x14ac:dyDescent="0.3">
      <c r="A6839" s="9">
        <v>6831</v>
      </c>
      <c r="B6839" s="10">
        <f t="shared" ca="1" si="106"/>
        <v>7.2520475890324995E-2</v>
      </c>
      <c r="C6839" s="10">
        <f ca="1">NPV(B6839,Project_FCF!C18:J18)+Project_FCF!B18</f>
        <v>1003.2028495054678</v>
      </c>
      <c r="D6839" s="4"/>
      <c r="E6839" s="4"/>
    </row>
    <row r="6840" spans="1:5" x14ac:dyDescent="0.3">
      <c r="A6840" s="9">
        <v>6832</v>
      </c>
      <c r="B6840" s="10">
        <f t="shared" ca="1" si="106"/>
        <v>9.6704018070123382E-2</v>
      </c>
      <c r="C6840" s="10">
        <f ca="1">NPV(B6840,Project_FCF!C18:J18)+Project_FCF!B18</f>
        <v>806.64639828014492</v>
      </c>
      <c r="D6840" s="4"/>
      <c r="E6840" s="4"/>
    </row>
    <row r="6841" spans="1:5" x14ac:dyDescent="0.3">
      <c r="A6841" s="9">
        <v>6833</v>
      </c>
      <c r="B6841" s="10">
        <f t="shared" ca="1" si="106"/>
        <v>9.9660571707876858E-2</v>
      </c>
      <c r="C6841" s="10">
        <f ca="1">NPV(B6841,Project_FCF!C18:J18)+Project_FCF!B18</f>
        <v>785.07982450298118</v>
      </c>
      <c r="D6841" s="4"/>
      <c r="E6841" s="4"/>
    </row>
    <row r="6842" spans="1:5" x14ac:dyDescent="0.3">
      <c r="A6842" s="9">
        <v>6834</v>
      </c>
      <c r="B6842" s="10">
        <f t="shared" ca="1" si="106"/>
        <v>9.295070891580183E-2</v>
      </c>
      <c r="C6842" s="10">
        <f ca="1">NPV(B6842,Project_FCF!C18:J18)+Project_FCF!B18</f>
        <v>834.75136988112695</v>
      </c>
      <c r="D6842" s="4"/>
      <c r="E6842" s="4"/>
    </row>
    <row r="6843" spans="1:5" x14ac:dyDescent="0.3">
      <c r="A6843" s="9">
        <v>6835</v>
      </c>
      <c r="B6843" s="10">
        <f t="shared" ca="1" si="106"/>
        <v>9.3434285987558541E-2</v>
      </c>
      <c r="C6843" s="10">
        <f ca="1">NPV(B6843,Project_FCF!C18:J18)+Project_FCF!B18</f>
        <v>831.08386218244323</v>
      </c>
      <c r="D6843" s="4"/>
      <c r="E6843" s="4"/>
    </row>
    <row r="6844" spans="1:5" x14ac:dyDescent="0.3">
      <c r="A6844" s="9">
        <v>6836</v>
      </c>
      <c r="B6844" s="10">
        <f t="shared" ca="1" si="106"/>
        <v>9.8323647822639221E-2</v>
      </c>
      <c r="C6844" s="10">
        <f ca="1">NPV(B6844,Project_FCF!C18:J18)+Project_FCF!B18</f>
        <v>794.77054073022646</v>
      </c>
      <c r="D6844" s="4"/>
      <c r="E6844" s="4"/>
    </row>
    <row r="6845" spans="1:5" x14ac:dyDescent="0.3">
      <c r="A6845" s="9">
        <v>6837</v>
      </c>
      <c r="B6845" s="10">
        <f t="shared" ca="1" si="106"/>
        <v>8.4949715290924432E-2</v>
      </c>
      <c r="C6845" s="10">
        <f ca="1">NPV(B6845,Project_FCF!C18:J18)+Project_FCF!B18</f>
        <v>897.4976988202568</v>
      </c>
      <c r="D6845" s="4"/>
      <c r="E6845" s="4"/>
    </row>
    <row r="6846" spans="1:5" x14ac:dyDescent="0.3">
      <c r="A6846" s="9">
        <v>6838</v>
      </c>
      <c r="B6846" s="10">
        <f t="shared" ca="1" si="106"/>
        <v>0.1012195536470244</v>
      </c>
      <c r="C6846" s="10">
        <f ca="1">NPV(B6846,Project_FCF!C18:J18)+Project_FCF!B18</f>
        <v>773.90598661336139</v>
      </c>
      <c r="D6846" s="4"/>
      <c r="E6846" s="4"/>
    </row>
    <row r="6847" spans="1:5" x14ac:dyDescent="0.3">
      <c r="A6847" s="9">
        <v>6839</v>
      </c>
      <c r="B6847" s="10">
        <f t="shared" ca="1" si="106"/>
        <v>6.5211784973654263E-2</v>
      </c>
      <c r="C6847" s="10">
        <f ca="1">NPV(B6847,Project_FCF!C18:J18)+Project_FCF!B18</f>
        <v>1070.4435795440486</v>
      </c>
      <c r="D6847" s="4"/>
      <c r="E6847" s="4"/>
    </row>
    <row r="6848" spans="1:5" x14ac:dyDescent="0.3">
      <c r="A6848" s="9">
        <v>6840</v>
      </c>
      <c r="B6848" s="10">
        <f t="shared" ca="1" si="106"/>
        <v>8.7919876864147775E-2</v>
      </c>
      <c r="C6848" s="10">
        <f ca="1">NPV(B6848,Project_FCF!C18:J18)+Project_FCF!B18</f>
        <v>873.74252088849539</v>
      </c>
      <c r="D6848" s="4"/>
      <c r="E6848" s="4"/>
    </row>
    <row r="6849" spans="1:5" x14ac:dyDescent="0.3">
      <c r="A6849" s="9">
        <v>6841</v>
      </c>
      <c r="B6849" s="10">
        <f t="shared" ca="1" si="106"/>
        <v>9.3618479532309701E-2</v>
      </c>
      <c r="C6849" s="10">
        <f ca="1">NPV(B6849,Project_FCF!C18:J18)+Project_FCF!B18</f>
        <v>829.69056289413697</v>
      </c>
      <c r="D6849" s="4"/>
      <c r="E6849" s="4"/>
    </row>
    <row r="6850" spans="1:5" x14ac:dyDescent="0.3">
      <c r="A6850" s="9">
        <v>6842</v>
      </c>
      <c r="B6850" s="10">
        <f t="shared" ca="1" si="106"/>
        <v>9.8935488368684182E-2</v>
      </c>
      <c r="C6850" s="10">
        <f ca="1">NPV(B6850,Project_FCF!C18:J18)+Project_FCF!B18</f>
        <v>790.32309222652361</v>
      </c>
      <c r="D6850" s="4"/>
      <c r="E6850" s="4"/>
    </row>
    <row r="6851" spans="1:5" x14ac:dyDescent="0.3">
      <c r="A6851" s="9">
        <v>6843</v>
      </c>
      <c r="B6851" s="10">
        <f t="shared" ca="1" si="106"/>
        <v>8.4862545258084204E-2</v>
      </c>
      <c r="C6851" s="10">
        <f ca="1">NPV(B6851,Project_FCF!C18:J18)+Project_FCF!B18</f>
        <v>898.20332465690285</v>
      </c>
      <c r="D6851" s="4"/>
      <c r="E6851" s="4"/>
    </row>
    <row r="6852" spans="1:5" x14ac:dyDescent="0.3">
      <c r="A6852" s="9">
        <v>6844</v>
      </c>
      <c r="B6852" s="10">
        <f t="shared" ca="1" si="106"/>
        <v>8.9412341612265703E-2</v>
      </c>
      <c r="C6852" s="10">
        <f ca="1">NPV(B6852,Project_FCF!C18:J18)+Project_FCF!B18</f>
        <v>862.01407733959741</v>
      </c>
      <c r="D6852" s="4"/>
      <c r="E6852" s="4"/>
    </row>
    <row r="6853" spans="1:5" x14ac:dyDescent="0.3">
      <c r="A6853" s="9">
        <v>6845</v>
      </c>
      <c r="B6853" s="10">
        <f t="shared" ca="1" si="106"/>
        <v>7.6162700724095089E-2</v>
      </c>
      <c r="C6853" s="10">
        <f ca="1">NPV(B6853,Project_FCF!C18:J18)+Project_FCF!B18</f>
        <v>971.13674175909637</v>
      </c>
      <c r="D6853" s="4"/>
      <c r="E6853" s="4"/>
    </row>
    <row r="6854" spans="1:5" x14ac:dyDescent="0.3">
      <c r="A6854" s="9">
        <v>6846</v>
      </c>
      <c r="B6854" s="10">
        <f t="shared" ca="1" si="106"/>
        <v>0.10290022199466212</v>
      </c>
      <c r="C6854" s="10">
        <f ca="1">NPV(B6854,Project_FCF!C18:J18)+Project_FCF!B18</f>
        <v>762.01045534284663</v>
      </c>
      <c r="D6854" s="4"/>
      <c r="E6854" s="4"/>
    </row>
    <row r="6855" spans="1:5" x14ac:dyDescent="0.3">
      <c r="A6855" s="9">
        <v>6847</v>
      </c>
      <c r="B6855" s="10">
        <f t="shared" ca="1" si="106"/>
        <v>9.7034462295681037E-2</v>
      </c>
      <c r="C6855" s="10">
        <f ca="1">NPV(B6855,Project_FCF!C18:J18)+Project_FCF!B18</f>
        <v>804.21124371132328</v>
      </c>
      <c r="D6855" s="4"/>
      <c r="E6855" s="4"/>
    </row>
    <row r="6856" spans="1:5" x14ac:dyDescent="0.3">
      <c r="A6856" s="9">
        <v>6848</v>
      </c>
      <c r="B6856" s="10">
        <f t="shared" ca="1" si="106"/>
        <v>7.805954896574617E-2</v>
      </c>
      <c r="C6856" s="10">
        <f ca="1">NPV(B6856,Project_FCF!C18:J18)+Project_FCF!B18</f>
        <v>954.80238625824222</v>
      </c>
      <c r="D6856" s="4"/>
      <c r="E6856" s="4"/>
    </row>
    <row r="6857" spans="1:5" x14ac:dyDescent="0.3">
      <c r="A6857" s="9">
        <v>6849</v>
      </c>
      <c r="B6857" s="10">
        <f t="shared" ref="B6857:B6920" ca="1" si="107">$B$4+RAND()*($B$5-$B$4)</f>
        <v>0.10058427661603733</v>
      </c>
      <c r="C6857" s="10">
        <f ca="1">NPV(B6857,Project_FCF!C18:J18)+Project_FCF!B18</f>
        <v>778.44293852388</v>
      </c>
      <c r="D6857" s="4"/>
      <c r="E6857" s="4"/>
    </row>
    <row r="6858" spans="1:5" x14ac:dyDescent="0.3">
      <c r="A6858" s="9">
        <v>6850</v>
      </c>
      <c r="B6858" s="10">
        <f t="shared" ca="1" si="107"/>
        <v>7.8126457854685583E-2</v>
      </c>
      <c r="C6858" s="10">
        <f ca="1">NPV(B6858,Project_FCF!C18:J18)+Project_FCF!B18</f>
        <v>954.23070631268206</v>
      </c>
      <c r="D6858" s="4"/>
      <c r="E6858" s="4"/>
    </row>
    <row r="6859" spans="1:5" x14ac:dyDescent="0.3">
      <c r="A6859" s="9">
        <v>6851</v>
      </c>
      <c r="B6859" s="10">
        <f t="shared" ca="1" si="107"/>
        <v>7.5938741516866373E-2</v>
      </c>
      <c r="C6859" s="10">
        <f ca="1">NPV(B6859,Project_FCF!C18:J18)+Project_FCF!B18</f>
        <v>973.08167604803089</v>
      </c>
      <c r="D6859" s="4"/>
      <c r="E6859" s="4"/>
    </row>
    <row r="6860" spans="1:5" x14ac:dyDescent="0.3">
      <c r="A6860" s="9">
        <v>6852</v>
      </c>
      <c r="B6860" s="10">
        <f t="shared" ca="1" si="107"/>
        <v>6.9445945069740028E-2</v>
      </c>
      <c r="C6860" s="10">
        <f ca="1">NPV(B6860,Project_FCF!C18:J18)+Project_FCF!B18</f>
        <v>1031.0083207091795</v>
      </c>
      <c r="D6860" s="4"/>
      <c r="E6860" s="4"/>
    </row>
    <row r="6861" spans="1:5" x14ac:dyDescent="0.3">
      <c r="A6861" s="9">
        <v>6853</v>
      </c>
      <c r="B6861" s="10">
        <f t="shared" ca="1" si="107"/>
        <v>0.10330178580623881</v>
      </c>
      <c r="C6861" s="10">
        <f ca="1">NPV(B6861,Project_FCF!C18:J18)+Project_FCF!B18</f>
        <v>759.19110633790501</v>
      </c>
      <c r="D6861" s="4"/>
      <c r="E6861" s="4"/>
    </row>
    <row r="6862" spans="1:5" x14ac:dyDescent="0.3">
      <c r="A6862" s="9">
        <v>6854</v>
      </c>
      <c r="B6862" s="10">
        <f t="shared" ca="1" si="107"/>
        <v>7.7309261894207351E-2</v>
      </c>
      <c r="C6862" s="10">
        <f ca="1">NPV(B6862,Project_FCF!C18:J18)+Project_FCF!B18</f>
        <v>961.23385147616909</v>
      </c>
      <c r="D6862" s="4"/>
      <c r="E6862" s="4"/>
    </row>
    <row r="6863" spans="1:5" x14ac:dyDescent="0.3">
      <c r="A6863" s="9">
        <v>6855</v>
      </c>
      <c r="B6863" s="10">
        <f t="shared" ca="1" si="107"/>
        <v>8.2624401368742176E-2</v>
      </c>
      <c r="C6863" s="10">
        <f ca="1">NPV(B6863,Project_FCF!C18:J18)+Project_FCF!B18</f>
        <v>916.48824955168629</v>
      </c>
      <c r="D6863" s="4"/>
      <c r="E6863" s="4"/>
    </row>
    <row r="6864" spans="1:5" x14ac:dyDescent="0.3">
      <c r="A6864" s="9">
        <v>6856</v>
      </c>
      <c r="B6864" s="10">
        <f t="shared" ca="1" si="107"/>
        <v>9.3345408877413744E-2</v>
      </c>
      <c r="C6864" s="10">
        <f ca="1">NPV(B6864,Project_FCF!C18:J18)+Project_FCF!B18</f>
        <v>831.75687605355847</v>
      </c>
      <c r="D6864" s="4"/>
      <c r="E6864" s="4"/>
    </row>
    <row r="6865" spans="1:5" x14ac:dyDescent="0.3">
      <c r="A6865" s="9">
        <v>6857</v>
      </c>
      <c r="B6865" s="10">
        <f t="shared" ca="1" si="107"/>
        <v>8.1080813591459369E-2</v>
      </c>
      <c r="C6865" s="10">
        <f ca="1">NPV(B6865,Project_FCF!C18:J18)+Project_FCF!B18</f>
        <v>929.28899831942954</v>
      </c>
      <c r="D6865" s="4"/>
      <c r="E6865" s="4"/>
    </row>
    <row r="6866" spans="1:5" x14ac:dyDescent="0.3">
      <c r="A6866" s="9">
        <v>6858</v>
      </c>
      <c r="B6866" s="10">
        <f t="shared" ca="1" si="107"/>
        <v>7.4938345773453749E-2</v>
      </c>
      <c r="C6866" s="10">
        <f ca="1">NPV(B6866,Project_FCF!C18:J18)+Project_FCF!B18</f>
        <v>981.81200173471848</v>
      </c>
      <c r="D6866" s="4"/>
      <c r="E6866" s="4"/>
    </row>
    <row r="6867" spans="1:5" x14ac:dyDescent="0.3">
      <c r="A6867" s="9">
        <v>6859</v>
      </c>
      <c r="B6867" s="10">
        <f t="shared" ca="1" si="107"/>
        <v>7.8486896816344631E-2</v>
      </c>
      <c r="C6867" s="10">
        <f ca="1">NPV(B6867,Project_FCF!C18:J18)+Project_FCF!B18</f>
        <v>951.15629071620492</v>
      </c>
      <c r="D6867" s="4"/>
      <c r="E6867" s="4"/>
    </row>
    <row r="6868" spans="1:5" x14ac:dyDescent="0.3">
      <c r="A6868" s="9">
        <v>6860</v>
      </c>
      <c r="B6868" s="10">
        <f t="shared" ca="1" si="107"/>
        <v>9.8159323603479093E-2</v>
      </c>
      <c r="C6868" s="10">
        <f ca="1">NPV(B6868,Project_FCF!C18:J18)+Project_FCF!B18</f>
        <v>795.96862098351835</v>
      </c>
      <c r="D6868" s="4"/>
      <c r="E6868" s="4"/>
    </row>
    <row r="6869" spans="1:5" x14ac:dyDescent="0.3">
      <c r="A6869" s="9">
        <v>6861</v>
      </c>
      <c r="B6869" s="10">
        <f t="shared" ca="1" si="107"/>
        <v>6.8079516520864997E-2</v>
      </c>
      <c r="C6869" s="10">
        <f ca="1">NPV(B6869,Project_FCF!C18:J18)+Project_FCF!B18</f>
        <v>1043.5880790492038</v>
      </c>
      <c r="D6869" s="4"/>
      <c r="E6869" s="4"/>
    </row>
    <row r="6870" spans="1:5" x14ac:dyDescent="0.3">
      <c r="A6870" s="9">
        <v>6862</v>
      </c>
      <c r="B6870" s="10">
        <f t="shared" ca="1" si="107"/>
        <v>9.8826804602317936E-2</v>
      </c>
      <c r="C6870" s="10">
        <f ca="1">NPV(B6870,Project_FCF!C18:J18)+Project_FCF!B18</f>
        <v>791.11156484970161</v>
      </c>
      <c r="D6870" s="4"/>
      <c r="E6870" s="4"/>
    </row>
    <row r="6871" spans="1:5" x14ac:dyDescent="0.3">
      <c r="A6871" s="9">
        <v>6863</v>
      </c>
      <c r="B6871" s="10">
        <f t="shared" ca="1" si="107"/>
        <v>7.414594376731512E-2</v>
      </c>
      <c r="C6871" s="10">
        <f ca="1">NPV(B6871,Project_FCF!C18:J18)+Project_FCF!B18</f>
        <v>988.77686345050779</v>
      </c>
      <c r="D6871" s="4"/>
      <c r="E6871" s="4"/>
    </row>
    <row r="6872" spans="1:5" x14ac:dyDescent="0.3">
      <c r="A6872" s="9">
        <v>6864</v>
      </c>
      <c r="B6872" s="10">
        <f t="shared" ca="1" si="107"/>
        <v>6.575354875382744E-2</v>
      </c>
      <c r="C6872" s="10">
        <f ca="1">NPV(B6872,Project_FCF!C18:J18)+Project_FCF!B18</f>
        <v>1065.3224354423053</v>
      </c>
      <c r="D6872" s="4"/>
      <c r="E6872" s="4"/>
    </row>
    <row r="6873" spans="1:5" x14ac:dyDescent="0.3">
      <c r="A6873" s="9">
        <v>6865</v>
      </c>
      <c r="B6873" s="10">
        <f t="shared" ca="1" si="107"/>
        <v>7.6042920096526037E-2</v>
      </c>
      <c r="C6873" s="10">
        <f ca="1">NPV(B6873,Project_FCF!C18:J18)+Project_FCF!B18</f>
        <v>972.17652331915656</v>
      </c>
      <c r="D6873" s="4"/>
      <c r="E6873" s="4"/>
    </row>
    <row r="6874" spans="1:5" x14ac:dyDescent="0.3">
      <c r="A6874" s="9">
        <v>6866</v>
      </c>
      <c r="B6874" s="10">
        <f t="shared" ca="1" si="107"/>
        <v>9.224758067642147E-2</v>
      </c>
      <c r="C6874" s="10">
        <f ca="1">NPV(B6874,Project_FCF!C18:J18)+Project_FCF!B18</f>
        <v>840.10882286911806</v>
      </c>
      <c r="D6874" s="4"/>
      <c r="E6874" s="4"/>
    </row>
    <row r="6875" spans="1:5" x14ac:dyDescent="0.3">
      <c r="A6875" s="9">
        <v>6867</v>
      </c>
      <c r="B6875" s="10">
        <f t="shared" ca="1" si="107"/>
        <v>7.8869938629742467E-2</v>
      </c>
      <c r="C6875" s="10">
        <f ca="1">NPV(B6875,Project_FCF!C18:J18)+Project_FCF!B18</f>
        <v>947.89872846068261</v>
      </c>
      <c r="D6875" s="4"/>
      <c r="E6875" s="4"/>
    </row>
    <row r="6876" spans="1:5" x14ac:dyDescent="0.3">
      <c r="A6876" s="9">
        <v>6868</v>
      </c>
      <c r="B6876" s="10">
        <f t="shared" ca="1" si="107"/>
        <v>8.8441264896997662E-2</v>
      </c>
      <c r="C6876" s="10">
        <f ca="1">NPV(B6876,Project_FCF!C18:J18)+Project_FCF!B18</f>
        <v>869.62956218074737</v>
      </c>
      <c r="D6876" s="4"/>
      <c r="E6876" s="4"/>
    </row>
    <row r="6877" spans="1:5" x14ac:dyDescent="0.3">
      <c r="A6877" s="9">
        <v>6869</v>
      </c>
      <c r="B6877" s="10">
        <f t="shared" ca="1" si="107"/>
        <v>7.463059514664519E-2</v>
      </c>
      <c r="C6877" s="10">
        <f ca="1">NPV(B6877,Project_FCF!C18:J18)+Project_FCF!B18</f>
        <v>984.51175743320869</v>
      </c>
      <c r="D6877" s="4"/>
      <c r="E6877" s="4"/>
    </row>
    <row r="6878" spans="1:5" x14ac:dyDescent="0.3">
      <c r="A6878" s="9">
        <v>6870</v>
      </c>
      <c r="B6878" s="10">
        <f t="shared" ca="1" si="107"/>
        <v>9.1112557325503774E-2</v>
      </c>
      <c r="C6878" s="10">
        <f ca="1">NPV(B6878,Project_FCF!C18:J18)+Project_FCF!B18</f>
        <v>848.81962678778973</v>
      </c>
      <c r="D6878" s="4"/>
      <c r="E6878" s="4"/>
    </row>
    <row r="6879" spans="1:5" x14ac:dyDescent="0.3">
      <c r="A6879" s="9">
        <v>6871</v>
      </c>
      <c r="B6879" s="10">
        <f t="shared" ca="1" si="107"/>
        <v>0.10320236125688707</v>
      </c>
      <c r="C6879" s="10">
        <f ca="1">NPV(B6879,Project_FCF!C18:J18)+Project_FCF!B18</f>
        <v>759.88834195581558</v>
      </c>
      <c r="D6879" s="4"/>
      <c r="E6879" s="4"/>
    </row>
    <row r="6880" spans="1:5" x14ac:dyDescent="0.3">
      <c r="A6880" s="9">
        <v>6872</v>
      </c>
      <c r="B6880" s="10">
        <f t="shared" ca="1" si="107"/>
        <v>7.9993839596024074E-2</v>
      </c>
      <c r="C6880" s="10">
        <f ca="1">NPV(B6880,Project_FCF!C18:J18)+Project_FCF!B18</f>
        <v>938.39761602391377</v>
      </c>
      <c r="D6880" s="4"/>
      <c r="E6880" s="4"/>
    </row>
    <row r="6881" spans="1:5" x14ac:dyDescent="0.3">
      <c r="A6881" s="9">
        <v>6873</v>
      </c>
      <c r="B6881" s="10">
        <f t="shared" ca="1" si="107"/>
        <v>9.2956754171862263E-2</v>
      </c>
      <c r="C6881" s="10">
        <f ca="1">NPV(B6881,Project_FCF!C18:J18)+Project_FCF!B18</f>
        <v>834.70543615301176</v>
      </c>
      <c r="D6881" s="4"/>
      <c r="E6881" s="4"/>
    </row>
    <row r="6882" spans="1:5" x14ac:dyDescent="0.3">
      <c r="A6882" s="9">
        <v>6874</v>
      </c>
      <c r="B6882" s="10">
        <f t="shared" ca="1" si="107"/>
        <v>6.6093372320608246E-2</v>
      </c>
      <c r="C6882" s="10">
        <f ca="1">NPV(B6882,Project_FCF!C18:J18)+Project_FCF!B18</f>
        <v>1062.1215805721545</v>
      </c>
      <c r="D6882" s="4"/>
      <c r="E6882" s="4"/>
    </row>
    <row r="6883" spans="1:5" x14ac:dyDescent="0.3">
      <c r="A6883" s="9">
        <v>6875</v>
      </c>
      <c r="B6883" s="10">
        <f t="shared" ca="1" si="107"/>
        <v>6.7223095105417935E-2</v>
      </c>
      <c r="C6883" s="10">
        <f ca="1">NPV(B6883,Project_FCF!C18:J18)+Project_FCF!B18</f>
        <v>1051.5433425767285</v>
      </c>
      <c r="D6883" s="4"/>
      <c r="E6883" s="4"/>
    </row>
    <row r="6884" spans="1:5" x14ac:dyDescent="0.3">
      <c r="A6884" s="9">
        <v>6876</v>
      </c>
      <c r="B6884" s="10">
        <f t="shared" ca="1" si="107"/>
        <v>8.9257708637286395E-2</v>
      </c>
      <c r="C6884" s="10">
        <f ca="1">NPV(B6884,Project_FCF!C18:J18)+Project_FCF!B18</f>
        <v>863.22286717453107</v>
      </c>
      <c r="D6884" s="4"/>
      <c r="E6884" s="4"/>
    </row>
    <row r="6885" spans="1:5" x14ac:dyDescent="0.3">
      <c r="A6885" s="9">
        <v>6877</v>
      </c>
      <c r="B6885" s="10">
        <f t="shared" ca="1" si="107"/>
        <v>6.8497140969582454E-2</v>
      </c>
      <c r="C6885" s="10">
        <f ca="1">NPV(B6885,Project_FCF!C18:J18)+Project_FCF!B18</f>
        <v>1039.7286242026935</v>
      </c>
      <c r="D6885" s="4"/>
      <c r="E6885" s="4"/>
    </row>
    <row r="6886" spans="1:5" x14ac:dyDescent="0.3">
      <c r="A6886" s="9">
        <v>6878</v>
      </c>
      <c r="B6886" s="10">
        <f t="shared" ca="1" si="107"/>
        <v>6.6846035699108339E-2</v>
      </c>
      <c r="C6886" s="10">
        <f ca="1">NPV(B6886,Project_FCF!C18:J18)+Project_FCF!B18</f>
        <v>1055.0632634191354</v>
      </c>
      <c r="D6886" s="4"/>
      <c r="E6886" s="4"/>
    </row>
    <row r="6887" spans="1:5" x14ac:dyDescent="0.3">
      <c r="A6887" s="9">
        <v>6879</v>
      </c>
      <c r="B6887" s="10">
        <f t="shared" ca="1" si="107"/>
        <v>9.8408507653868688E-2</v>
      </c>
      <c r="C6887" s="10">
        <f ca="1">NPV(B6887,Project_FCF!C18:J18)+Project_FCF!B18</f>
        <v>794.15243158272438</v>
      </c>
      <c r="D6887" s="4"/>
      <c r="E6887" s="4"/>
    </row>
    <row r="6888" spans="1:5" x14ac:dyDescent="0.3">
      <c r="A6888" s="9">
        <v>6880</v>
      </c>
      <c r="B6888" s="10">
        <f t="shared" ca="1" si="107"/>
        <v>7.2803016547934918E-2</v>
      </c>
      <c r="C6888" s="10">
        <f ca="1">NPV(B6888,Project_FCF!C18:J18)+Project_FCF!B18</f>
        <v>1000.6818168515392</v>
      </c>
      <c r="D6888" s="4"/>
      <c r="E6888" s="4"/>
    </row>
    <row r="6889" spans="1:5" x14ac:dyDescent="0.3">
      <c r="A6889" s="9">
        <v>6881</v>
      </c>
      <c r="B6889" s="10">
        <f t="shared" ca="1" si="107"/>
        <v>7.2577266284586189E-2</v>
      </c>
      <c r="C6889" s="10">
        <f ca="1">NPV(B6889,Project_FCF!C18:J18)+Project_FCF!B18</f>
        <v>1002.6956663927581</v>
      </c>
      <c r="D6889" s="4"/>
      <c r="E6889" s="4"/>
    </row>
    <row r="6890" spans="1:5" x14ac:dyDescent="0.3">
      <c r="A6890" s="9">
        <v>6882</v>
      </c>
      <c r="B6890" s="10">
        <f t="shared" ca="1" si="107"/>
        <v>9.7687921127880495E-2</v>
      </c>
      <c r="C6890" s="10">
        <f ca="1">NPV(B6890,Project_FCF!C18:J18)+Project_FCF!B18</f>
        <v>799.41411524123282</v>
      </c>
      <c r="D6890" s="4"/>
      <c r="E6890" s="4"/>
    </row>
    <row r="6891" spans="1:5" x14ac:dyDescent="0.3">
      <c r="A6891" s="9">
        <v>6883</v>
      </c>
      <c r="B6891" s="10">
        <f t="shared" ca="1" si="107"/>
        <v>8.3821541176583664E-2</v>
      </c>
      <c r="C6891" s="10">
        <f ca="1">NPV(B6891,Project_FCF!C18:J18)+Project_FCF!B18</f>
        <v>906.66774059534214</v>
      </c>
      <c r="D6891" s="4"/>
      <c r="E6891" s="4"/>
    </row>
    <row r="6892" spans="1:5" x14ac:dyDescent="0.3">
      <c r="A6892" s="9">
        <v>6884</v>
      </c>
      <c r="B6892" s="10">
        <f t="shared" ca="1" si="107"/>
        <v>8.4419551268999776E-2</v>
      </c>
      <c r="C6892" s="10">
        <f ca="1">NPV(B6892,Project_FCF!C18:J18)+Project_FCF!B18</f>
        <v>901.79680223583296</v>
      </c>
      <c r="D6892" s="4"/>
      <c r="E6892" s="4"/>
    </row>
    <row r="6893" spans="1:5" x14ac:dyDescent="0.3">
      <c r="A6893" s="9">
        <v>6885</v>
      </c>
      <c r="B6893" s="10">
        <f t="shared" ca="1" si="107"/>
        <v>9.7341903041066907E-2</v>
      </c>
      <c r="C6893" s="10">
        <f ca="1">NPV(B6893,Project_FCF!C18:J18)+Project_FCF!B18</f>
        <v>801.95123664447146</v>
      </c>
      <c r="D6893" s="4"/>
      <c r="E6893" s="4"/>
    </row>
    <row r="6894" spans="1:5" x14ac:dyDescent="0.3">
      <c r="A6894" s="9">
        <v>6886</v>
      </c>
      <c r="B6894" s="10">
        <f t="shared" ca="1" si="107"/>
        <v>8.1681275230539599E-2</v>
      </c>
      <c r="C6894" s="10">
        <f ca="1">NPV(B6894,Project_FCF!C18:J18)+Project_FCF!B18</f>
        <v>924.2908358070008</v>
      </c>
      <c r="D6894" s="4"/>
      <c r="E6894" s="4"/>
    </row>
    <row r="6895" spans="1:5" x14ac:dyDescent="0.3">
      <c r="A6895" s="9">
        <v>6887</v>
      </c>
      <c r="B6895" s="10">
        <f t="shared" ca="1" si="107"/>
        <v>9.3713298206698714E-2</v>
      </c>
      <c r="C6895" s="10">
        <f ca="1">NPV(B6895,Project_FCF!C18:J18)+Project_FCF!B18</f>
        <v>828.97410657723026</v>
      </c>
      <c r="D6895" s="4"/>
      <c r="E6895" s="4"/>
    </row>
    <row r="6896" spans="1:5" x14ac:dyDescent="0.3">
      <c r="A6896" s="9">
        <v>6888</v>
      </c>
      <c r="B6896" s="10">
        <f t="shared" ca="1" si="107"/>
        <v>9.716279226034065E-2</v>
      </c>
      <c r="C6896" s="10">
        <f ca="1">NPV(B6896,Project_FCF!C18:J18)+Project_FCF!B18</f>
        <v>803.26722727362835</v>
      </c>
      <c r="D6896" s="4"/>
      <c r="E6896" s="4"/>
    </row>
    <row r="6897" spans="1:5" x14ac:dyDescent="0.3">
      <c r="A6897" s="9">
        <v>6889</v>
      </c>
      <c r="B6897" s="10">
        <f t="shared" ca="1" si="107"/>
        <v>9.5053466720795399E-2</v>
      </c>
      <c r="C6897" s="10">
        <f ca="1">NPV(B6897,Project_FCF!C18:J18)+Project_FCF!B18</f>
        <v>818.90432444287308</v>
      </c>
      <c r="D6897" s="4"/>
      <c r="E6897" s="4"/>
    </row>
    <row r="6898" spans="1:5" x14ac:dyDescent="0.3">
      <c r="A6898" s="9">
        <v>6890</v>
      </c>
      <c r="B6898" s="10">
        <f t="shared" ca="1" si="107"/>
        <v>7.6130259550839768E-2</v>
      </c>
      <c r="C6898" s="10">
        <f ca="1">NPV(B6898,Project_FCF!C18:J18)+Project_FCF!B18</f>
        <v>971.41825627772164</v>
      </c>
      <c r="D6898" s="4"/>
      <c r="E6898" s="4"/>
    </row>
    <row r="6899" spans="1:5" x14ac:dyDescent="0.3">
      <c r="A6899" s="9">
        <v>6891</v>
      </c>
      <c r="B6899" s="10">
        <f t="shared" ca="1" si="107"/>
        <v>8.4619468960464961E-2</v>
      </c>
      <c r="C6899" s="10">
        <f ca="1">NPV(B6899,Project_FCF!C18:J18)+Project_FCF!B18</f>
        <v>900.17355278201217</v>
      </c>
      <c r="D6899" s="4"/>
      <c r="E6899" s="4"/>
    </row>
    <row r="6900" spans="1:5" x14ac:dyDescent="0.3">
      <c r="A6900" s="9">
        <v>6892</v>
      </c>
      <c r="B6900" s="10">
        <f t="shared" ca="1" si="107"/>
        <v>8.1513811031171307E-2</v>
      </c>
      <c r="C6900" s="10">
        <f ca="1">NPV(B6900,Project_FCF!C18:J18)+Project_FCF!B18</f>
        <v>925.68239314363154</v>
      </c>
      <c r="D6900" s="4"/>
      <c r="E6900" s="4"/>
    </row>
    <row r="6901" spans="1:5" x14ac:dyDescent="0.3">
      <c r="A6901" s="9">
        <v>6893</v>
      </c>
      <c r="B6901" s="10">
        <f t="shared" ca="1" si="107"/>
        <v>7.5533712561159649E-2</v>
      </c>
      <c r="C6901" s="10">
        <f ca="1">NPV(B6901,Project_FCF!C18:J18)+Project_FCF!B18</f>
        <v>976.60791598160927</v>
      </c>
      <c r="D6901" s="4"/>
      <c r="E6901" s="4"/>
    </row>
    <row r="6902" spans="1:5" x14ac:dyDescent="0.3">
      <c r="A6902" s="9">
        <v>6894</v>
      </c>
      <c r="B6902" s="10">
        <f t="shared" ca="1" si="107"/>
        <v>8.9425222528155768E-2</v>
      </c>
      <c r="C6902" s="10">
        <f ca="1">NPV(B6902,Project_FCF!C18:J18)+Project_FCF!B18</f>
        <v>861.91345151975702</v>
      </c>
      <c r="D6902" s="4"/>
      <c r="E6902" s="4"/>
    </row>
    <row r="6903" spans="1:5" x14ac:dyDescent="0.3">
      <c r="A6903" s="9">
        <v>6895</v>
      </c>
      <c r="B6903" s="10">
        <f t="shared" ca="1" si="107"/>
        <v>8.2420474510619901E-2</v>
      </c>
      <c r="C6903" s="10">
        <f ca="1">NPV(B6903,Project_FCF!C18:J18)+Project_FCF!B18</f>
        <v>918.17042205183452</v>
      </c>
      <c r="D6903" s="4"/>
      <c r="E6903" s="4"/>
    </row>
    <row r="6904" spans="1:5" x14ac:dyDescent="0.3">
      <c r="A6904" s="9">
        <v>6896</v>
      </c>
      <c r="B6904" s="10">
        <f t="shared" ca="1" si="107"/>
        <v>0.10140825681893176</v>
      </c>
      <c r="C6904" s="10">
        <f ca="1">NPV(B6904,Project_FCF!C18:J18)+Project_FCF!B18</f>
        <v>772.56263141841873</v>
      </c>
      <c r="D6904" s="4"/>
      <c r="E6904" s="4"/>
    </row>
    <row r="6905" spans="1:5" x14ac:dyDescent="0.3">
      <c r="A6905" s="9">
        <v>6897</v>
      </c>
      <c r="B6905" s="10">
        <f t="shared" ca="1" si="107"/>
        <v>8.99733998742933E-2</v>
      </c>
      <c r="C6905" s="10">
        <f ca="1">NPV(B6905,Project_FCF!C18:J18)+Project_FCF!B18</f>
        <v>857.6405140690697</v>
      </c>
      <c r="D6905" s="4"/>
      <c r="E6905" s="4"/>
    </row>
    <row r="6906" spans="1:5" x14ac:dyDescent="0.3">
      <c r="A6906" s="9">
        <v>6898</v>
      </c>
      <c r="B6906" s="10">
        <f t="shared" ca="1" si="107"/>
        <v>7.6033599785331932E-2</v>
      </c>
      <c r="C6906" s="10">
        <f ca="1">NPV(B6906,Project_FCF!C18:J18)+Project_FCF!B18</f>
        <v>972.25747195347662</v>
      </c>
      <c r="D6906" s="4"/>
      <c r="E6906" s="4"/>
    </row>
    <row r="6907" spans="1:5" x14ac:dyDescent="0.3">
      <c r="A6907" s="9">
        <v>6899</v>
      </c>
      <c r="B6907" s="10">
        <f t="shared" ca="1" si="107"/>
        <v>9.2454927772998949E-2</v>
      </c>
      <c r="C6907" s="10">
        <f ca="1">NPV(B6907,Project_FCF!C18:J18)+Project_FCF!B18</f>
        <v>838.5258817951817</v>
      </c>
      <c r="D6907" s="4"/>
      <c r="E6907" s="4"/>
    </row>
    <row r="6908" spans="1:5" x14ac:dyDescent="0.3">
      <c r="A6908" s="9">
        <v>6900</v>
      </c>
      <c r="B6908" s="10">
        <f t="shared" ca="1" si="107"/>
        <v>0.10183949974583847</v>
      </c>
      <c r="C6908" s="10">
        <f ca="1">NPV(B6908,Project_FCF!C18:J18)+Project_FCF!B18</f>
        <v>769.50003865142207</v>
      </c>
      <c r="D6908" s="4"/>
      <c r="E6908" s="4"/>
    </row>
    <row r="6909" spans="1:5" x14ac:dyDescent="0.3">
      <c r="A6909" s="9">
        <v>6901</v>
      </c>
      <c r="B6909" s="10">
        <f t="shared" ca="1" si="107"/>
        <v>7.9268233458981971E-2</v>
      </c>
      <c r="C6909" s="10">
        <f ca="1">NPV(B6909,Project_FCF!C18:J18)+Project_FCF!B18</f>
        <v>944.52195394122259</v>
      </c>
      <c r="D6909" s="4"/>
      <c r="E6909" s="4"/>
    </row>
    <row r="6910" spans="1:5" x14ac:dyDescent="0.3">
      <c r="A6910" s="9">
        <v>6902</v>
      </c>
      <c r="B6910" s="10">
        <f t="shared" ca="1" si="107"/>
        <v>0.10299400203867576</v>
      </c>
      <c r="C6910" s="10">
        <f ca="1">NPV(B6910,Project_FCF!C18:J18)+Project_FCF!B18</f>
        <v>761.35124768175046</v>
      </c>
      <c r="D6910" s="4"/>
      <c r="E6910" s="4"/>
    </row>
    <row r="6911" spans="1:5" x14ac:dyDescent="0.3">
      <c r="A6911" s="9">
        <v>6903</v>
      </c>
      <c r="B6911" s="10">
        <f t="shared" ca="1" si="107"/>
        <v>8.9486263757953682E-2</v>
      </c>
      <c r="C6911" s="10">
        <f ca="1">NPV(B6911,Project_FCF!C18:J18)+Project_FCF!B18</f>
        <v>861.43673546395075</v>
      </c>
      <c r="D6911" s="4"/>
      <c r="E6911" s="4"/>
    </row>
    <row r="6912" spans="1:5" x14ac:dyDescent="0.3">
      <c r="A6912" s="9">
        <v>6904</v>
      </c>
      <c r="B6912" s="10">
        <f t="shared" ca="1" si="107"/>
        <v>8.2785631345592081E-2</v>
      </c>
      <c r="C6912" s="10">
        <f ca="1">NPV(B6912,Project_FCF!C18:J18)+Project_FCF!B18</f>
        <v>915.16020115144761</v>
      </c>
      <c r="D6912" s="4"/>
      <c r="E6912" s="4"/>
    </row>
    <row r="6913" spans="1:5" x14ac:dyDescent="0.3">
      <c r="A6913" s="9">
        <v>6905</v>
      </c>
      <c r="B6913" s="10">
        <f t="shared" ca="1" si="107"/>
        <v>0.10146396136256117</v>
      </c>
      <c r="C6913" s="10">
        <f ca="1">NPV(B6913,Project_FCF!C18:J18)+Project_FCF!B18</f>
        <v>772.16645339344927</v>
      </c>
      <c r="D6913" s="4"/>
      <c r="E6913" s="4"/>
    </row>
    <row r="6914" spans="1:5" x14ac:dyDescent="0.3">
      <c r="A6914" s="9">
        <v>6906</v>
      </c>
      <c r="B6914" s="10">
        <f t="shared" ca="1" si="107"/>
        <v>7.9820480454233372E-2</v>
      </c>
      <c r="C6914" s="10">
        <f ca="1">NPV(B6914,Project_FCF!C18:J18)+Project_FCF!B18</f>
        <v>939.8576119578413</v>
      </c>
      <c r="D6914" s="4"/>
      <c r="E6914" s="4"/>
    </row>
    <row r="6915" spans="1:5" x14ac:dyDescent="0.3">
      <c r="A6915" s="9">
        <v>6907</v>
      </c>
      <c r="B6915" s="10">
        <f t="shared" ca="1" si="107"/>
        <v>7.9055698085992387E-2</v>
      </c>
      <c r="C6915" s="10">
        <f ca="1">NPV(B6915,Project_FCF!C18:J18)+Project_FCF!B18</f>
        <v>946.32251475730982</v>
      </c>
      <c r="D6915" s="4"/>
      <c r="E6915" s="4"/>
    </row>
    <row r="6916" spans="1:5" x14ac:dyDescent="0.3">
      <c r="A6916" s="9">
        <v>6908</v>
      </c>
      <c r="B6916" s="10">
        <f t="shared" ca="1" si="107"/>
        <v>8.095482040679057E-2</v>
      </c>
      <c r="C6916" s="10">
        <f ca="1">NPV(B6916,Project_FCF!C18:J18)+Project_FCF!B18</f>
        <v>930.34077354724991</v>
      </c>
      <c r="D6916" s="4"/>
      <c r="E6916" s="4"/>
    </row>
    <row r="6917" spans="1:5" x14ac:dyDescent="0.3">
      <c r="A6917" s="9">
        <v>6909</v>
      </c>
      <c r="B6917" s="10">
        <f t="shared" ca="1" si="107"/>
        <v>0.1020432951643987</v>
      </c>
      <c r="C6917" s="10">
        <f ca="1">NPV(B6917,Project_FCF!C18:J18)+Project_FCF!B18</f>
        <v>768.0562891083614</v>
      </c>
      <c r="D6917" s="4"/>
      <c r="E6917" s="4"/>
    </row>
    <row r="6918" spans="1:5" x14ac:dyDescent="0.3">
      <c r="A6918" s="9">
        <v>6910</v>
      </c>
      <c r="B6918" s="10">
        <f t="shared" ca="1" si="107"/>
        <v>7.0231291140417804E-2</v>
      </c>
      <c r="C6918" s="10">
        <f ca="1">NPV(B6918,Project_FCF!C18:J18)+Project_FCF!B18</f>
        <v>1023.8404485417677</v>
      </c>
      <c r="D6918" s="4"/>
      <c r="E6918" s="4"/>
    </row>
    <row r="6919" spans="1:5" x14ac:dyDescent="0.3">
      <c r="A6919" s="9">
        <v>6911</v>
      </c>
      <c r="B6919" s="10">
        <f t="shared" ca="1" si="107"/>
        <v>7.0828466916320929E-2</v>
      </c>
      <c r="C6919" s="10">
        <f ca="1">NPV(B6919,Project_FCF!C18:J18)+Project_FCF!B18</f>
        <v>1018.4201770268305</v>
      </c>
      <c r="D6919" s="4"/>
      <c r="E6919" s="4"/>
    </row>
    <row r="6920" spans="1:5" x14ac:dyDescent="0.3">
      <c r="A6920" s="9">
        <v>6912</v>
      </c>
      <c r="B6920" s="10">
        <f t="shared" ca="1" si="107"/>
        <v>6.89350475784926E-2</v>
      </c>
      <c r="C6920" s="10">
        <f ca="1">NPV(B6920,Project_FCF!C18:J18)+Project_FCF!B18</f>
        <v>1035.6956309788816</v>
      </c>
      <c r="D6920" s="4"/>
      <c r="E6920" s="4"/>
    </row>
    <row r="6921" spans="1:5" x14ac:dyDescent="0.3">
      <c r="A6921" s="9">
        <v>6913</v>
      </c>
      <c r="B6921" s="10">
        <f t="shared" ref="B6921:B6984" ca="1" si="108">$B$4+RAND()*($B$5-$B$4)</f>
        <v>7.2232913262484114E-2</v>
      </c>
      <c r="C6921" s="10">
        <f ca="1">NPV(B6921,Project_FCF!C18:J18)+Project_FCF!B18</f>
        <v>1005.774554950744</v>
      </c>
      <c r="D6921" s="4"/>
      <c r="E6921" s="4"/>
    </row>
    <row r="6922" spans="1:5" x14ac:dyDescent="0.3">
      <c r="A6922" s="9">
        <v>6914</v>
      </c>
      <c r="B6922" s="10">
        <f t="shared" ca="1" si="108"/>
        <v>8.9061581572002183E-2</v>
      </c>
      <c r="C6922" s="10">
        <f ca="1">NPV(B6922,Project_FCF!C18:J18)+Project_FCF!B18</f>
        <v>864.7581384280636</v>
      </c>
      <c r="D6922" s="4"/>
      <c r="E6922" s="4"/>
    </row>
    <row r="6923" spans="1:5" x14ac:dyDescent="0.3">
      <c r="A6923" s="9">
        <v>6915</v>
      </c>
      <c r="B6923" s="10">
        <f t="shared" ca="1" si="108"/>
        <v>9.5758209510549183E-2</v>
      </c>
      <c r="C6923" s="10">
        <f ca="1">NPV(B6923,Project_FCF!C18:J18)+Project_FCF!B18</f>
        <v>813.6511779060279</v>
      </c>
      <c r="D6923" s="4"/>
      <c r="E6923" s="4"/>
    </row>
    <row r="6924" spans="1:5" x14ac:dyDescent="0.3">
      <c r="A6924" s="9">
        <v>6916</v>
      </c>
      <c r="B6924" s="10">
        <f t="shared" ca="1" si="108"/>
        <v>7.9909321628434865E-2</v>
      </c>
      <c r="C6924" s="10">
        <f ca="1">NPV(B6924,Project_FCF!C18:J18)+Project_FCF!B18</f>
        <v>939.10915825983352</v>
      </c>
      <c r="D6924" s="4"/>
      <c r="E6924" s="4"/>
    </row>
    <row r="6925" spans="1:5" x14ac:dyDescent="0.3">
      <c r="A6925" s="9">
        <v>6917</v>
      </c>
      <c r="B6925" s="10">
        <f t="shared" ca="1" si="108"/>
        <v>0.1008417410381597</v>
      </c>
      <c r="C6925" s="10">
        <f ca="1">NPV(B6925,Project_FCF!C18:J18)+Project_FCF!B18</f>
        <v>776.60150994956916</v>
      </c>
      <c r="D6925" s="4"/>
      <c r="E6925" s="4"/>
    </row>
    <row r="6926" spans="1:5" x14ac:dyDescent="0.3">
      <c r="A6926" s="9">
        <v>6918</v>
      </c>
      <c r="B6926" s="10">
        <f t="shared" ca="1" si="108"/>
        <v>6.8324646208265824E-2</v>
      </c>
      <c r="C6926" s="10">
        <f ca="1">NPV(B6926,Project_FCF!C18:J18)+Project_FCF!B18</f>
        <v>1041.3211541448206</v>
      </c>
      <c r="D6926" s="4"/>
      <c r="E6926" s="4"/>
    </row>
    <row r="6927" spans="1:5" x14ac:dyDescent="0.3">
      <c r="A6927" s="9">
        <v>6919</v>
      </c>
      <c r="B6927" s="10">
        <f t="shared" ca="1" si="108"/>
        <v>6.5751499112646508E-2</v>
      </c>
      <c r="C6927" s="10">
        <f ca="1">NPV(B6927,Project_FCF!C18:J18)+Project_FCF!B18</f>
        <v>1065.3417679839347</v>
      </c>
      <c r="D6927" s="4"/>
      <c r="E6927" s="4"/>
    </row>
    <row r="6928" spans="1:5" x14ac:dyDescent="0.3">
      <c r="A6928" s="9">
        <v>6920</v>
      </c>
      <c r="B6928" s="10">
        <f t="shared" ca="1" si="108"/>
        <v>7.0987545790336268E-2</v>
      </c>
      <c r="C6928" s="10">
        <f ca="1">NPV(B6928,Project_FCF!C18:J18)+Project_FCF!B18</f>
        <v>1016.9806712307914</v>
      </c>
      <c r="D6928" s="4"/>
      <c r="E6928" s="4"/>
    </row>
    <row r="6929" spans="1:5" x14ac:dyDescent="0.3">
      <c r="A6929" s="9">
        <v>6921</v>
      </c>
      <c r="B6929" s="10">
        <f t="shared" ca="1" si="108"/>
        <v>6.7207594293010722E-2</v>
      </c>
      <c r="C6929" s="10">
        <f ca="1">NPV(B6929,Project_FCF!C18:J18)+Project_FCF!B18</f>
        <v>1051.6878349818774</v>
      </c>
      <c r="D6929" s="4"/>
      <c r="E6929" s="4"/>
    </row>
    <row r="6930" spans="1:5" x14ac:dyDescent="0.3">
      <c r="A6930" s="9">
        <v>6922</v>
      </c>
      <c r="B6930" s="10">
        <f t="shared" ca="1" si="108"/>
        <v>6.816317432013215E-2</v>
      </c>
      <c r="C6930" s="10">
        <f ca="1">NPV(B6930,Project_FCF!C18:J18)+Project_FCF!B18</f>
        <v>1042.8139209121898</v>
      </c>
      <c r="D6930" s="4"/>
      <c r="E6930" s="4"/>
    </row>
    <row r="6931" spans="1:5" x14ac:dyDescent="0.3">
      <c r="A6931" s="9">
        <v>6923</v>
      </c>
      <c r="B6931" s="10">
        <f t="shared" ca="1" si="108"/>
        <v>7.7238032721656635E-2</v>
      </c>
      <c r="C6931" s="10">
        <f ca="1">NPV(B6931,Project_FCF!C18:J18)+Project_FCF!B18</f>
        <v>961.84642797363426</v>
      </c>
      <c r="D6931" s="4"/>
      <c r="E6931" s="4"/>
    </row>
    <row r="6932" spans="1:5" x14ac:dyDescent="0.3">
      <c r="A6932" s="9">
        <v>6924</v>
      </c>
      <c r="B6932" s="10">
        <f t="shared" ca="1" si="108"/>
        <v>8.1429747229312607E-2</v>
      </c>
      <c r="C6932" s="10">
        <f ca="1">NPV(B6932,Project_FCF!C18:J18)+Project_FCF!B18</f>
        <v>926.38162498188626</v>
      </c>
      <c r="D6932" s="4"/>
      <c r="E6932" s="4"/>
    </row>
    <row r="6933" spans="1:5" x14ac:dyDescent="0.3">
      <c r="A6933" s="9">
        <v>6925</v>
      </c>
      <c r="B6933" s="10">
        <f t="shared" ca="1" si="108"/>
        <v>8.7261203493394959E-2</v>
      </c>
      <c r="C6933" s="10">
        <f ca="1">NPV(B6933,Project_FCF!C18:J18)+Project_FCF!B18</f>
        <v>878.96265186265941</v>
      </c>
      <c r="D6933" s="4"/>
      <c r="E6933" s="4"/>
    </row>
    <row r="6934" spans="1:5" x14ac:dyDescent="0.3">
      <c r="A6934" s="9">
        <v>6926</v>
      </c>
      <c r="B6934" s="10">
        <f t="shared" ca="1" si="108"/>
        <v>6.7234039137453766E-2</v>
      </c>
      <c r="C6934" s="10">
        <f ca="1">NPV(B6934,Project_FCF!C18:J18)+Project_FCF!B18</f>
        <v>1051.4413375279289</v>
      </c>
      <c r="D6934" s="4"/>
      <c r="E6934" s="4"/>
    </row>
    <row r="6935" spans="1:5" x14ac:dyDescent="0.3">
      <c r="A6935" s="9">
        <v>6927</v>
      </c>
      <c r="B6935" s="10">
        <f t="shared" ca="1" si="108"/>
        <v>8.5078199828672305E-2</v>
      </c>
      <c r="C6935" s="10">
        <f ca="1">NPV(B6935,Project_FCF!C18:J18)+Project_FCF!B18</f>
        <v>896.4585249447357</v>
      </c>
      <c r="D6935" s="4"/>
      <c r="E6935" s="4"/>
    </row>
    <row r="6936" spans="1:5" x14ac:dyDescent="0.3">
      <c r="A6936" s="9">
        <v>6928</v>
      </c>
      <c r="B6936" s="10">
        <f t="shared" ca="1" si="108"/>
        <v>8.4617414010756925E-2</v>
      </c>
      <c r="C6936" s="10">
        <f ca="1">NPV(B6936,Project_FCF!C18:J18)+Project_FCF!B18</f>
        <v>900.19022508661237</v>
      </c>
      <c r="D6936" s="4"/>
      <c r="E6936" s="4"/>
    </row>
    <row r="6937" spans="1:5" x14ac:dyDescent="0.3">
      <c r="A6937" s="9">
        <v>6929</v>
      </c>
      <c r="B6937" s="10">
        <f t="shared" ca="1" si="108"/>
        <v>6.9101472166968922E-2</v>
      </c>
      <c r="C6937" s="10">
        <f ca="1">NPV(B6937,Project_FCF!C18:J18)+Project_FCF!B18</f>
        <v>1034.1666281197752</v>
      </c>
      <c r="D6937" s="4"/>
      <c r="E6937" s="4"/>
    </row>
    <row r="6938" spans="1:5" x14ac:dyDescent="0.3">
      <c r="A6938" s="9">
        <v>6930</v>
      </c>
      <c r="B6938" s="10">
        <f t="shared" ca="1" si="108"/>
        <v>0.10316702138517626</v>
      </c>
      <c r="C6938" s="10">
        <f ca="1">NPV(B6938,Project_FCF!C18:J18)+Project_FCF!B18</f>
        <v>760.13629961863239</v>
      </c>
      <c r="D6938" s="4"/>
      <c r="E6938" s="4"/>
    </row>
    <row r="6939" spans="1:5" x14ac:dyDescent="0.3">
      <c r="A6939" s="9">
        <v>6931</v>
      </c>
      <c r="B6939" s="10">
        <f t="shared" ca="1" si="108"/>
        <v>8.0960193883753279E-2</v>
      </c>
      <c r="C6939" s="10">
        <f ca="1">NPV(B6939,Project_FCF!C18:J18)+Project_FCF!B18</f>
        <v>930.29589497264396</v>
      </c>
      <c r="D6939" s="4"/>
      <c r="E6939" s="4"/>
    </row>
    <row r="6940" spans="1:5" x14ac:dyDescent="0.3">
      <c r="A6940" s="9">
        <v>6932</v>
      </c>
      <c r="B6940" s="10">
        <f t="shared" ca="1" si="108"/>
        <v>7.6550899591147192E-2</v>
      </c>
      <c r="C6940" s="10">
        <f ca="1">NPV(B6940,Project_FCF!C18:J18)+Project_FCF!B18</f>
        <v>967.77371522444673</v>
      </c>
      <c r="D6940" s="4"/>
      <c r="E6940" s="4"/>
    </row>
    <row r="6941" spans="1:5" x14ac:dyDescent="0.3">
      <c r="A6941" s="9">
        <v>6933</v>
      </c>
      <c r="B6941" s="10">
        <f t="shared" ca="1" si="108"/>
        <v>8.6292566134873544E-2</v>
      </c>
      <c r="C6941" s="10">
        <f ca="1">NPV(B6941,Project_FCF!C18:J18)+Project_FCF!B18</f>
        <v>886.68870740361967</v>
      </c>
      <c r="D6941" s="4"/>
      <c r="E6941" s="4"/>
    </row>
    <row r="6942" spans="1:5" x14ac:dyDescent="0.3">
      <c r="A6942" s="9">
        <v>6934</v>
      </c>
      <c r="B6942" s="10">
        <f t="shared" ca="1" si="108"/>
        <v>9.363375376841257E-2</v>
      </c>
      <c r="C6942" s="10">
        <f ca="1">NPV(B6942,Project_FCF!C18:J18)+Project_FCF!B18</f>
        <v>829.57511380993174</v>
      </c>
      <c r="D6942" s="4"/>
      <c r="E6942" s="4"/>
    </row>
    <row r="6943" spans="1:5" x14ac:dyDescent="0.3">
      <c r="A6943" s="9">
        <v>6935</v>
      </c>
      <c r="B6943" s="10">
        <f t="shared" ca="1" si="108"/>
        <v>7.4492041302993209E-2</v>
      </c>
      <c r="C6943" s="10">
        <f ca="1">NPV(B6943,Project_FCF!C18:J18)+Project_FCF!B18</f>
        <v>985.72939540612379</v>
      </c>
      <c r="D6943" s="4"/>
      <c r="E6943" s="4"/>
    </row>
    <row r="6944" spans="1:5" x14ac:dyDescent="0.3">
      <c r="A6944" s="9">
        <v>6936</v>
      </c>
      <c r="B6944" s="10">
        <f t="shared" ca="1" si="108"/>
        <v>0.10268263386124091</v>
      </c>
      <c r="C6944" s="10">
        <f ca="1">NPV(B6944,Project_FCF!C18:J18)+Project_FCF!B18</f>
        <v>763.54179283274402</v>
      </c>
      <c r="D6944" s="4"/>
      <c r="E6944" s="4"/>
    </row>
    <row r="6945" spans="1:5" x14ac:dyDescent="0.3">
      <c r="A6945" s="9">
        <v>6937</v>
      </c>
      <c r="B6945" s="10">
        <f t="shared" ca="1" si="108"/>
        <v>7.0561444315526411E-2</v>
      </c>
      <c r="C6945" s="10">
        <f ca="1">NPV(B6945,Project_FCF!C18:J18)+Project_FCF!B18</f>
        <v>1020.8405999597076</v>
      </c>
      <c r="D6945" s="4"/>
      <c r="E6945" s="4"/>
    </row>
    <row r="6946" spans="1:5" x14ac:dyDescent="0.3">
      <c r="A6946" s="9">
        <v>6938</v>
      </c>
      <c r="B6946" s="10">
        <f t="shared" ca="1" si="108"/>
        <v>8.3542945449769174E-2</v>
      </c>
      <c r="C6946" s="10">
        <f ca="1">NPV(B6946,Project_FCF!C18:J18)+Project_FCF!B18</f>
        <v>908.94484856605845</v>
      </c>
      <c r="D6946" s="4"/>
      <c r="E6946" s="4"/>
    </row>
    <row r="6947" spans="1:5" x14ac:dyDescent="0.3">
      <c r="A6947" s="9">
        <v>6939</v>
      </c>
      <c r="B6947" s="10">
        <f t="shared" ca="1" si="108"/>
        <v>0.10295959998923794</v>
      </c>
      <c r="C6947" s="10">
        <f ca="1">NPV(B6947,Project_FCF!C18:J18)+Project_FCF!B18</f>
        <v>761.5930142423299</v>
      </c>
      <c r="D6947" s="4"/>
      <c r="E6947" s="4"/>
    </row>
    <row r="6948" spans="1:5" x14ac:dyDescent="0.3">
      <c r="A6948" s="9">
        <v>6940</v>
      </c>
      <c r="B6948" s="10">
        <f t="shared" ca="1" si="108"/>
        <v>9.601632188176043E-2</v>
      </c>
      <c r="C6948" s="10">
        <f ca="1">NPV(B6948,Project_FCF!C18:J18)+Project_FCF!B18</f>
        <v>811.73443198415089</v>
      </c>
      <c r="D6948" s="4"/>
      <c r="E6948" s="4"/>
    </row>
    <row r="6949" spans="1:5" x14ac:dyDescent="0.3">
      <c r="A6949" s="9">
        <v>6941</v>
      </c>
      <c r="B6949" s="10">
        <f t="shared" ca="1" si="108"/>
        <v>7.2896464174296002E-2</v>
      </c>
      <c r="C6949" s="10">
        <f ca="1">NPV(B6949,Project_FCF!C18:J18)+Project_FCF!B18</f>
        <v>999.84926340048264</v>
      </c>
      <c r="D6949" s="4"/>
      <c r="E6949" s="4"/>
    </row>
    <row r="6950" spans="1:5" x14ac:dyDescent="0.3">
      <c r="A6950" s="9">
        <v>6942</v>
      </c>
      <c r="B6950" s="10">
        <f t="shared" ca="1" si="108"/>
        <v>9.9275430266199047E-2</v>
      </c>
      <c r="C6950" s="10">
        <f ca="1">NPV(B6950,Project_FCF!C18:J18)+Project_FCF!B18</f>
        <v>787.86120119735369</v>
      </c>
      <c r="D6950" s="4"/>
      <c r="E6950" s="4"/>
    </row>
    <row r="6951" spans="1:5" x14ac:dyDescent="0.3">
      <c r="A6951" s="9">
        <v>6943</v>
      </c>
      <c r="B6951" s="10">
        <f t="shared" ca="1" si="108"/>
        <v>8.8267719247218518E-2</v>
      </c>
      <c r="C6951" s="10">
        <f ca="1">NPV(B6951,Project_FCF!C18:J18)+Project_FCF!B18</f>
        <v>870.99669963713131</v>
      </c>
      <c r="D6951" s="4"/>
      <c r="E6951" s="4"/>
    </row>
    <row r="6952" spans="1:5" x14ac:dyDescent="0.3">
      <c r="A6952" s="9">
        <v>6944</v>
      </c>
      <c r="B6952" s="10">
        <f t="shared" ca="1" si="108"/>
        <v>8.715906876919792E-2</v>
      </c>
      <c r="C6952" s="10">
        <f ca="1">NPV(B6952,Project_FCF!C18:J18)+Project_FCF!B18</f>
        <v>879.77452050950956</v>
      </c>
      <c r="D6952" s="4"/>
      <c r="E6952" s="4"/>
    </row>
    <row r="6953" spans="1:5" x14ac:dyDescent="0.3">
      <c r="A6953" s="9">
        <v>6945</v>
      </c>
      <c r="B6953" s="10">
        <f t="shared" ca="1" si="108"/>
        <v>8.1232718026313461E-2</v>
      </c>
      <c r="C6953" s="10">
        <f ca="1">NPV(B6953,Project_FCF!C18:J18)+Project_FCF!B18</f>
        <v>928.02231618372775</v>
      </c>
      <c r="D6953" s="4"/>
      <c r="E6953" s="4"/>
    </row>
    <row r="6954" spans="1:5" x14ac:dyDescent="0.3">
      <c r="A6954" s="9">
        <v>6946</v>
      </c>
      <c r="B6954" s="10">
        <f t="shared" ca="1" si="108"/>
        <v>9.8176931157350433E-2</v>
      </c>
      <c r="C6954" s="10">
        <f ca="1">NPV(B6954,Project_FCF!C18:J18)+Project_FCF!B18</f>
        <v>795.84017178194017</v>
      </c>
      <c r="D6954" s="4"/>
      <c r="E6954" s="4"/>
    </row>
    <row r="6955" spans="1:5" x14ac:dyDescent="0.3">
      <c r="A6955" s="9">
        <v>6947</v>
      </c>
      <c r="B6955" s="10">
        <f t="shared" ca="1" si="108"/>
        <v>7.5436919423622198E-2</v>
      </c>
      <c r="C6955" s="10">
        <f ca="1">NPV(B6955,Project_FCF!C18:J18)+Project_FCF!B18</f>
        <v>977.4522995059765</v>
      </c>
      <c r="D6955" s="4"/>
      <c r="E6955" s="4"/>
    </row>
    <row r="6956" spans="1:5" x14ac:dyDescent="0.3">
      <c r="A6956" s="9">
        <v>6948</v>
      </c>
      <c r="B6956" s="10">
        <f t="shared" ca="1" si="108"/>
        <v>9.2010392386505033E-2</v>
      </c>
      <c r="C6956" s="10">
        <f ca="1">NPV(B6956,Project_FCF!C18:J18)+Project_FCF!B18</f>
        <v>841.9227364186529</v>
      </c>
      <c r="D6956" s="4"/>
      <c r="E6956" s="4"/>
    </row>
    <row r="6957" spans="1:5" x14ac:dyDescent="0.3">
      <c r="A6957" s="9">
        <v>6949</v>
      </c>
      <c r="B6957" s="10">
        <f t="shared" ca="1" si="108"/>
        <v>7.6143880001426939E-2</v>
      </c>
      <c r="C6957" s="10">
        <f ca="1">NPV(B6957,Project_FCF!C18:J18)+Project_FCF!B18</f>
        <v>971.30005332796986</v>
      </c>
      <c r="D6957" s="4"/>
      <c r="E6957" s="4"/>
    </row>
    <row r="6958" spans="1:5" x14ac:dyDescent="0.3">
      <c r="A6958" s="9">
        <v>6950</v>
      </c>
      <c r="B6958" s="10">
        <f t="shared" ca="1" si="108"/>
        <v>8.971662953435891E-2</v>
      </c>
      <c r="C6958" s="10">
        <f ca="1">NPV(B6958,Project_FCF!C18:J18)+Project_FCF!B18</f>
        <v>859.63969798304493</v>
      </c>
      <c r="D6958" s="4"/>
      <c r="E6958" s="4"/>
    </row>
    <row r="6959" spans="1:5" x14ac:dyDescent="0.3">
      <c r="A6959" s="9">
        <v>6951</v>
      </c>
      <c r="B6959" s="10">
        <f t="shared" ca="1" si="108"/>
        <v>8.8034365656810359E-2</v>
      </c>
      <c r="C6959" s="10">
        <f ca="1">NPV(B6959,Project_FCF!C18:J18)+Project_FCF!B18</f>
        <v>872.83793137218754</v>
      </c>
      <c r="D6959" s="4"/>
      <c r="E6959" s="4"/>
    </row>
    <row r="6960" spans="1:5" x14ac:dyDescent="0.3">
      <c r="A6960" s="9">
        <v>6952</v>
      </c>
      <c r="B6960" s="10">
        <f t="shared" ca="1" si="108"/>
        <v>8.7670174718732147E-2</v>
      </c>
      <c r="C6960" s="10">
        <f ca="1">NPV(B6960,Project_FCF!C18:J18)+Project_FCF!B18</f>
        <v>875.71827840924789</v>
      </c>
      <c r="D6960" s="4"/>
      <c r="E6960" s="4"/>
    </row>
    <row r="6961" spans="1:5" x14ac:dyDescent="0.3">
      <c r="A6961" s="9">
        <v>6953</v>
      </c>
      <c r="B6961" s="10">
        <f t="shared" ca="1" si="108"/>
        <v>9.2738020000007082E-2</v>
      </c>
      <c r="C6961" s="10">
        <f ca="1">NPV(B6961,Project_FCF!C18:J18)+Project_FCF!B18</f>
        <v>836.36883117559546</v>
      </c>
      <c r="D6961" s="4"/>
      <c r="E6961" s="4"/>
    </row>
    <row r="6962" spans="1:5" x14ac:dyDescent="0.3">
      <c r="A6962" s="9">
        <v>6954</v>
      </c>
      <c r="B6962" s="10">
        <f t="shared" ca="1" si="108"/>
        <v>6.8584912369933679E-2</v>
      </c>
      <c r="C6962" s="10">
        <f ca="1">NPV(B6962,Project_FCF!C18:J18)+Project_FCF!B18</f>
        <v>1038.9191366802645</v>
      </c>
      <c r="D6962" s="4"/>
      <c r="E6962" s="4"/>
    </row>
    <row r="6963" spans="1:5" x14ac:dyDescent="0.3">
      <c r="A6963" s="9">
        <v>6955</v>
      </c>
      <c r="B6963" s="10">
        <f t="shared" ca="1" si="108"/>
        <v>8.980500162543556E-2</v>
      </c>
      <c r="C6963" s="10">
        <f ca="1">NPV(B6963,Project_FCF!C18:J18)+Project_FCF!B18</f>
        <v>858.95118791162258</v>
      </c>
      <c r="D6963" s="4"/>
      <c r="E6963" s="4"/>
    </row>
    <row r="6964" spans="1:5" x14ac:dyDescent="0.3">
      <c r="A6964" s="9">
        <v>6956</v>
      </c>
      <c r="B6964" s="10">
        <f t="shared" ca="1" si="108"/>
        <v>7.1004399538380156E-2</v>
      </c>
      <c r="C6964" s="10">
        <f ca="1">NPV(B6964,Project_FCF!C18:J18)+Project_FCF!B18</f>
        <v>1016.8282691312606</v>
      </c>
      <c r="D6964" s="4"/>
      <c r="E6964" s="4"/>
    </row>
    <row r="6965" spans="1:5" x14ac:dyDescent="0.3">
      <c r="A6965" s="9">
        <v>6957</v>
      </c>
      <c r="B6965" s="10">
        <f t="shared" ca="1" si="108"/>
        <v>8.7459892288751326E-2</v>
      </c>
      <c r="C6965" s="10">
        <f ca="1">NPV(B6965,Project_FCF!C18:J18)+Project_FCF!B18</f>
        <v>877.3851457609619</v>
      </c>
      <c r="D6965" s="4"/>
      <c r="E6965" s="4"/>
    </row>
    <row r="6966" spans="1:5" x14ac:dyDescent="0.3">
      <c r="A6966" s="9">
        <v>6958</v>
      </c>
      <c r="B6966" s="10">
        <f t="shared" ca="1" si="108"/>
        <v>8.5867666110441054E-2</v>
      </c>
      <c r="C6966" s="10">
        <f ca="1">NPV(B6966,Project_FCF!C18:J18)+Project_FCF!B18</f>
        <v>890.09646730673512</v>
      </c>
      <c r="D6966" s="4"/>
      <c r="E6966" s="4"/>
    </row>
    <row r="6967" spans="1:5" x14ac:dyDescent="0.3">
      <c r="A6967" s="9">
        <v>6959</v>
      </c>
      <c r="B6967" s="10">
        <f t="shared" ca="1" si="108"/>
        <v>7.1737512133905709E-2</v>
      </c>
      <c r="C6967" s="10">
        <f ca="1">NPV(B6967,Project_FCF!C18:J18)+Project_FCF!B18</f>
        <v>1010.2189008772489</v>
      </c>
      <c r="D6967" s="4"/>
      <c r="E6967" s="4"/>
    </row>
    <row r="6968" spans="1:5" x14ac:dyDescent="0.3">
      <c r="A6968" s="9">
        <v>6960</v>
      </c>
      <c r="B6968" s="10">
        <f t="shared" ca="1" si="108"/>
        <v>7.5446479009510486E-2</v>
      </c>
      <c r="C6968" s="10">
        <f ca="1">NPV(B6968,Project_FCF!C18:J18)+Project_FCF!B18</f>
        <v>977.36887657579859</v>
      </c>
      <c r="D6968" s="4"/>
      <c r="E6968" s="4"/>
    </row>
    <row r="6969" spans="1:5" x14ac:dyDescent="0.3">
      <c r="A6969" s="9">
        <v>6961</v>
      </c>
      <c r="B6969" s="10">
        <f t="shared" ca="1" si="108"/>
        <v>8.8076033012595312E-2</v>
      </c>
      <c r="C6969" s="10">
        <f ca="1">NPV(B6969,Project_FCF!C18:J18)+Project_FCF!B18</f>
        <v>872.50891498716578</v>
      </c>
      <c r="D6969" s="4"/>
      <c r="E6969" s="4"/>
    </row>
    <row r="6970" spans="1:5" x14ac:dyDescent="0.3">
      <c r="A6970" s="9">
        <v>6962</v>
      </c>
      <c r="B6970" s="10">
        <f t="shared" ca="1" si="108"/>
        <v>9.6476291368999906E-2</v>
      </c>
      <c r="C6970" s="10">
        <f ca="1">NPV(B6970,Project_FCF!C18:J18)+Project_FCF!B18</f>
        <v>808.32824947777067</v>
      </c>
      <c r="D6970" s="4"/>
      <c r="E6970" s="4"/>
    </row>
    <row r="6971" spans="1:5" x14ac:dyDescent="0.3">
      <c r="A6971" s="9">
        <v>6963</v>
      </c>
      <c r="B6971" s="10">
        <f t="shared" ca="1" si="108"/>
        <v>7.2064558964207659E-2</v>
      </c>
      <c r="C6971" s="10">
        <f ca="1">NPV(B6971,Project_FCF!C18:J18)+Project_FCF!B18</f>
        <v>1007.2829179062394</v>
      </c>
      <c r="D6971" s="4"/>
      <c r="E6971" s="4"/>
    </row>
    <row r="6972" spans="1:5" x14ac:dyDescent="0.3">
      <c r="A6972" s="9">
        <v>6964</v>
      </c>
      <c r="B6972" s="10">
        <f t="shared" ca="1" si="108"/>
        <v>0.10187164429051457</v>
      </c>
      <c r="C6972" s="10">
        <f ca="1">NPV(B6972,Project_FCF!C18:J18)+Project_FCF!B18</f>
        <v>769.27216518426621</v>
      </c>
      <c r="D6972" s="4"/>
      <c r="E6972" s="4"/>
    </row>
    <row r="6973" spans="1:5" x14ac:dyDescent="0.3">
      <c r="A6973" s="9">
        <v>6965</v>
      </c>
      <c r="B6973" s="10">
        <f t="shared" ca="1" si="108"/>
        <v>0.10352467096396054</v>
      </c>
      <c r="C6973" s="10">
        <f ca="1">NPV(B6973,Project_FCF!C18:J18)+Project_FCF!B18</f>
        <v>757.63002638017815</v>
      </c>
      <c r="D6973" s="4"/>
      <c r="E6973" s="4"/>
    </row>
    <row r="6974" spans="1:5" x14ac:dyDescent="0.3">
      <c r="A6974" s="9">
        <v>6966</v>
      </c>
      <c r="B6974" s="10">
        <f t="shared" ca="1" si="108"/>
        <v>7.1290503051156195E-2</v>
      </c>
      <c r="C6974" s="10">
        <f ca="1">NPV(B6974,Project_FCF!C18:J18)+Project_FCF!B18</f>
        <v>1014.244283132387</v>
      </c>
      <c r="D6974" s="4"/>
      <c r="E6974" s="4"/>
    </row>
    <row r="6975" spans="1:5" x14ac:dyDescent="0.3">
      <c r="A6975" s="9">
        <v>6967</v>
      </c>
      <c r="B6975" s="10">
        <f t="shared" ca="1" si="108"/>
        <v>0.1004740246332759</v>
      </c>
      <c r="C6975" s="10">
        <f ca="1">NPV(B6975,Project_FCF!C18:J18)+Project_FCF!B18</f>
        <v>779.23260580921306</v>
      </c>
      <c r="D6975" s="4"/>
      <c r="E6975" s="4"/>
    </row>
    <row r="6976" spans="1:5" x14ac:dyDescent="0.3">
      <c r="A6976" s="9">
        <v>6968</v>
      </c>
      <c r="B6976" s="10">
        <f t="shared" ca="1" si="108"/>
        <v>9.1361800047493003E-2</v>
      </c>
      <c r="C6976" s="10">
        <f ca="1">NPV(B6976,Project_FCF!C18:J18)+Project_FCF!B18</f>
        <v>846.90014886956692</v>
      </c>
      <c r="D6976" s="4"/>
      <c r="E6976" s="4"/>
    </row>
    <row r="6977" spans="1:5" x14ac:dyDescent="0.3">
      <c r="A6977" s="9">
        <v>6969</v>
      </c>
      <c r="B6977" s="10">
        <f t="shared" ca="1" si="108"/>
        <v>7.9891358463737905E-2</v>
      </c>
      <c r="C6977" s="10">
        <f ca="1">NPV(B6977,Project_FCF!C18:J18)+Project_FCF!B18</f>
        <v>939.2604486132218</v>
      </c>
      <c r="D6977" s="4"/>
      <c r="E6977" s="4"/>
    </row>
    <row r="6978" spans="1:5" x14ac:dyDescent="0.3">
      <c r="A6978" s="9">
        <v>6970</v>
      </c>
      <c r="B6978" s="10">
        <f t="shared" ca="1" si="108"/>
        <v>9.4758739683113713E-2</v>
      </c>
      <c r="C6978" s="10">
        <f ca="1">NPV(B6978,Project_FCF!C18:J18)+Project_FCF!B18</f>
        <v>821.10980852803186</v>
      </c>
      <c r="D6978" s="4"/>
      <c r="E6978" s="4"/>
    </row>
    <row r="6979" spans="1:5" x14ac:dyDescent="0.3">
      <c r="A6979" s="9">
        <v>6971</v>
      </c>
      <c r="B6979" s="10">
        <f t="shared" ca="1" si="108"/>
        <v>9.8478708109624086E-2</v>
      </c>
      <c r="C6979" s="10">
        <f ca="1">NPV(B6979,Project_FCF!C18:J18)+Project_FCF!B18</f>
        <v>793.64140816675967</v>
      </c>
      <c r="D6979" s="4"/>
      <c r="E6979" s="4"/>
    </row>
    <row r="6980" spans="1:5" x14ac:dyDescent="0.3">
      <c r="A6980" s="9">
        <v>6972</v>
      </c>
      <c r="B6980" s="10">
        <f t="shared" ca="1" si="108"/>
        <v>6.5725337854665264E-2</v>
      </c>
      <c r="C6980" s="10">
        <f ca="1">NPV(B6980,Project_FCF!C18:J18)+Project_FCF!B18</f>
        <v>1065.5885532093562</v>
      </c>
      <c r="D6980" s="4"/>
      <c r="E6980" s="4"/>
    </row>
    <row r="6981" spans="1:5" x14ac:dyDescent="0.3">
      <c r="A6981" s="9">
        <v>6973</v>
      </c>
      <c r="B6981" s="10">
        <f t="shared" ca="1" si="108"/>
        <v>8.3304341684834721E-2</v>
      </c>
      <c r="C6981" s="10">
        <f ca="1">NPV(B6981,Project_FCF!C18:J18)+Project_FCF!B18</f>
        <v>910.8990753962396</v>
      </c>
      <c r="D6981" s="4"/>
      <c r="E6981" s="4"/>
    </row>
    <row r="6982" spans="1:5" x14ac:dyDescent="0.3">
      <c r="A6982" s="9">
        <v>6974</v>
      </c>
      <c r="B6982" s="10">
        <f t="shared" ca="1" si="108"/>
        <v>8.237386353810297E-2</v>
      </c>
      <c r="C6982" s="10">
        <f ca="1">NPV(B6982,Project_FCF!C18:J18)+Project_FCF!B18</f>
        <v>918.55529301123624</v>
      </c>
      <c r="D6982" s="4"/>
      <c r="E6982" s="4"/>
    </row>
    <row r="6983" spans="1:5" x14ac:dyDescent="0.3">
      <c r="A6983" s="9">
        <v>6975</v>
      </c>
      <c r="B6983" s="10">
        <f t="shared" ca="1" si="108"/>
        <v>7.4135646170340297E-2</v>
      </c>
      <c r="C6983" s="10">
        <f ca="1">NPV(B6983,Project_FCF!C18:J18)+Project_FCF!B18</f>
        <v>988.86766534456206</v>
      </c>
      <c r="D6983" s="4"/>
      <c r="E6983" s="4"/>
    </row>
    <row r="6984" spans="1:5" x14ac:dyDescent="0.3">
      <c r="A6984" s="9">
        <v>6976</v>
      </c>
      <c r="B6984" s="10">
        <f t="shared" ca="1" si="108"/>
        <v>6.8945866904099803E-2</v>
      </c>
      <c r="C6984" s="10">
        <f ca="1">NPV(B6984,Project_FCF!C18:J18)+Project_FCF!B18</f>
        <v>1035.5961677476505</v>
      </c>
      <c r="D6984" s="4"/>
      <c r="E6984" s="4"/>
    </row>
    <row r="6985" spans="1:5" x14ac:dyDescent="0.3">
      <c r="A6985" s="9">
        <v>6977</v>
      </c>
      <c r="B6985" s="10">
        <f t="shared" ref="B6985:B7048" ca="1" si="109">$B$4+RAND()*($B$5-$B$4)</f>
        <v>0.10070273836483204</v>
      </c>
      <c r="C6985" s="10">
        <f ca="1">NPV(B6985,Project_FCF!C18:J18)+Project_FCF!B18</f>
        <v>777.59522299076298</v>
      </c>
      <c r="D6985" s="4"/>
      <c r="E6985" s="4"/>
    </row>
    <row r="6986" spans="1:5" x14ac:dyDescent="0.3">
      <c r="A6986" s="9">
        <v>6978</v>
      </c>
      <c r="B6986" s="10">
        <f t="shared" ca="1" si="109"/>
        <v>0.10065086127076836</v>
      </c>
      <c r="C6986" s="10">
        <f ca="1">NPV(B6986,Project_FCF!C18:J18)+Project_FCF!B18</f>
        <v>777.96636091822529</v>
      </c>
      <c r="D6986" s="4"/>
      <c r="E6986" s="4"/>
    </row>
    <row r="6987" spans="1:5" x14ac:dyDescent="0.3">
      <c r="A6987" s="9">
        <v>6979</v>
      </c>
      <c r="B6987" s="10">
        <f t="shared" ca="1" si="109"/>
        <v>7.5634530851768689E-2</v>
      </c>
      <c r="C6987" s="10">
        <f ca="1">NPV(B6987,Project_FCF!C18:J18)+Project_FCF!B18</f>
        <v>975.72911193493678</v>
      </c>
      <c r="D6987" s="4"/>
      <c r="E6987" s="4"/>
    </row>
    <row r="6988" spans="1:5" x14ac:dyDescent="0.3">
      <c r="A6988" s="9">
        <v>6980</v>
      </c>
      <c r="B6988" s="10">
        <f t="shared" ca="1" si="109"/>
        <v>9.4399726183198279E-2</v>
      </c>
      <c r="C6988" s="10">
        <f ca="1">NPV(B6988,Project_FCF!C18:J18)+Project_FCF!B18</f>
        <v>823.80323014784403</v>
      </c>
      <c r="D6988" s="4"/>
      <c r="E6988" s="4"/>
    </row>
    <row r="6989" spans="1:5" x14ac:dyDescent="0.3">
      <c r="A6989" s="9">
        <v>6981</v>
      </c>
      <c r="B6989" s="10">
        <f t="shared" ca="1" si="109"/>
        <v>8.5199281407197722E-2</v>
      </c>
      <c r="C6989" s="10">
        <f ca="1">NPV(B6989,Project_FCF!C18:J18)+Project_FCF!B18</f>
        <v>895.48019040280133</v>
      </c>
      <c r="D6989" s="4"/>
      <c r="E6989" s="4"/>
    </row>
    <row r="6990" spans="1:5" x14ac:dyDescent="0.3">
      <c r="A6990" s="9">
        <v>6982</v>
      </c>
      <c r="B6990" s="10">
        <f t="shared" ca="1" si="109"/>
        <v>0.102382738949372</v>
      </c>
      <c r="C6990" s="10">
        <f ca="1">NPV(B6990,Project_FCF!C18:J18)+Project_FCF!B18</f>
        <v>765.65662383670224</v>
      </c>
      <c r="D6990" s="4"/>
      <c r="E6990" s="4"/>
    </row>
    <row r="6991" spans="1:5" x14ac:dyDescent="0.3">
      <c r="A6991" s="9">
        <v>6983</v>
      </c>
      <c r="B6991" s="10">
        <f t="shared" ca="1" si="109"/>
        <v>8.5140223268023174E-2</v>
      </c>
      <c r="C6991" s="10">
        <f ca="1">NPV(B6991,Project_FCF!C18:J18)+Project_FCF!B18</f>
        <v>895.95726104131495</v>
      </c>
      <c r="D6991" s="4"/>
      <c r="E6991" s="4"/>
    </row>
    <row r="6992" spans="1:5" x14ac:dyDescent="0.3">
      <c r="A6992" s="9">
        <v>6984</v>
      </c>
      <c r="B6992" s="10">
        <f t="shared" ca="1" si="109"/>
        <v>9.1477808687883438E-2</v>
      </c>
      <c r="C6992" s="10">
        <f ca="1">NPV(B6992,Project_FCF!C18:J18)+Project_FCF!B18</f>
        <v>846.00801774508841</v>
      </c>
      <c r="D6992" s="4"/>
      <c r="E6992" s="4"/>
    </row>
    <row r="6993" spans="1:5" x14ac:dyDescent="0.3">
      <c r="A6993" s="9">
        <v>6985</v>
      </c>
      <c r="B6993" s="10">
        <f t="shared" ca="1" si="109"/>
        <v>9.7783143132154693E-2</v>
      </c>
      <c r="C6993" s="10">
        <f ca="1">NPV(B6993,Project_FCF!C18:J18)+Project_FCF!B18</f>
        <v>798.71711477849612</v>
      </c>
      <c r="D6993" s="4"/>
      <c r="E6993" s="4"/>
    </row>
    <row r="6994" spans="1:5" x14ac:dyDescent="0.3">
      <c r="A6994" s="9">
        <v>6986</v>
      </c>
      <c r="B6994" s="10">
        <f t="shared" ca="1" si="109"/>
        <v>9.6538969920291012E-2</v>
      </c>
      <c r="C6994" s="10">
        <f ca="1">NPV(B6994,Project_FCF!C18:J18)+Project_FCF!B18</f>
        <v>807.86504570888042</v>
      </c>
      <c r="D6994" s="4"/>
      <c r="E6994" s="4"/>
    </row>
    <row r="6995" spans="1:5" x14ac:dyDescent="0.3">
      <c r="A6995" s="9">
        <v>6987</v>
      </c>
      <c r="B6995" s="10">
        <f t="shared" ca="1" si="109"/>
        <v>6.6718372956900959E-2</v>
      </c>
      <c r="C6995" s="10">
        <f ca="1">NPV(B6995,Project_FCF!C18:J18)+Project_FCF!B18</f>
        <v>1056.2574442355192</v>
      </c>
      <c r="D6995" s="4"/>
      <c r="E6995" s="4"/>
    </row>
    <row r="6996" spans="1:5" x14ac:dyDescent="0.3">
      <c r="A6996" s="9">
        <v>6988</v>
      </c>
      <c r="B6996" s="10">
        <f t="shared" ca="1" si="109"/>
        <v>6.5865568986616302E-2</v>
      </c>
      <c r="C6996" s="10">
        <f ca="1">NPV(B6996,Project_FCF!C18:J18)+Project_FCF!B18</f>
        <v>1064.2663287347273</v>
      </c>
      <c r="D6996" s="4"/>
      <c r="E6996" s="4"/>
    </row>
    <row r="6997" spans="1:5" x14ac:dyDescent="0.3">
      <c r="A6997" s="9">
        <v>6989</v>
      </c>
      <c r="B6997" s="10">
        <f t="shared" ca="1" si="109"/>
        <v>8.0091945455405045E-2</v>
      </c>
      <c r="C6997" s="10">
        <f ca="1">NPV(B6997,Project_FCF!C18:J18)+Project_FCF!B18</f>
        <v>937.57227842306838</v>
      </c>
      <c r="D6997" s="4"/>
      <c r="E6997" s="4"/>
    </row>
    <row r="6998" spans="1:5" x14ac:dyDescent="0.3">
      <c r="A6998" s="9">
        <v>6990</v>
      </c>
      <c r="B6998" s="10">
        <f t="shared" ca="1" si="109"/>
        <v>7.9632196659512378E-2</v>
      </c>
      <c r="C6998" s="10">
        <f ca="1">NPV(B6998,Project_FCF!C18:J18)+Project_FCF!B18</f>
        <v>941.445579672647</v>
      </c>
      <c r="D6998" s="4"/>
      <c r="E6998" s="4"/>
    </row>
    <row r="6999" spans="1:5" x14ac:dyDescent="0.3">
      <c r="A6999" s="9">
        <v>6991</v>
      </c>
      <c r="B6999" s="10">
        <f t="shared" ca="1" si="109"/>
        <v>6.6000466870673305E-2</v>
      </c>
      <c r="C6999" s="10">
        <f ca="1">NPV(B6999,Project_FCF!C18:J18)+Project_FCF!B18</f>
        <v>1062.9958013762423</v>
      </c>
      <c r="D6999" s="4"/>
      <c r="E6999" s="4"/>
    </row>
    <row r="7000" spans="1:5" x14ac:dyDescent="0.3">
      <c r="A7000" s="9">
        <v>6992</v>
      </c>
      <c r="B7000" s="10">
        <f t="shared" ca="1" si="109"/>
        <v>0.10370595688625538</v>
      </c>
      <c r="C7000" s="10">
        <f ca="1">NPV(B7000,Project_FCF!C18:J18)+Project_FCF!B18</f>
        <v>756.36229116913819</v>
      </c>
      <c r="D7000" s="4"/>
      <c r="E7000" s="4"/>
    </row>
    <row r="7001" spans="1:5" x14ac:dyDescent="0.3">
      <c r="A7001" s="9">
        <v>6993</v>
      </c>
      <c r="B7001" s="10">
        <f t="shared" ca="1" si="109"/>
        <v>7.872175311521383E-2</v>
      </c>
      <c r="C7001" s="10">
        <f ca="1">NPV(B7001,Project_FCF!C18:J18)+Project_FCF!B18</f>
        <v>949.15778877386447</v>
      </c>
      <c r="D7001" s="4"/>
      <c r="E7001" s="4"/>
    </row>
    <row r="7002" spans="1:5" x14ac:dyDescent="0.3">
      <c r="A7002" s="9">
        <v>6994</v>
      </c>
      <c r="B7002" s="10">
        <f t="shared" ca="1" si="109"/>
        <v>6.982212567301152E-2</v>
      </c>
      <c r="C7002" s="10">
        <f ca="1">NPV(B7002,Project_FCF!C18:J18)+Project_FCF!B18</f>
        <v>1027.5692703212178</v>
      </c>
      <c r="D7002" s="4"/>
      <c r="E7002" s="4"/>
    </row>
    <row r="7003" spans="1:5" x14ac:dyDescent="0.3">
      <c r="A7003" s="9">
        <v>6995</v>
      </c>
      <c r="B7003" s="10">
        <f t="shared" ca="1" si="109"/>
        <v>7.8710822600727592E-2</v>
      </c>
      <c r="C7003" s="10">
        <f ca="1">NPV(B7003,Project_FCF!C18:J18)+Project_FCF!B18</f>
        <v>949.25071881821714</v>
      </c>
      <c r="D7003" s="4"/>
      <c r="E7003" s="4"/>
    </row>
    <row r="7004" spans="1:5" x14ac:dyDescent="0.3">
      <c r="A7004" s="9">
        <v>6996</v>
      </c>
      <c r="B7004" s="10">
        <f t="shared" ca="1" si="109"/>
        <v>8.23891764130424E-2</v>
      </c>
      <c r="C7004" s="10">
        <f ca="1">NPV(B7004,Project_FCF!C18:J18)+Project_FCF!B18</f>
        <v>918.42883756208926</v>
      </c>
      <c r="D7004" s="4"/>
      <c r="E7004" s="4"/>
    </row>
    <row r="7005" spans="1:5" x14ac:dyDescent="0.3">
      <c r="A7005" s="9">
        <v>6997</v>
      </c>
      <c r="B7005" s="10">
        <f t="shared" ca="1" si="109"/>
        <v>7.9315477986031696E-2</v>
      </c>
      <c r="C7005" s="10">
        <f ca="1">NPV(B7005,Project_FCF!C18:J18)+Project_FCF!B18</f>
        <v>944.12212003064064</v>
      </c>
      <c r="D7005" s="4"/>
      <c r="E7005" s="4"/>
    </row>
    <row r="7006" spans="1:5" x14ac:dyDescent="0.3">
      <c r="A7006" s="9">
        <v>6998</v>
      </c>
      <c r="B7006" s="10">
        <f t="shared" ca="1" si="109"/>
        <v>7.2693601566891364E-2</v>
      </c>
      <c r="C7006" s="10">
        <f ca="1">NPV(B7006,Project_FCF!C18:J18)+Project_FCF!B18</f>
        <v>1001.6574201522196</v>
      </c>
      <c r="D7006" s="4"/>
      <c r="E7006" s="4"/>
    </row>
    <row r="7007" spans="1:5" x14ac:dyDescent="0.3">
      <c r="A7007" s="9">
        <v>6999</v>
      </c>
      <c r="B7007" s="10">
        <f t="shared" ca="1" si="109"/>
        <v>8.426427810237884E-2</v>
      </c>
      <c r="C7007" s="10">
        <f ca="1">NPV(B7007,Project_FCF!C18:J18)+Project_FCF!B18</f>
        <v>903.05932742769824</v>
      </c>
      <c r="D7007" s="4"/>
      <c r="E7007" s="4"/>
    </row>
    <row r="7008" spans="1:5" x14ac:dyDescent="0.3">
      <c r="A7008" s="9">
        <v>7000</v>
      </c>
      <c r="B7008" s="10">
        <f t="shared" ca="1" si="109"/>
        <v>6.4110250449775433E-2</v>
      </c>
      <c r="C7008" s="10">
        <f ca="1">NPV(B7008,Project_FCF!C18:J18)+Project_FCF!B18</f>
        <v>1080.9254063201161</v>
      </c>
      <c r="D7008" s="4"/>
      <c r="E7008" s="4"/>
    </row>
    <row r="7009" spans="1:5" x14ac:dyDescent="0.3">
      <c r="A7009" s="9">
        <v>7001</v>
      </c>
      <c r="B7009" s="10">
        <f t="shared" ca="1" si="109"/>
        <v>6.8903184716671867E-2</v>
      </c>
      <c r="C7009" s="10">
        <f ca="1">NPV(B7009,Project_FCF!C18:J18)+Project_FCF!B18</f>
        <v>1035.988599972047</v>
      </c>
      <c r="D7009" s="4"/>
      <c r="E7009" s="4"/>
    </row>
    <row r="7010" spans="1:5" x14ac:dyDescent="0.3">
      <c r="A7010" s="9">
        <v>7002</v>
      </c>
      <c r="B7010" s="10">
        <f t="shared" ca="1" si="109"/>
        <v>8.8441538892637811E-2</v>
      </c>
      <c r="C7010" s="10">
        <f ca="1">NPV(B7010,Project_FCF!C18:J18)+Project_FCF!B18</f>
        <v>869.62740520623174</v>
      </c>
      <c r="D7010" s="4"/>
      <c r="E7010" s="4"/>
    </row>
    <row r="7011" spans="1:5" x14ac:dyDescent="0.3">
      <c r="A7011" s="9">
        <v>7003</v>
      </c>
      <c r="B7011" s="10">
        <f t="shared" ca="1" si="109"/>
        <v>7.8096647277942716E-2</v>
      </c>
      <c r="C7011" s="10">
        <f ca="1">NPV(B7011,Project_FCF!C18:J18)+Project_FCF!B18</f>
        <v>954.48537491230786</v>
      </c>
      <c r="D7011" s="4"/>
      <c r="E7011" s="4"/>
    </row>
    <row r="7012" spans="1:5" x14ac:dyDescent="0.3">
      <c r="A7012" s="9">
        <v>7004</v>
      </c>
      <c r="B7012" s="10">
        <f t="shared" ca="1" si="109"/>
        <v>9.0655337019430765E-2</v>
      </c>
      <c r="C7012" s="10">
        <f ca="1">NPV(B7012,Project_FCF!C18:J18)+Project_FCF!B18</f>
        <v>852.35056539024345</v>
      </c>
      <c r="D7012" s="4"/>
      <c r="E7012" s="4"/>
    </row>
    <row r="7013" spans="1:5" x14ac:dyDescent="0.3">
      <c r="A7013" s="9">
        <v>7005</v>
      </c>
      <c r="B7013" s="10">
        <f t="shared" ca="1" si="109"/>
        <v>8.6038634625138943E-2</v>
      </c>
      <c r="C7013" s="10">
        <f ca="1">NPV(B7013,Project_FCF!C18:J18)+Project_FCF!B18</f>
        <v>888.72390123845412</v>
      </c>
      <c r="D7013" s="4"/>
      <c r="E7013" s="4"/>
    </row>
    <row r="7014" spans="1:5" x14ac:dyDescent="0.3">
      <c r="A7014" s="9">
        <v>7006</v>
      </c>
      <c r="B7014" s="10">
        <f t="shared" ca="1" si="109"/>
        <v>7.1860344392011846E-2</v>
      </c>
      <c r="C7014" s="10">
        <f ca="1">NPV(B7014,Project_FCF!C18:J18)+Project_FCF!B18</f>
        <v>1009.11530203401</v>
      </c>
      <c r="D7014" s="4"/>
      <c r="E7014" s="4"/>
    </row>
    <row r="7015" spans="1:5" x14ac:dyDescent="0.3">
      <c r="A7015" s="9">
        <v>7007</v>
      </c>
      <c r="B7015" s="10">
        <f t="shared" ca="1" si="109"/>
        <v>6.4433189643191016E-2</v>
      </c>
      <c r="C7015" s="10">
        <f ca="1">NPV(B7015,Project_FCF!C18:J18)+Project_FCF!B18</f>
        <v>1077.842758794616</v>
      </c>
      <c r="D7015" s="4"/>
      <c r="E7015" s="4"/>
    </row>
    <row r="7016" spans="1:5" x14ac:dyDescent="0.3">
      <c r="A7016" s="9">
        <v>7008</v>
      </c>
      <c r="B7016" s="10">
        <f t="shared" ca="1" si="109"/>
        <v>7.6026028963184042E-2</v>
      </c>
      <c r="C7016" s="10">
        <f ca="1">NPV(B7016,Project_FCF!C18:J18)+Project_FCF!B18</f>
        <v>972.32323038014715</v>
      </c>
      <c r="D7016" s="4"/>
      <c r="E7016" s="4"/>
    </row>
    <row r="7017" spans="1:5" x14ac:dyDescent="0.3">
      <c r="A7017" s="9">
        <v>7009</v>
      </c>
      <c r="B7017" s="10">
        <f t="shared" ca="1" si="109"/>
        <v>9.549473319724737E-2</v>
      </c>
      <c r="C7017" s="10">
        <f ca="1">NPV(B7017,Project_FCF!C18:J18)+Project_FCF!B18</f>
        <v>815.61174452146588</v>
      </c>
      <c r="D7017" s="4"/>
      <c r="E7017" s="4"/>
    </row>
    <row r="7018" spans="1:5" x14ac:dyDescent="0.3">
      <c r="A7018" s="9">
        <v>7010</v>
      </c>
      <c r="B7018" s="10">
        <f t="shared" ca="1" si="109"/>
        <v>6.8090798772729458E-2</v>
      </c>
      <c r="C7018" s="10">
        <f ca="1">NPV(B7018,Project_FCF!C18:J18)+Project_FCF!B18</f>
        <v>1043.4836441916225</v>
      </c>
      <c r="D7018" s="4"/>
      <c r="E7018" s="4"/>
    </row>
    <row r="7019" spans="1:5" x14ac:dyDescent="0.3">
      <c r="A7019" s="9">
        <v>7011</v>
      </c>
      <c r="B7019" s="10">
        <f t="shared" ca="1" si="109"/>
        <v>7.0684665606009681E-2</v>
      </c>
      <c r="C7019" s="10">
        <f ca="1">NPV(B7019,Project_FCF!C18:J18)+Project_FCF!B18</f>
        <v>1019.7230178104785</v>
      </c>
      <c r="D7019" s="4"/>
      <c r="E7019" s="4"/>
    </row>
    <row r="7020" spans="1:5" x14ac:dyDescent="0.3">
      <c r="A7020" s="9">
        <v>7012</v>
      </c>
      <c r="B7020" s="10">
        <f t="shared" ca="1" si="109"/>
        <v>8.1230550861063233E-2</v>
      </c>
      <c r="C7020" s="10">
        <f ca="1">NPV(B7020,Project_FCF!C18:J18)+Project_FCF!B18</f>
        <v>928.04037674680308</v>
      </c>
      <c r="D7020" s="4"/>
      <c r="E7020" s="4"/>
    </row>
    <row r="7021" spans="1:5" x14ac:dyDescent="0.3">
      <c r="A7021" s="9">
        <v>7013</v>
      </c>
      <c r="B7021" s="10">
        <f t="shared" ca="1" si="109"/>
        <v>6.6642215722390624E-2</v>
      </c>
      <c r="C7021" s="10">
        <f ca="1">NPV(B7021,Project_FCF!C18:J18)+Project_FCF!B18</f>
        <v>1056.9704182616383</v>
      </c>
      <c r="D7021" s="4"/>
      <c r="E7021" s="4"/>
    </row>
    <row r="7022" spans="1:5" x14ac:dyDescent="0.3">
      <c r="A7022" s="9">
        <v>7014</v>
      </c>
      <c r="B7022" s="10">
        <f t="shared" ca="1" si="109"/>
        <v>7.6986705080884246E-2</v>
      </c>
      <c r="C7022" s="10">
        <f ca="1">NPV(B7022,Project_FCF!C18:J18)+Project_FCF!B18</f>
        <v>964.01064471211589</v>
      </c>
      <c r="D7022" s="4"/>
      <c r="E7022" s="4"/>
    </row>
    <row r="7023" spans="1:5" x14ac:dyDescent="0.3">
      <c r="A7023" s="9">
        <v>7015</v>
      </c>
      <c r="B7023" s="10">
        <f t="shared" ca="1" si="109"/>
        <v>8.8198378158579158E-2</v>
      </c>
      <c r="C7023" s="10">
        <f ca="1">NPV(B7023,Project_FCF!C18:J18)+Project_FCF!B18</f>
        <v>871.54346904021736</v>
      </c>
      <c r="D7023" s="4"/>
      <c r="E7023" s="4"/>
    </row>
    <row r="7024" spans="1:5" x14ac:dyDescent="0.3">
      <c r="A7024" s="9">
        <v>7016</v>
      </c>
      <c r="B7024" s="10">
        <f t="shared" ca="1" si="109"/>
        <v>6.6105449301846544E-2</v>
      </c>
      <c r="C7024" s="10">
        <f ca="1">NPV(B7024,Project_FCF!C18:J18)+Project_FCF!B18</f>
        <v>1062.0079868055557</v>
      </c>
      <c r="D7024" s="4"/>
      <c r="E7024" s="4"/>
    </row>
    <row r="7025" spans="1:5" x14ac:dyDescent="0.3">
      <c r="A7025" s="9">
        <v>7017</v>
      </c>
      <c r="B7025" s="10">
        <f t="shared" ca="1" si="109"/>
        <v>7.6726888384095263E-2</v>
      </c>
      <c r="C7025" s="10">
        <f ca="1">NPV(B7025,Project_FCF!C18:J18)+Project_FCF!B18</f>
        <v>966.25252277788081</v>
      </c>
      <c r="D7025" s="4"/>
      <c r="E7025" s="4"/>
    </row>
    <row r="7026" spans="1:5" x14ac:dyDescent="0.3">
      <c r="A7026" s="9">
        <v>7018</v>
      </c>
      <c r="B7026" s="10">
        <f t="shared" ca="1" si="109"/>
        <v>0.10380698966917837</v>
      </c>
      <c r="C7026" s="10">
        <f ca="1">NPV(B7026,Project_FCF!C18:J18)+Project_FCF!B18</f>
        <v>755.65653902744975</v>
      </c>
      <c r="D7026" s="4"/>
      <c r="E7026" s="4"/>
    </row>
    <row r="7027" spans="1:5" x14ac:dyDescent="0.3">
      <c r="A7027" s="9">
        <v>7019</v>
      </c>
      <c r="B7027" s="10">
        <f t="shared" ca="1" si="109"/>
        <v>6.9389006954423599E-2</v>
      </c>
      <c r="C7027" s="10">
        <f ca="1">NPV(B7027,Project_FCF!C18:J18)+Project_FCF!B18</f>
        <v>1031.5297562001185</v>
      </c>
      <c r="D7027" s="4"/>
      <c r="E7027" s="4"/>
    </row>
    <row r="7028" spans="1:5" x14ac:dyDescent="0.3">
      <c r="A7028" s="9">
        <v>7020</v>
      </c>
      <c r="B7028" s="10">
        <f t="shared" ca="1" si="109"/>
        <v>9.1969074949122862E-2</v>
      </c>
      <c r="C7028" s="10">
        <f ca="1">NPV(B7028,Project_FCF!C18:J18)+Project_FCF!B18</f>
        <v>842.23905938050393</v>
      </c>
      <c r="D7028" s="4"/>
      <c r="E7028" s="4"/>
    </row>
    <row r="7029" spans="1:5" x14ac:dyDescent="0.3">
      <c r="A7029" s="9">
        <v>7021</v>
      </c>
      <c r="B7029" s="10">
        <f t="shared" ca="1" si="109"/>
        <v>8.033624829158717E-2</v>
      </c>
      <c r="C7029" s="10">
        <f ca="1">NPV(B7029,Project_FCF!C18:J18)+Project_FCF!B18</f>
        <v>935.5198178828075</v>
      </c>
      <c r="D7029" s="4"/>
      <c r="E7029" s="4"/>
    </row>
    <row r="7030" spans="1:5" x14ac:dyDescent="0.3">
      <c r="A7030" s="9">
        <v>7022</v>
      </c>
      <c r="B7030" s="10">
        <f t="shared" ca="1" si="109"/>
        <v>8.4647513514544276E-2</v>
      </c>
      <c r="C7030" s="10">
        <f ca="1">NPV(B7030,Project_FCF!C18:J18)+Project_FCF!B18</f>
        <v>899.9460475814335</v>
      </c>
      <c r="D7030" s="4"/>
      <c r="E7030" s="4"/>
    </row>
    <row r="7031" spans="1:5" x14ac:dyDescent="0.3">
      <c r="A7031" s="9">
        <v>7023</v>
      </c>
      <c r="B7031" s="10">
        <f t="shared" ca="1" si="109"/>
        <v>7.3922706436974087E-2</v>
      </c>
      <c r="C7031" s="10">
        <f ca="1">NPV(B7031,Project_FCF!C18:J18)+Project_FCF!B18</f>
        <v>990.74699631342446</v>
      </c>
      <c r="D7031" s="4"/>
      <c r="E7031" s="4"/>
    </row>
    <row r="7032" spans="1:5" x14ac:dyDescent="0.3">
      <c r="A7032" s="9">
        <v>7024</v>
      </c>
      <c r="B7032" s="10">
        <f t="shared" ca="1" si="109"/>
        <v>6.7219966920546326E-2</v>
      </c>
      <c r="C7032" s="10">
        <f ca="1">NPV(B7032,Project_FCF!C18:J18)+Project_FCF!B18</f>
        <v>1051.5725008185375</v>
      </c>
      <c r="D7032" s="4"/>
      <c r="E7032" s="4"/>
    </row>
    <row r="7033" spans="1:5" x14ac:dyDescent="0.3">
      <c r="A7033" s="9">
        <v>7025</v>
      </c>
      <c r="B7033" s="10">
        <f t="shared" ca="1" si="109"/>
        <v>6.6856038935140652E-2</v>
      </c>
      <c r="C7033" s="10">
        <f ca="1">NPV(B7033,Project_FCF!C18:J18)+Project_FCF!B18</f>
        <v>1054.9697431912966</v>
      </c>
      <c r="D7033" s="4"/>
      <c r="E7033" s="4"/>
    </row>
    <row r="7034" spans="1:5" x14ac:dyDescent="0.3">
      <c r="A7034" s="9">
        <v>7026</v>
      </c>
      <c r="B7034" s="10">
        <f t="shared" ca="1" si="109"/>
        <v>8.4409066686849415E-2</v>
      </c>
      <c r="C7034" s="10">
        <f ca="1">NPV(B7034,Project_FCF!C18:J18)+Project_FCF!B18</f>
        <v>901.88200353538832</v>
      </c>
      <c r="D7034" s="4"/>
      <c r="E7034" s="4"/>
    </row>
    <row r="7035" spans="1:5" x14ac:dyDescent="0.3">
      <c r="A7035" s="9">
        <v>7027</v>
      </c>
      <c r="B7035" s="10">
        <f t="shared" ca="1" si="109"/>
        <v>9.5886804067532361E-2</v>
      </c>
      <c r="C7035" s="10">
        <f ca="1">NPV(B7035,Project_FCF!C18:J18)+Project_FCF!B18</f>
        <v>812.69575024518099</v>
      </c>
      <c r="D7035" s="4"/>
      <c r="E7035" s="4"/>
    </row>
    <row r="7036" spans="1:5" x14ac:dyDescent="0.3">
      <c r="A7036" s="9">
        <v>7028</v>
      </c>
      <c r="B7036" s="10">
        <f t="shared" ca="1" si="109"/>
        <v>7.6230059354054386E-2</v>
      </c>
      <c r="C7036" s="10">
        <f ca="1">NPV(B7036,Project_FCF!C18:J18)+Project_FCF!B18</f>
        <v>970.55245686339254</v>
      </c>
      <c r="D7036" s="4"/>
      <c r="E7036" s="4"/>
    </row>
    <row r="7037" spans="1:5" x14ac:dyDescent="0.3">
      <c r="A7037" s="9">
        <v>7029</v>
      </c>
      <c r="B7037" s="10">
        <f t="shared" ca="1" si="109"/>
        <v>9.7915414182144514E-2</v>
      </c>
      <c r="C7037" s="10">
        <f ca="1">NPV(B7037,Project_FCF!C18:J18)+Project_FCF!B18</f>
        <v>797.7497824121624</v>
      </c>
      <c r="D7037" s="4"/>
      <c r="E7037" s="4"/>
    </row>
    <row r="7038" spans="1:5" x14ac:dyDescent="0.3">
      <c r="A7038" s="9">
        <v>7030</v>
      </c>
      <c r="B7038" s="10">
        <f t="shared" ca="1" si="109"/>
        <v>9.4521028349538225E-2</v>
      </c>
      <c r="C7038" s="10">
        <f ca="1">NPV(B7038,Project_FCF!C18:J18)+Project_FCF!B18</f>
        <v>822.89234099994383</v>
      </c>
      <c r="D7038" s="4"/>
      <c r="E7038" s="4"/>
    </row>
    <row r="7039" spans="1:5" x14ac:dyDescent="0.3">
      <c r="A7039" s="9">
        <v>7031</v>
      </c>
      <c r="B7039" s="10">
        <f t="shared" ca="1" si="109"/>
        <v>7.941977548612264E-2</v>
      </c>
      <c r="C7039" s="10">
        <f ca="1">NPV(B7039,Project_FCF!C18:J18)+Project_FCF!B18</f>
        <v>943.23997399663131</v>
      </c>
      <c r="D7039" s="4"/>
      <c r="E7039" s="4"/>
    </row>
    <row r="7040" spans="1:5" x14ac:dyDescent="0.3">
      <c r="A7040" s="9">
        <v>7032</v>
      </c>
      <c r="B7040" s="10">
        <f t="shared" ca="1" si="109"/>
        <v>9.8207824974797311E-2</v>
      </c>
      <c r="C7040" s="10">
        <f ca="1">NPV(B7040,Project_FCF!C18:J18)+Project_FCF!B18</f>
        <v>795.61484026171365</v>
      </c>
      <c r="D7040" s="4"/>
      <c r="E7040" s="4"/>
    </row>
    <row r="7041" spans="1:5" x14ac:dyDescent="0.3">
      <c r="A7041" s="9">
        <v>7033</v>
      </c>
      <c r="B7041" s="10">
        <f t="shared" ca="1" si="109"/>
        <v>7.9769563459234805E-2</v>
      </c>
      <c r="C7041" s="10">
        <f ca="1">NPV(B7041,Project_FCF!C18:J18)+Project_FCF!B18</f>
        <v>940.2868067866666</v>
      </c>
      <c r="D7041" s="4"/>
      <c r="E7041" s="4"/>
    </row>
    <row r="7042" spans="1:5" x14ac:dyDescent="0.3">
      <c r="A7042" s="9">
        <v>7034</v>
      </c>
      <c r="B7042" s="10">
        <f t="shared" ca="1" si="109"/>
        <v>9.5786267164849087E-2</v>
      </c>
      <c r="C7042" s="10">
        <f ca="1">NPV(B7042,Project_FCF!C18:J18)+Project_FCF!B18</f>
        <v>813.44263423919278</v>
      </c>
      <c r="D7042" s="4"/>
      <c r="E7042" s="4"/>
    </row>
    <row r="7043" spans="1:5" x14ac:dyDescent="0.3">
      <c r="A7043" s="9">
        <v>7035</v>
      </c>
      <c r="B7043" s="10">
        <f t="shared" ca="1" si="109"/>
        <v>6.4398070319407613E-2</v>
      </c>
      <c r="C7043" s="10">
        <f ca="1">NPV(B7043,Project_FCF!C18:J18)+Project_FCF!B18</f>
        <v>1078.1776040791847</v>
      </c>
      <c r="D7043" s="4"/>
      <c r="E7043" s="4"/>
    </row>
    <row r="7044" spans="1:5" x14ac:dyDescent="0.3">
      <c r="A7044" s="9">
        <v>7036</v>
      </c>
      <c r="B7044" s="10">
        <f t="shared" ca="1" si="109"/>
        <v>6.9599275485028048E-2</v>
      </c>
      <c r="C7044" s="10">
        <f ca="1">NPV(B7044,Project_FCF!C18:J18)+Project_FCF!B18</f>
        <v>1029.6053163548506</v>
      </c>
      <c r="D7044" s="4"/>
      <c r="E7044" s="4"/>
    </row>
    <row r="7045" spans="1:5" x14ac:dyDescent="0.3">
      <c r="A7045" s="9">
        <v>7037</v>
      </c>
      <c r="B7045" s="10">
        <f t="shared" ca="1" si="109"/>
        <v>9.4660966312727551E-2</v>
      </c>
      <c r="C7045" s="10">
        <f ca="1">NPV(B7045,Project_FCF!C18:J18)+Project_FCF!B18</f>
        <v>821.84258338899645</v>
      </c>
      <c r="D7045" s="4"/>
      <c r="E7045" s="4"/>
    </row>
    <row r="7046" spans="1:5" x14ac:dyDescent="0.3">
      <c r="A7046" s="9">
        <v>7038</v>
      </c>
      <c r="B7046" s="10">
        <f t="shared" ca="1" si="109"/>
        <v>6.7244571485887819E-2</v>
      </c>
      <c r="C7046" s="10">
        <f ca="1">NPV(B7046,Project_FCF!C18:J18)+Project_FCF!B18</f>
        <v>1051.3431781104257</v>
      </c>
      <c r="D7046" s="4"/>
      <c r="E7046" s="4"/>
    </row>
    <row r="7047" spans="1:5" x14ac:dyDescent="0.3">
      <c r="A7047" s="9">
        <v>7039</v>
      </c>
      <c r="B7047" s="10">
        <f t="shared" ca="1" si="109"/>
        <v>6.5606617367218595E-2</v>
      </c>
      <c r="C7047" s="10">
        <f ca="1">NPV(B7047,Project_FCF!C18:J18)+Project_FCF!B18</f>
        <v>1066.709125850746</v>
      </c>
      <c r="D7047" s="4"/>
      <c r="E7047" s="4"/>
    </row>
    <row r="7048" spans="1:5" x14ac:dyDescent="0.3">
      <c r="A7048" s="9">
        <v>7040</v>
      </c>
      <c r="B7048" s="10">
        <f t="shared" ca="1" si="109"/>
        <v>8.3770493994244119E-2</v>
      </c>
      <c r="C7048" s="10">
        <f ca="1">NPV(B7048,Project_FCF!C18:J18)+Project_FCF!B18</f>
        <v>907.08460038859357</v>
      </c>
      <c r="D7048" s="4"/>
      <c r="E7048" s="4"/>
    </row>
    <row r="7049" spans="1:5" x14ac:dyDescent="0.3">
      <c r="A7049" s="9">
        <v>7041</v>
      </c>
      <c r="B7049" s="10">
        <f t="shared" ref="B7049:B7112" ca="1" si="110">$B$4+RAND()*($B$5-$B$4)</f>
        <v>0.10128352328038197</v>
      </c>
      <c r="C7049" s="10">
        <f ca="1">NPV(B7049,Project_FCF!C18:J18)+Project_FCF!B18</f>
        <v>773.45037404770619</v>
      </c>
      <c r="D7049" s="4"/>
      <c r="E7049" s="4"/>
    </row>
    <row r="7050" spans="1:5" x14ac:dyDescent="0.3">
      <c r="A7050" s="9">
        <v>7042</v>
      </c>
      <c r="B7050" s="10">
        <f t="shared" ca="1" si="110"/>
        <v>7.9655342518809916E-2</v>
      </c>
      <c r="C7050" s="10">
        <f ca="1">NPV(B7050,Project_FCF!C18:J18)+Project_FCF!B18</f>
        <v>941.25024160507883</v>
      </c>
      <c r="D7050" s="4"/>
      <c r="E7050" s="4"/>
    </row>
    <row r="7051" spans="1:5" x14ac:dyDescent="0.3">
      <c r="A7051" s="9">
        <v>7043</v>
      </c>
      <c r="B7051" s="10">
        <f t="shared" ca="1" si="110"/>
        <v>7.1028223857739908E-2</v>
      </c>
      <c r="C7051" s="10">
        <f ca="1">NPV(B7051,Project_FCF!C18:J18)+Project_FCF!B18</f>
        <v>1016.6128699192907</v>
      </c>
      <c r="D7051" s="4"/>
      <c r="E7051" s="4"/>
    </row>
    <row r="7052" spans="1:5" x14ac:dyDescent="0.3">
      <c r="A7052" s="9">
        <v>7044</v>
      </c>
      <c r="B7052" s="10">
        <f t="shared" ca="1" si="110"/>
        <v>0.10099685574609446</v>
      </c>
      <c r="C7052" s="10">
        <f ca="1">NPV(B7052,Project_FCF!C18:J18)+Project_FCF!B18</f>
        <v>775.4938794259408</v>
      </c>
      <c r="D7052" s="4"/>
      <c r="E7052" s="4"/>
    </row>
    <row r="7053" spans="1:5" x14ac:dyDescent="0.3">
      <c r="A7053" s="9">
        <v>7045</v>
      </c>
      <c r="B7053" s="10">
        <f t="shared" ca="1" si="110"/>
        <v>8.0259616619579519E-2</v>
      </c>
      <c r="C7053" s="10">
        <f ca="1">NPV(B7053,Project_FCF!C18:J18)+Project_FCF!B18</f>
        <v>936.16319476325134</v>
      </c>
      <c r="D7053" s="4"/>
      <c r="E7053" s="4"/>
    </row>
    <row r="7054" spans="1:5" x14ac:dyDescent="0.3">
      <c r="A7054" s="9">
        <v>7046</v>
      </c>
      <c r="B7054" s="10">
        <f t="shared" ca="1" si="110"/>
        <v>7.3773267355627434E-2</v>
      </c>
      <c r="C7054" s="10">
        <f ca="1">NPV(B7054,Project_FCF!C18:J18)+Project_FCF!B18</f>
        <v>992.06780473337744</v>
      </c>
      <c r="D7054" s="4"/>
      <c r="E7054" s="4"/>
    </row>
    <row r="7055" spans="1:5" x14ac:dyDescent="0.3">
      <c r="A7055" s="9">
        <v>7047</v>
      </c>
      <c r="B7055" s="10">
        <f t="shared" ca="1" si="110"/>
        <v>0.10010316981272341</v>
      </c>
      <c r="C7055" s="10">
        <f ca="1">NPV(B7055,Project_FCF!C18:J18)+Project_FCF!B18</f>
        <v>781.89378054502163</v>
      </c>
      <c r="D7055" s="4"/>
      <c r="E7055" s="4"/>
    </row>
    <row r="7056" spans="1:5" x14ac:dyDescent="0.3">
      <c r="A7056" s="9">
        <v>7048</v>
      </c>
      <c r="B7056" s="10">
        <f t="shared" ca="1" si="110"/>
        <v>0.10260711515005133</v>
      </c>
      <c r="C7056" s="10">
        <f ca="1">NPV(B7056,Project_FCF!C18:J18)+Project_FCF!B18</f>
        <v>764.0738807915327</v>
      </c>
      <c r="D7056" s="4"/>
      <c r="E7056" s="4"/>
    </row>
    <row r="7057" spans="1:5" x14ac:dyDescent="0.3">
      <c r="A7057" s="9">
        <v>7049</v>
      </c>
      <c r="B7057" s="10">
        <f t="shared" ca="1" si="110"/>
        <v>7.7806814553682491E-2</v>
      </c>
      <c r="C7057" s="10">
        <f ca="1">NPV(B7057,Project_FCF!C18:J18)+Project_FCF!B18</f>
        <v>956.96453741472737</v>
      </c>
      <c r="D7057" s="4"/>
      <c r="E7057" s="4"/>
    </row>
    <row r="7058" spans="1:5" x14ac:dyDescent="0.3">
      <c r="A7058" s="9">
        <v>7050</v>
      </c>
      <c r="B7058" s="10">
        <f t="shared" ca="1" si="110"/>
        <v>7.1186644191467821E-2</v>
      </c>
      <c r="C7058" s="10">
        <f ca="1">NPV(B7058,Project_FCF!C18:J18)+Project_FCF!B18</f>
        <v>1015.1816143649046</v>
      </c>
      <c r="D7058" s="4"/>
      <c r="E7058" s="4"/>
    </row>
    <row r="7059" spans="1:5" x14ac:dyDescent="0.3">
      <c r="A7059" s="9">
        <v>7051</v>
      </c>
      <c r="B7059" s="10">
        <f t="shared" ca="1" si="110"/>
        <v>7.2084130313708014E-2</v>
      </c>
      <c r="C7059" s="10">
        <f ca="1">NPV(B7059,Project_FCF!C18:J18)+Project_FCF!B18</f>
        <v>1007.1074647466089</v>
      </c>
      <c r="D7059" s="4"/>
      <c r="E7059" s="4"/>
    </row>
    <row r="7060" spans="1:5" x14ac:dyDescent="0.3">
      <c r="A7060" s="9">
        <v>7052</v>
      </c>
      <c r="B7060" s="10">
        <f t="shared" ca="1" si="110"/>
        <v>6.8332157961455905E-2</v>
      </c>
      <c r="C7060" s="10">
        <f ca="1">NPV(B7060,Project_FCF!C18:J18)+Project_FCF!B18</f>
        <v>1041.2517570753566</v>
      </c>
      <c r="D7060" s="4"/>
      <c r="E7060" s="4"/>
    </row>
    <row r="7061" spans="1:5" x14ac:dyDescent="0.3">
      <c r="A7061" s="9">
        <v>7053</v>
      </c>
      <c r="B7061" s="10">
        <f t="shared" ca="1" si="110"/>
        <v>7.936254167784193E-2</v>
      </c>
      <c r="C7061" s="10">
        <f ca="1">NPV(B7061,Project_FCF!C18:J18)+Project_FCF!B18</f>
        <v>943.72396579219026</v>
      </c>
      <c r="D7061" s="4"/>
      <c r="E7061" s="4"/>
    </row>
    <row r="7062" spans="1:5" x14ac:dyDescent="0.3">
      <c r="A7062" s="9">
        <v>7054</v>
      </c>
      <c r="B7062" s="10">
        <f t="shared" ca="1" si="110"/>
        <v>0.10203777920394225</v>
      </c>
      <c r="C7062" s="10">
        <f ca="1">NPV(B7062,Project_FCF!C18:J18)+Project_FCF!B18</f>
        <v>768.09533583511393</v>
      </c>
      <c r="D7062" s="4"/>
      <c r="E7062" s="4"/>
    </row>
    <row r="7063" spans="1:5" x14ac:dyDescent="0.3">
      <c r="A7063" s="9">
        <v>7055</v>
      </c>
      <c r="B7063" s="10">
        <f t="shared" ca="1" si="110"/>
        <v>7.2275967747730749E-2</v>
      </c>
      <c r="C7063" s="10">
        <f ca="1">NPV(B7063,Project_FCF!C18:J18)+Project_FCF!B18</f>
        <v>1005.3891366748578</v>
      </c>
      <c r="D7063" s="4"/>
      <c r="E7063" s="4"/>
    </row>
    <row r="7064" spans="1:5" x14ac:dyDescent="0.3">
      <c r="A7064" s="9">
        <v>7056</v>
      </c>
      <c r="B7064" s="10">
        <f t="shared" ca="1" si="110"/>
        <v>7.826555912118803E-2</v>
      </c>
      <c r="C7064" s="10">
        <f ca="1">NPV(B7064,Project_FCF!C18:J18)+Project_FCF!B18</f>
        <v>953.0431772816064</v>
      </c>
      <c r="D7064" s="4"/>
      <c r="E7064" s="4"/>
    </row>
    <row r="7065" spans="1:5" x14ac:dyDescent="0.3">
      <c r="A7065" s="9">
        <v>7057</v>
      </c>
      <c r="B7065" s="10">
        <f t="shared" ca="1" si="110"/>
        <v>8.5125040506033436E-2</v>
      </c>
      <c r="C7065" s="10">
        <f ca="1">NPV(B7065,Project_FCF!C18:J18)+Project_FCF!B18</f>
        <v>896.07994309341075</v>
      </c>
      <c r="D7065" s="4"/>
      <c r="E7065" s="4"/>
    </row>
    <row r="7066" spans="1:5" x14ac:dyDescent="0.3">
      <c r="A7066" s="9">
        <v>7058</v>
      </c>
      <c r="B7066" s="10">
        <f t="shared" ca="1" si="110"/>
        <v>8.3765901002764917E-2</v>
      </c>
      <c r="C7066" s="10">
        <f ca="1">NPV(B7066,Project_FCF!C18:J18)+Project_FCF!B18</f>
        <v>907.12211577588801</v>
      </c>
      <c r="D7066" s="4"/>
      <c r="E7066" s="4"/>
    </row>
    <row r="7067" spans="1:5" x14ac:dyDescent="0.3">
      <c r="A7067" s="9">
        <v>7059</v>
      </c>
      <c r="B7067" s="10">
        <f t="shared" ca="1" si="110"/>
        <v>8.1962795518813358E-2</v>
      </c>
      <c r="C7067" s="10">
        <f ca="1">NPV(B7067,Project_FCF!C18:J18)+Project_FCF!B18</f>
        <v>921.95567924317675</v>
      </c>
      <c r="D7067" s="4"/>
      <c r="E7067" s="4"/>
    </row>
    <row r="7068" spans="1:5" x14ac:dyDescent="0.3">
      <c r="A7068" s="9">
        <v>7060</v>
      </c>
      <c r="B7068" s="10">
        <f t="shared" ca="1" si="110"/>
        <v>7.9748294920152896E-2</v>
      </c>
      <c r="C7068" s="10">
        <f ca="1">NPV(B7068,Project_FCF!C18:J18)+Project_FCF!B18</f>
        <v>940.466137177772</v>
      </c>
      <c r="D7068" s="4"/>
      <c r="E7068" s="4"/>
    </row>
    <row r="7069" spans="1:5" x14ac:dyDescent="0.3">
      <c r="A7069" s="9">
        <v>7061</v>
      </c>
      <c r="B7069" s="10">
        <f t="shared" ca="1" si="110"/>
        <v>7.4980170755051173E-2</v>
      </c>
      <c r="C7069" s="10">
        <f ca="1">NPV(B7069,Project_FCF!C18:J18)+Project_FCF!B18</f>
        <v>981.44560221506322</v>
      </c>
      <c r="D7069" s="4"/>
      <c r="E7069" s="4"/>
    </row>
    <row r="7070" spans="1:5" x14ac:dyDescent="0.3">
      <c r="A7070" s="9">
        <v>7062</v>
      </c>
      <c r="B7070" s="10">
        <f t="shared" ca="1" si="110"/>
        <v>9.4244915521958544E-2</v>
      </c>
      <c r="C7070" s="10">
        <f ca="1">NPV(B7070,Project_FCF!C18:J18)+Project_FCF!B18</f>
        <v>824.96699881059817</v>
      </c>
      <c r="D7070" s="4"/>
      <c r="E7070" s="4"/>
    </row>
    <row r="7071" spans="1:5" x14ac:dyDescent="0.3">
      <c r="A7071" s="9">
        <v>7063</v>
      </c>
      <c r="B7071" s="10">
        <f t="shared" ca="1" si="110"/>
        <v>9.0025875134417344E-2</v>
      </c>
      <c r="C7071" s="10">
        <f ca="1">NPV(B7071,Project_FCF!C18:J18)+Project_FCF!B18</f>
        <v>857.23244394708581</v>
      </c>
      <c r="D7071" s="4"/>
      <c r="E7071" s="4"/>
    </row>
    <row r="7072" spans="1:5" x14ac:dyDescent="0.3">
      <c r="A7072" s="9">
        <v>7064</v>
      </c>
      <c r="B7072" s="10">
        <f t="shared" ca="1" si="110"/>
        <v>8.65816488496223E-2</v>
      </c>
      <c r="C7072" s="10">
        <f ca="1">NPV(B7072,Project_FCF!C18:J18)+Project_FCF!B18</f>
        <v>884.37674253378304</v>
      </c>
      <c r="D7072" s="4"/>
      <c r="E7072" s="4"/>
    </row>
    <row r="7073" spans="1:5" x14ac:dyDescent="0.3">
      <c r="A7073" s="9">
        <v>7065</v>
      </c>
      <c r="B7073" s="10">
        <f t="shared" ca="1" si="110"/>
        <v>6.5005123561665074E-2</v>
      </c>
      <c r="C7073" s="10">
        <f ca="1">NPV(B7073,Project_FCF!C18:J18)+Project_FCF!B18</f>
        <v>1072.4030003224475</v>
      </c>
      <c r="D7073" s="4"/>
      <c r="E7073" s="4"/>
    </row>
    <row r="7074" spans="1:5" x14ac:dyDescent="0.3">
      <c r="A7074" s="9">
        <v>7066</v>
      </c>
      <c r="B7074" s="10">
        <f t="shared" ca="1" si="110"/>
        <v>7.3862948874164919E-2</v>
      </c>
      <c r="C7074" s="10">
        <f ca="1">NPV(B7074,Project_FCF!C18:J18)+Project_FCF!B18</f>
        <v>991.27497062069415</v>
      </c>
      <c r="D7074" s="4"/>
      <c r="E7074" s="4"/>
    </row>
    <row r="7075" spans="1:5" x14ac:dyDescent="0.3">
      <c r="A7075" s="9">
        <v>7067</v>
      </c>
      <c r="B7075" s="10">
        <f t="shared" ca="1" si="110"/>
        <v>8.8775393577275957E-2</v>
      </c>
      <c r="C7075" s="10">
        <f ca="1">NPV(B7075,Project_FCF!C18:J18)+Project_FCF!B18</f>
        <v>867.00265459641514</v>
      </c>
      <c r="D7075" s="4"/>
      <c r="E7075" s="4"/>
    </row>
    <row r="7076" spans="1:5" x14ac:dyDescent="0.3">
      <c r="A7076" s="9">
        <v>7068</v>
      </c>
      <c r="B7076" s="10">
        <f t="shared" ca="1" si="110"/>
        <v>7.1276819911394465E-2</v>
      </c>
      <c r="C7076" s="10">
        <f ca="1">NPV(B7076,Project_FCF!C18:J18)+Project_FCF!B18</f>
        <v>1014.3677294900056</v>
      </c>
      <c r="D7076" s="4"/>
      <c r="E7076" s="4"/>
    </row>
    <row r="7077" spans="1:5" x14ac:dyDescent="0.3">
      <c r="A7077" s="9">
        <v>7069</v>
      </c>
      <c r="B7077" s="10">
        <f t="shared" ca="1" si="110"/>
        <v>7.6845281074440885E-2</v>
      </c>
      <c r="C7077" s="10">
        <f ca="1">NPV(B7077,Project_FCF!C18:J18)+Project_FCF!B18</f>
        <v>965.23037309404276</v>
      </c>
      <c r="D7077" s="4"/>
      <c r="E7077" s="4"/>
    </row>
    <row r="7078" spans="1:5" x14ac:dyDescent="0.3">
      <c r="A7078" s="9">
        <v>7070</v>
      </c>
      <c r="B7078" s="10">
        <f t="shared" ca="1" si="110"/>
        <v>6.8266799711887233E-2</v>
      </c>
      <c r="C7078" s="10">
        <f ca="1">NPV(B7078,Project_FCF!C18:J18)+Project_FCF!B18</f>
        <v>1041.8557074870205</v>
      </c>
      <c r="D7078" s="4"/>
      <c r="E7078" s="4"/>
    </row>
    <row r="7079" spans="1:5" x14ac:dyDescent="0.3">
      <c r="A7079" s="9">
        <v>7071</v>
      </c>
      <c r="B7079" s="10">
        <f t="shared" ca="1" si="110"/>
        <v>7.6804497815340558E-2</v>
      </c>
      <c r="C7079" s="10">
        <f ca="1">NPV(B7079,Project_FCF!C18:J18)+Project_FCF!B18</f>
        <v>965.58236867266601</v>
      </c>
      <c r="D7079" s="4"/>
      <c r="E7079" s="4"/>
    </row>
    <row r="7080" spans="1:5" x14ac:dyDescent="0.3">
      <c r="A7080" s="9">
        <v>7072</v>
      </c>
      <c r="B7080" s="10">
        <f t="shared" ca="1" si="110"/>
        <v>9.6299380684412184E-2</v>
      </c>
      <c r="C7080" s="10">
        <f ca="1">NPV(B7080,Project_FCF!C18:J18)+Project_FCF!B18</f>
        <v>809.63686818586007</v>
      </c>
      <c r="D7080" s="4"/>
      <c r="E7080" s="4"/>
    </row>
    <row r="7081" spans="1:5" x14ac:dyDescent="0.3">
      <c r="A7081" s="9">
        <v>7073</v>
      </c>
      <c r="B7081" s="10">
        <f t="shared" ca="1" si="110"/>
        <v>9.3979973670208841E-2</v>
      </c>
      <c r="C7081" s="10">
        <f ca="1">NPV(B7081,Project_FCF!C18:J18)+Project_FCF!B18</f>
        <v>826.96193609930219</v>
      </c>
      <c r="D7081" s="4"/>
      <c r="E7081" s="4"/>
    </row>
    <row r="7082" spans="1:5" x14ac:dyDescent="0.3">
      <c r="A7082" s="9">
        <v>7074</v>
      </c>
      <c r="B7082" s="10">
        <f t="shared" ca="1" si="110"/>
        <v>7.5825297187423493E-2</v>
      </c>
      <c r="C7082" s="10">
        <f ca="1">NPV(B7082,Project_FCF!C18:J18)+Project_FCF!B18</f>
        <v>974.06818994844389</v>
      </c>
      <c r="D7082" s="4"/>
      <c r="E7082" s="4"/>
    </row>
    <row r="7083" spans="1:5" x14ac:dyDescent="0.3">
      <c r="A7083" s="9">
        <v>7075</v>
      </c>
      <c r="B7083" s="10">
        <f t="shared" ca="1" si="110"/>
        <v>9.7510117595805162E-2</v>
      </c>
      <c r="C7083" s="10">
        <f ca="1">NPV(B7083,Project_FCF!C18:J18)+Project_FCF!B18</f>
        <v>800.71697625422303</v>
      </c>
      <c r="D7083" s="4"/>
      <c r="E7083" s="4"/>
    </row>
    <row r="7084" spans="1:5" x14ac:dyDescent="0.3">
      <c r="A7084" s="9">
        <v>7076</v>
      </c>
      <c r="B7084" s="10">
        <f t="shared" ca="1" si="110"/>
        <v>9.7304940819058328E-2</v>
      </c>
      <c r="C7084" s="10">
        <f ca="1">NPV(B7084,Project_FCF!C18:J18)+Project_FCF!B18</f>
        <v>802.22266080588429</v>
      </c>
      <c r="D7084" s="4"/>
      <c r="E7084" s="4"/>
    </row>
    <row r="7085" spans="1:5" x14ac:dyDescent="0.3">
      <c r="A7085" s="9">
        <v>7077</v>
      </c>
      <c r="B7085" s="10">
        <f t="shared" ca="1" si="110"/>
        <v>7.3498435720447355E-2</v>
      </c>
      <c r="C7085" s="10">
        <f ca="1">NPV(B7085,Project_FCF!C18:J18)+Project_FCF!B18</f>
        <v>994.50101220812667</v>
      </c>
      <c r="D7085" s="4"/>
      <c r="E7085" s="4"/>
    </row>
    <row r="7086" spans="1:5" x14ac:dyDescent="0.3">
      <c r="A7086" s="9">
        <v>7078</v>
      </c>
      <c r="B7086" s="10">
        <f t="shared" ca="1" si="110"/>
        <v>9.1090227937389162E-2</v>
      </c>
      <c r="C7086" s="10">
        <f ca="1">NPV(B7086,Project_FCF!C18:J18)+Project_FCF!B18</f>
        <v>848.99177403871909</v>
      </c>
      <c r="D7086" s="4"/>
      <c r="E7086" s="4"/>
    </row>
    <row r="7087" spans="1:5" x14ac:dyDescent="0.3">
      <c r="A7087" s="9">
        <v>7079</v>
      </c>
      <c r="B7087" s="10">
        <f t="shared" ca="1" si="110"/>
        <v>7.2698489361118251E-2</v>
      </c>
      <c r="C7087" s="10">
        <f ca="1">NPV(B7087,Project_FCF!C18:J18)+Project_FCF!B18</f>
        <v>1001.613819691891</v>
      </c>
      <c r="D7087" s="4"/>
      <c r="E7087" s="4"/>
    </row>
    <row r="7088" spans="1:5" x14ac:dyDescent="0.3">
      <c r="A7088" s="9">
        <v>7080</v>
      </c>
      <c r="B7088" s="10">
        <f t="shared" ca="1" si="110"/>
        <v>8.6266671787598281E-2</v>
      </c>
      <c r="C7088" s="10">
        <f ca="1">NPV(B7088,Project_FCF!C18:J18)+Project_FCF!B18</f>
        <v>886.89605711883269</v>
      </c>
      <c r="D7088" s="4"/>
      <c r="E7088" s="4"/>
    </row>
    <row r="7089" spans="1:5" x14ac:dyDescent="0.3">
      <c r="A7089" s="9">
        <v>7081</v>
      </c>
      <c r="B7089" s="10">
        <f t="shared" ca="1" si="110"/>
        <v>6.5655577025237666E-2</v>
      </c>
      <c r="C7089" s="10">
        <f ca="1">NPV(B7089,Project_FCF!C18:J18)+Project_FCF!B18</f>
        <v>1066.246877986461</v>
      </c>
      <c r="D7089" s="4"/>
      <c r="E7089" s="4"/>
    </row>
    <row r="7090" spans="1:5" x14ac:dyDescent="0.3">
      <c r="A7090" s="9">
        <v>7082</v>
      </c>
      <c r="B7090" s="10">
        <f t="shared" ca="1" si="110"/>
        <v>9.1712229451521826E-2</v>
      </c>
      <c r="C7090" s="10">
        <f ca="1">NPV(B7090,Project_FCF!C18:J18)+Project_FCF!B18</f>
        <v>844.20774780538727</v>
      </c>
      <c r="D7090" s="4"/>
      <c r="E7090" s="4"/>
    </row>
    <row r="7091" spans="1:5" x14ac:dyDescent="0.3">
      <c r="A7091" s="9">
        <v>7083</v>
      </c>
      <c r="B7091" s="10">
        <f t="shared" ca="1" si="110"/>
        <v>0.10225447921072173</v>
      </c>
      <c r="C7091" s="10">
        <f ca="1">NPV(B7091,Project_FCF!C18:J18)+Project_FCF!B18</f>
        <v>766.56260153023413</v>
      </c>
      <c r="D7091" s="4"/>
      <c r="E7091" s="4"/>
    </row>
    <row r="7092" spans="1:5" x14ac:dyDescent="0.3">
      <c r="A7092" s="9">
        <v>7084</v>
      </c>
      <c r="B7092" s="10">
        <f t="shared" ca="1" si="110"/>
        <v>9.355168574114793E-2</v>
      </c>
      <c r="C7092" s="10">
        <f ca="1">NPV(B7092,Project_FCF!C18:J18)+Project_FCF!B18</f>
        <v>830.19558054089725</v>
      </c>
      <c r="D7092" s="4"/>
      <c r="E7092" s="4"/>
    </row>
    <row r="7093" spans="1:5" x14ac:dyDescent="0.3">
      <c r="A7093" s="9">
        <v>7085</v>
      </c>
      <c r="B7093" s="10">
        <f t="shared" ca="1" si="110"/>
        <v>6.5095928566550221E-2</v>
      </c>
      <c r="C7093" s="10">
        <f ca="1">NPV(B7093,Project_FCF!C18:J18)+Project_FCF!B18</f>
        <v>1071.5416473746898</v>
      </c>
      <c r="D7093" s="4"/>
      <c r="E7093" s="4"/>
    </row>
    <row r="7094" spans="1:5" x14ac:dyDescent="0.3">
      <c r="A7094" s="9">
        <v>7086</v>
      </c>
      <c r="B7094" s="10">
        <f t="shared" ca="1" si="110"/>
        <v>9.540865977512214E-2</v>
      </c>
      <c r="C7094" s="10">
        <f ca="1">NPV(B7094,Project_FCF!C18:J18)+Project_FCF!B18</f>
        <v>816.25310438618067</v>
      </c>
      <c r="D7094" s="4"/>
      <c r="E7094" s="4"/>
    </row>
    <row r="7095" spans="1:5" x14ac:dyDescent="0.3">
      <c r="A7095" s="9">
        <v>7087</v>
      </c>
      <c r="B7095" s="10">
        <f t="shared" ca="1" si="110"/>
        <v>9.1390990676552597E-2</v>
      </c>
      <c r="C7095" s="10">
        <f ca="1">NPV(B7095,Project_FCF!C18:J18)+Project_FCF!B18</f>
        <v>846.67559027636571</v>
      </c>
      <c r="D7095" s="4"/>
      <c r="E7095" s="4"/>
    </row>
    <row r="7096" spans="1:5" x14ac:dyDescent="0.3">
      <c r="A7096" s="9">
        <v>7088</v>
      </c>
      <c r="B7096" s="10">
        <f t="shared" ca="1" si="110"/>
        <v>8.6844898620725516E-2</v>
      </c>
      <c r="C7096" s="10">
        <f ca="1">NPV(B7096,Project_FCF!C18:J18)+Project_FCF!B18</f>
        <v>882.27595898035383</v>
      </c>
      <c r="D7096" s="4"/>
      <c r="E7096" s="4"/>
    </row>
    <row r="7097" spans="1:5" x14ac:dyDescent="0.3">
      <c r="A7097" s="9">
        <v>7089</v>
      </c>
      <c r="B7097" s="10">
        <f t="shared" ca="1" si="110"/>
        <v>6.8008116581268263E-2</v>
      </c>
      <c r="C7097" s="10">
        <f ca="1">NPV(B7097,Project_FCF!C18:J18)+Project_FCF!B18</f>
        <v>1044.2492168707333</v>
      </c>
      <c r="D7097" s="4"/>
      <c r="E7097" s="4"/>
    </row>
    <row r="7098" spans="1:5" x14ac:dyDescent="0.3">
      <c r="A7098" s="9">
        <v>7090</v>
      </c>
      <c r="B7098" s="10">
        <f t="shared" ca="1" si="110"/>
        <v>7.3470956919766753E-2</v>
      </c>
      <c r="C7098" s="10">
        <f ca="1">NPV(B7098,Project_FCF!C18:J18)+Project_FCF!B18</f>
        <v>994.744588568268</v>
      </c>
      <c r="D7098" s="4"/>
      <c r="E7098" s="4"/>
    </row>
    <row r="7099" spans="1:5" x14ac:dyDescent="0.3">
      <c r="A7099" s="9">
        <v>7091</v>
      </c>
      <c r="B7099" s="10">
        <f t="shared" ca="1" si="110"/>
        <v>8.5683043610644077E-2</v>
      </c>
      <c r="C7099" s="10">
        <f ca="1">NPV(B7099,Project_FCF!C18:J18)+Project_FCF!B18</f>
        <v>891.58073117663594</v>
      </c>
      <c r="D7099" s="4"/>
      <c r="E7099" s="4"/>
    </row>
    <row r="7100" spans="1:5" x14ac:dyDescent="0.3">
      <c r="A7100" s="9">
        <v>7092</v>
      </c>
      <c r="B7100" s="10">
        <f t="shared" ca="1" si="110"/>
        <v>8.3117745456061487E-2</v>
      </c>
      <c r="C7100" s="10">
        <f ca="1">NPV(B7100,Project_FCF!C18:J18)+Project_FCF!B18</f>
        <v>912.42992025874037</v>
      </c>
      <c r="D7100" s="4"/>
      <c r="E7100" s="4"/>
    </row>
    <row r="7101" spans="1:5" x14ac:dyDescent="0.3">
      <c r="A7101" s="9">
        <v>7093</v>
      </c>
      <c r="B7101" s="10">
        <f t="shared" ca="1" si="110"/>
        <v>9.6595987589948029E-2</v>
      </c>
      <c r="C7101" s="10">
        <f ca="1">NPV(B7101,Project_FCF!C18:J18)+Project_FCF!B18</f>
        <v>807.44387337331477</v>
      </c>
      <c r="D7101" s="4"/>
      <c r="E7101" s="4"/>
    </row>
    <row r="7102" spans="1:5" x14ac:dyDescent="0.3">
      <c r="A7102" s="9">
        <v>7094</v>
      </c>
      <c r="B7102" s="10">
        <f t="shared" ca="1" si="110"/>
        <v>0.10138725788452152</v>
      </c>
      <c r="C7102" s="10">
        <f ca="1">NPV(B7102,Project_FCF!C18:J18)+Project_FCF!B18</f>
        <v>772.71202304797725</v>
      </c>
      <c r="D7102" s="4"/>
      <c r="E7102" s="4"/>
    </row>
    <row r="7103" spans="1:5" x14ac:dyDescent="0.3">
      <c r="A7103" s="9">
        <v>7095</v>
      </c>
      <c r="B7103" s="10">
        <f t="shared" ca="1" si="110"/>
        <v>7.2246100546565467E-2</v>
      </c>
      <c r="C7103" s="10">
        <f ca="1">NPV(B7103,Project_FCF!C18:J18)+Project_FCF!B18</f>
        <v>1005.6564899404573</v>
      </c>
      <c r="D7103" s="4"/>
      <c r="E7103" s="4"/>
    </row>
    <row r="7104" spans="1:5" x14ac:dyDescent="0.3">
      <c r="A7104" s="9">
        <v>7096</v>
      </c>
      <c r="B7104" s="10">
        <f t="shared" ca="1" si="110"/>
        <v>7.3859657145667168E-2</v>
      </c>
      <c r="C7104" s="10">
        <f ca="1">NPV(B7104,Project_FCF!C18:J18)+Project_FCF!B18</f>
        <v>991.30406126758248</v>
      </c>
      <c r="D7104" s="4"/>
      <c r="E7104" s="4"/>
    </row>
    <row r="7105" spans="1:5" x14ac:dyDescent="0.3">
      <c r="A7105" s="9">
        <v>7097</v>
      </c>
      <c r="B7105" s="10">
        <f t="shared" ca="1" si="110"/>
        <v>6.8864686438028955E-2</v>
      </c>
      <c r="C7105" s="10">
        <f ca="1">NPV(B7105,Project_FCF!C18:J18)+Project_FCF!B18</f>
        <v>1036.3426796600827</v>
      </c>
      <c r="D7105" s="4"/>
      <c r="E7105" s="4"/>
    </row>
    <row r="7106" spans="1:5" x14ac:dyDescent="0.3">
      <c r="A7106" s="9">
        <v>7098</v>
      </c>
      <c r="B7106" s="10">
        <f t="shared" ca="1" si="110"/>
        <v>0.10148432623191067</v>
      </c>
      <c r="C7106" s="10">
        <f ca="1">NPV(B7106,Project_FCF!C18:J18)+Project_FCF!B18</f>
        <v>772.02165851124414</v>
      </c>
      <c r="D7106" s="4"/>
      <c r="E7106" s="4"/>
    </row>
    <row r="7107" spans="1:5" x14ac:dyDescent="0.3">
      <c r="A7107" s="9">
        <v>7099</v>
      </c>
      <c r="B7107" s="10">
        <f t="shared" ca="1" si="110"/>
        <v>7.3180824044522738E-2</v>
      </c>
      <c r="C7107" s="10">
        <f ca="1">NPV(B7107,Project_FCF!C18:J18)+Project_FCF!B18</f>
        <v>997.31964127471497</v>
      </c>
      <c r="D7107" s="4"/>
      <c r="E7107" s="4"/>
    </row>
    <row r="7108" spans="1:5" x14ac:dyDescent="0.3">
      <c r="A7108" s="9">
        <v>7100</v>
      </c>
      <c r="B7108" s="10">
        <f t="shared" ca="1" si="110"/>
        <v>7.7776350980826914E-2</v>
      </c>
      <c r="C7108" s="10">
        <f ca="1">NPV(B7108,Project_FCF!C18:J18)+Project_FCF!B18</f>
        <v>957.2254481658224</v>
      </c>
      <c r="D7108" s="4"/>
      <c r="E7108" s="4"/>
    </row>
    <row r="7109" spans="1:5" x14ac:dyDescent="0.3">
      <c r="A7109" s="9">
        <v>7101</v>
      </c>
      <c r="B7109" s="10">
        <f t="shared" ca="1" si="110"/>
        <v>8.0558367165939698E-2</v>
      </c>
      <c r="C7109" s="10">
        <f ca="1">NPV(B7109,Project_FCF!C18:J18)+Project_FCF!B18</f>
        <v>933.65718336394889</v>
      </c>
      <c r="D7109" s="4"/>
      <c r="E7109" s="4"/>
    </row>
    <row r="7110" spans="1:5" x14ac:dyDescent="0.3">
      <c r="A7110" s="9">
        <v>7102</v>
      </c>
      <c r="B7110" s="10">
        <f t="shared" ca="1" si="110"/>
        <v>6.9654837962243712E-2</v>
      </c>
      <c r="C7110" s="10">
        <f ca="1">NPV(B7110,Project_FCF!C18:J18)+Project_FCF!B18</f>
        <v>1029.0973348483158</v>
      </c>
      <c r="D7110" s="4"/>
      <c r="E7110" s="4"/>
    </row>
    <row r="7111" spans="1:5" x14ac:dyDescent="0.3">
      <c r="A7111" s="9">
        <v>7103</v>
      </c>
      <c r="B7111" s="10">
        <f t="shared" ca="1" si="110"/>
        <v>8.7579079993831604E-2</v>
      </c>
      <c r="C7111" s="10">
        <f ca="1">NPV(B7111,Project_FCF!C18:J18)+Project_FCF!B18</f>
        <v>876.44002937194614</v>
      </c>
      <c r="D7111" s="4"/>
      <c r="E7111" s="4"/>
    </row>
    <row r="7112" spans="1:5" x14ac:dyDescent="0.3">
      <c r="A7112" s="9">
        <v>7104</v>
      </c>
      <c r="B7112" s="10">
        <f t="shared" ca="1" si="110"/>
        <v>6.4137869684009752E-2</v>
      </c>
      <c r="C7112" s="10">
        <f ca="1">NPV(B7112,Project_FCF!C18:J18)+Project_FCF!B18</f>
        <v>1080.6614495648587</v>
      </c>
      <c r="D7112" s="4"/>
      <c r="E7112" s="4"/>
    </row>
    <row r="7113" spans="1:5" x14ac:dyDescent="0.3">
      <c r="A7113" s="9">
        <v>7105</v>
      </c>
      <c r="B7113" s="10">
        <f t="shared" ref="B7113:B7176" ca="1" si="111">$B$4+RAND()*($B$5-$B$4)</f>
        <v>0.10264837161662893</v>
      </c>
      <c r="C7113" s="10">
        <f ca="1">NPV(B7113,Project_FCF!C18:J18)+Project_FCF!B18</f>
        <v>763.78315835908552</v>
      </c>
      <c r="D7113" s="4"/>
      <c r="E7113" s="4"/>
    </row>
    <row r="7114" spans="1:5" x14ac:dyDescent="0.3">
      <c r="A7114" s="9">
        <v>7106</v>
      </c>
      <c r="B7114" s="10">
        <f t="shared" ca="1" si="111"/>
        <v>9.0242993321866943E-2</v>
      </c>
      <c r="C7114" s="10">
        <f ca="1">NPV(B7114,Project_FCF!C18:J18)+Project_FCF!B18</f>
        <v>855.54582657826086</v>
      </c>
      <c r="D7114" s="4"/>
      <c r="E7114" s="4"/>
    </row>
    <row r="7115" spans="1:5" x14ac:dyDescent="0.3">
      <c r="A7115" s="9">
        <v>7107</v>
      </c>
      <c r="B7115" s="10">
        <f t="shared" ca="1" si="111"/>
        <v>8.423581161887507E-2</v>
      </c>
      <c r="C7115" s="10">
        <f ca="1">NPV(B7115,Project_FCF!C18:J18)+Project_FCF!B18</f>
        <v>903.29095637781757</v>
      </c>
      <c r="D7115" s="4"/>
      <c r="E7115" s="4"/>
    </row>
    <row r="7116" spans="1:5" x14ac:dyDescent="0.3">
      <c r="A7116" s="9">
        <v>7108</v>
      </c>
      <c r="B7116" s="10">
        <f t="shared" ca="1" si="111"/>
        <v>8.2206278293629614E-2</v>
      </c>
      <c r="C7116" s="10">
        <f ca="1">NPV(B7116,Project_FCF!C18:J18)+Project_FCF!B18</f>
        <v>919.94023395744284</v>
      </c>
      <c r="D7116" s="4"/>
      <c r="E7116" s="4"/>
    </row>
    <row r="7117" spans="1:5" x14ac:dyDescent="0.3">
      <c r="A7117" s="9">
        <v>7109</v>
      </c>
      <c r="B7117" s="10">
        <f t="shared" ca="1" si="111"/>
        <v>7.2838328177568065E-2</v>
      </c>
      <c r="C7117" s="10">
        <f ca="1">NPV(B7117,Project_FCF!C18:J18)+Project_FCF!B18</f>
        <v>1000.3671415551407</v>
      </c>
      <c r="D7117" s="4"/>
      <c r="E7117" s="4"/>
    </row>
    <row r="7118" spans="1:5" x14ac:dyDescent="0.3">
      <c r="A7118" s="9">
        <v>7110</v>
      </c>
      <c r="B7118" s="10">
        <f t="shared" ca="1" si="111"/>
        <v>7.992231039720743E-2</v>
      </c>
      <c r="C7118" s="10">
        <f ca="1">NPV(B7118,Project_FCF!C18:J18)+Project_FCF!B18</f>
        <v>938.99977698388011</v>
      </c>
      <c r="D7118" s="4"/>
      <c r="E7118" s="4"/>
    </row>
    <row r="7119" spans="1:5" x14ac:dyDescent="0.3">
      <c r="A7119" s="9">
        <v>7111</v>
      </c>
      <c r="B7119" s="10">
        <f t="shared" ca="1" si="111"/>
        <v>6.4532781878790149E-2</v>
      </c>
      <c r="C7119" s="10">
        <f ca="1">NPV(B7119,Project_FCF!C18:J18)+Project_FCF!B18</f>
        <v>1076.8937128598147</v>
      </c>
      <c r="D7119" s="4"/>
      <c r="E7119" s="4"/>
    </row>
    <row r="7120" spans="1:5" x14ac:dyDescent="0.3">
      <c r="A7120" s="9">
        <v>7112</v>
      </c>
      <c r="B7120" s="10">
        <f t="shared" ca="1" si="111"/>
        <v>7.4328744596096577E-2</v>
      </c>
      <c r="C7120" s="10">
        <f ca="1">NPV(B7120,Project_FCF!C18:J18)+Project_FCF!B18</f>
        <v>987.16621008066568</v>
      </c>
      <c r="D7120" s="4"/>
      <c r="E7120" s="4"/>
    </row>
    <row r="7121" spans="1:5" x14ac:dyDescent="0.3">
      <c r="A7121" s="9">
        <v>7113</v>
      </c>
      <c r="B7121" s="10">
        <f t="shared" ca="1" si="111"/>
        <v>7.4746303247410148E-2</v>
      </c>
      <c r="C7121" s="10">
        <f ca="1">NPV(B7121,Project_FCF!C18:J18)+Project_FCF!B18</f>
        <v>983.49592451260196</v>
      </c>
      <c r="D7121" s="4"/>
      <c r="E7121" s="4"/>
    </row>
    <row r="7122" spans="1:5" x14ac:dyDescent="0.3">
      <c r="A7122" s="9">
        <v>7114</v>
      </c>
      <c r="B7122" s="10">
        <f t="shared" ca="1" si="111"/>
        <v>8.4397909991514641E-2</v>
      </c>
      <c r="C7122" s="10">
        <f ca="1">NPV(B7122,Project_FCF!C18:J18)+Project_FCF!B18</f>
        <v>901.97267441110193</v>
      </c>
      <c r="D7122" s="4"/>
      <c r="E7122" s="4"/>
    </row>
    <row r="7123" spans="1:5" x14ac:dyDescent="0.3">
      <c r="A7123" s="9">
        <v>7115</v>
      </c>
      <c r="B7123" s="10">
        <f t="shared" ca="1" si="111"/>
        <v>8.4890836585279905E-2</v>
      </c>
      <c r="C7123" s="10">
        <f ca="1">NPV(B7123,Project_FCF!C18:J18)+Project_FCF!B18</f>
        <v>897.97425815579822</v>
      </c>
      <c r="D7123" s="4"/>
      <c r="E7123" s="4"/>
    </row>
    <row r="7124" spans="1:5" x14ac:dyDescent="0.3">
      <c r="A7124" s="9">
        <v>7116</v>
      </c>
      <c r="B7124" s="10">
        <f t="shared" ca="1" si="111"/>
        <v>0.10293948773562706</v>
      </c>
      <c r="C7124" s="10">
        <f ca="1">NPV(B7124,Project_FCF!C18:J18)+Project_FCF!B18</f>
        <v>761.73438655353857</v>
      </c>
      <c r="D7124" s="4"/>
      <c r="E7124" s="4"/>
    </row>
    <row r="7125" spans="1:5" x14ac:dyDescent="0.3">
      <c r="A7125" s="9">
        <v>7117</v>
      </c>
      <c r="B7125" s="10">
        <f t="shared" ca="1" si="111"/>
        <v>0.10217791053117775</v>
      </c>
      <c r="C7125" s="10">
        <f ca="1">NPV(B7125,Project_FCF!C18:J18)+Project_FCF!B18</f>
        <v>767.10388295892358</v>
      </c>
      <c r="D7125" s="4"/>
      <c r="E7125" s="4"/>
    </row>
    <row r="7126" spans="1:5" x14ac:dyDescent="0.3">
      <c r="A7126" s="9">
        <v>7118</v>
      </c>
      <c r="B7126" s="10">
        <f t="shared" ca="1" si="111"/>
        <v>7.59184415978158E-2</v>
      </c>
      <c r="C7126" s="10">
        <f ca="1">NPV(B7126,Project_FCF!C18:J18)+Project_FCF!B18</f>
        <v>973.25813892275232</v>
      </c>
      <c r="D7126" s="4"/>
      <c r="E7126" s="4"/>
    </row>
    <row r="7127" spans="1:5" x14ac:dyDescent="0.3">
      <c r="A7127" s="9">
        <v>7119</v>
      </c>
      <c r="B7127" s="10">
        <f t="shared" ca="1" si="111"/>
        <v>7.266173304832757E-2</v>
      </c>
      <c r="C7127" s="10">
        <f ca="1">NPV(B7127,Project_FCF!C18:J18)+Project_FCF!B18</f>
        <v>1001.9417378768546</v>
      </c>
      <c r="D7127" s="4"/>
      <c r="E7127" s="4"/>
    </row>
    <row r="7128" spans="1:5" x14ac:dyDescent="0.3">
      <c r="A7128" s="9">
        <v>7120</v>
      </c>
      <c r="B7128" s="10">
        <f t="shared" ca="1" si="111"/>
        <v>8.5516947618630074E-2</v>
      </c>
      <c r="C7128" s="10">
        <f ca="1">NPV(B7128,Project_FCF!C18:J18)+Project_FCF!B18</f>
        <v>892.9179015997172</v>
      </c>
      <c r="D7128" s="4"/>
      <c r="E7128" s="4"/>
    </row>
    <row r="7129" spans="1:5" x14ac:dyDescent="0.3">
      <c r="A7129" s="9">
        <v>7121</v>
      </c>
      <c r="B7129" s="10">
        <f t="shared" ca="1" si="111"/>
        <v>6.9990565011328845E-2</v>
      </c>
      <c r="C7129" s="10">
        <f ca="1">NPV(B7129,Project_FCF!C18:J18)+Project_FCF!B18</f>
        <v>1026.0327591493976</v>
      </c>
      <c r="D7129" s="4"/>
      <c r="E7129" s="4"/>
    </row>
    <row r="7130" spans="1:5" x14ac:dyDescent="0.3">
      <c r="A7130" s="9">
        <v>7122</v>
      </c>
      <c r="B7130" s="10">
        <f t="shared" ca="1" si="111"/>
        <v>0.10385903658370346</v>
      </c>
      <c r="C7130" s="10">
        <f ca="1">NPV(B7130,Project_FCF!C18:J18)+Project_FCF!B18</f>
        <v>755.2931870035145</v>
      </c>
      <c r="D7130" s="4"/>
      <c r="E7130" s="4"/>
    </row>
    <row r="7131" spans="1:5" x14ac:dyDescent="0.3">
      <c r="A7131" s="9">
        <v>7123</v>
      </c>
      <c r="B7131" s="10">
        <f t="shared" ca="1" si="111"/>
        <v>8.1490560640431781E-2</v>
      </c>
      <c r="C7131" s="10">
        <f ca="1">NPV(B7131,Project_FCF!C18:J18)+Project_FCF!B18</f>
        <v>925.87574026227844</v>
      </c>
      <c r="D7131" s="4"/>
      <c r="E7131" s="4"/>
    </row>
    <row r="7132" spans="1:5" x14ac:dyDescent="0.3">
      <c r="A7132" s="9">
        <v>7124</v>
      </c>
      <c r="B7132" s="10">
        <f t="shared" ca="1" si="111"/>
        <v>0.10158935805347799</v>
      </c>
      <c r="C7132" s="10">
        <f ca="1">NPV(B7132,Project_FCF!C18:J18)+Project_FCF!B18</f>
        <v>771.27524203793337</v>
      </c>
      <c r="D7132" s="4"/>
      <c r="E7132" s="4"/>
    </row>
    <row r="7133" spans="1:5" x14ac:dyDescent="0.3">
      <c r="A7133" s="9">
        <v>7125</v>
      </c>
      <c r="B7133" s="10">
        <f t="shared" ca="1" si="111"/>
        <v>8.4257818014160879E-2</v>
      </c>
      <c r="C7133" s="10">
        <f ca="1">NPV(B7133,Project_FCF!C18:J18)+Project_FCF!B18</f>
        <v>903.11188795182898</v>
      </c>
      <c r="D7133" s="4"/>
      <c r="E7133" s="4"/>
    </row>
    <row r="7134" spans="1:5" x14ac:dyDescent="0.3">
      <c r="A7134" s="9">
        <v>7126</v>
      </c>
      <c r="B7134" s="10">
        <f t="shared" ca="1" si="111"/>
        <v>6.8765700645550154E-2</v>
      </c>
      <c r="C7134" s="10">
        <f ca="1">NPV(B7134,Project_FCF!C18:J18)+Project_FCF!B18</f>
        <v>1037.2535836107775</v>
      </c>
      <c r="D7134" s="4"/>
      <c r="E7134" s="4"/>
    </row>
    <row r="7135" spans="1:5" x14ac:dyDescent="0.3">
      <c r="A7135" s="9">
        <v>7127</v>
      </c>
      <c r="B7135" s="10">
        <f t="shared" ca="1" si="111"/>
        <v>8.4040044534602606E-2</v>
      </c>
      <c r="C7135" s="10">
        <f ca="1">NPV(B7135,Project_FCF!C18:J18)+Project_FCF!B18</f>
        <v>904.8853064887137</v>
      </c>
      <c r="D7135" s="4"/>
      <c r="E7135" s="4"/>
    </row>
    <row r="7136" spans="1:5" x14ac:dyDescent="0.3">
      <c r="A7136" s="9">
        <v>7128</v>
      </c>
      <c r="B7136" s="10">
        <f t="shared" ca="1" si="111"/>
        <v>0.10299524726126789</v>
      </c>
      <c r="C7136" s="10">
        <f ca="1">NPV(B7136,Project_FCF!C18:J18)+Project_FCF!B18</f>
        <v>761.3424978653336</v>
      </c>
      <c r="D7136" s="4"/>
      <c r="E7136" s="4"/>
    </row>
    <row r="7137" spans="1:5" x14ac:dyDescent="0.3">
      <c r="A7137" s="9">
        <v>7129</v>
      </c>
      <c r="B7137" s="10">
        <f t="shared" ca="1" si="111"/>
        <v>9.6965575952921712E-2</v>
      </c>
      <c r="C7137" s="10">
        <f ca="1">NPV(B7137,Project_FCF!C18:J18)+Project_FCF!B18</f>
        <v>804.71837275786424</v>
      </c>
      <c r="D7137" s="4"/>
      <c r="E7137" s="4"/>
    </row>
    <row r="7138" spans="1:5" x14ac:dyDescent="0.3">
      <c r="A7138" s="9">
        <v>7130</v>
      </c>
      <c r="B7138" s="10">
        <f t="shared" ca="1" si="111"/>
        <v>7.5522900414806374E-2</v>
      </c>
      <c r="C7138" s="10">
        <f ca="1">NPV(B7138,Project_FCF!C18:J18)+Project_FCF!B18</f>
        <v>976.70220434007092</v>
      </c>
      <c r="D7138" s="4"/>
      <c r="E7138" s="4"/>
    </row>
    <row r="7139" spans="1:5" x14ac:dyDescent="0.3">
      <c r="A7139" s="9">
        <v>7131</v>
      </c>
      <c r="B7139" s="10">
        <f t="shared" ca="1" si="111"/>
        <v>7.631487060400817E-2</v>
      </c>
      <c r="C7139" s="10">
        <f ca="1">NPV(B7139,Project_FCF!C18:J18)+Project_FCF!B18</f>
        <v>969.817229997205</v>
      </c>
      <c r="D7139" s="4"/>
      <c r="E7139" s="4"/>
    </row>
    <row r="7140" spans="1:5" x14ac:dyDescent="0.3">
      <c r="A7140" s="9">
        <v>7132</v>
      </c>
      <c r="B7140" s="10">
        <f t="shared" ca="1" si="111"/>
        <v>9.917292013361545E-2</v>
      </c>
      <c r="C7140" s="10">
        <f ca="1">NPV(B7140,Project_FCF!C18:J18)+Project_FCF!B18</f>
        <v>788.60290368909386</v>
      </c>
      <c r="D7140" s="4"/>
      <c r="E7140" s="4"/>
    </row>
    <row r="7141" spans="1:5" x14ac:dyDescent="0.3">
      <c r="A7141" s="9">
        <v>7133</v>
      </c>
      <c r="B7141" s="10">
        <f t="shared" ca="1" si="111"/>
        <v>7.5236642390744374E-2</v>
      </c>
      <c r="C7141" s="10">
        <f ca="1">NPV(B7141,Project_FCF!C18:J18)+Project_FCF!B18</f>
        <v>979.20150676769344</v>
      </c>
      <c r="D7141" s="4"/>
      <c r="E7141" s="4"/>
    </row>
    <row r="7142" spans="1:5" x14ac:dyDescent="0.3">
      <c r="A7142" s="9">
        <v>7134</v>
      </c>
      <c r="B7142" s="10">
        <f t="shared" ca="1" si="111"/>
        <v>9.1205191496802507E-2</v>
      </c>
      <c r="C7142" s="10">
        <f ca="1">NPV(B7142,Project_FCF!C18:J18)+Project_FCF!B18</f>
        <v>848.10579051297236</v>
      </c>
      <c r="D7142" s="4"/>
      <c r="E7142" s="4"/>
    </row>
    <row r="7143" spans="1:5" x14ac:dyDescent="0.3">
      <c r="A7143" s="9">
        <v>7135</v>
      </c>
      <c r="B7143" s="10">
        <f t="shared" ca="1" si="111"/>
        <v>8.5099070818744182E-2</v>
      </c>
      <c r="C7143" s="10">
        <f ca="1">NPV(B7143,Project_FCF!C18:J18)+Project_FCF!B18</f>
        <v>896.28982139779055</v>
      </c>
      <c r="D7143" s="4"/>
      <c r="E7143" s="4"/>
    </row>
    <row r="7144" spans="1:5" x14ac:dyDescent="0.3">
      <c r="A7144" s="9">
        <v>7136</v>
      </c>
      <c r="B7144" s="10">
        <f t="shared" ca="1" si="111"/>
        <v>0.10040860300309887</v>
      </c>
      <c r="C7144" s="10">
        <f ca="1">NPV(B7144,Project_FCF!C18:J18)+Project_FCF!B18</f>
        <v>779.70150059733987</v>
      </c>
      <c r="D7144" s="4"/>
      <c r="E7144" s="4"/>
    </row>
    <row r="7145" spans="1:5" x14ac:dyDescent="0.3">
      <c r="A7145" s="9">
        <v>7137</v>
      </c>
      <c r="B7145" s="10">
        <f t="shared" ca="1" si="111"/>
        <v>6.9515132694792536E-2</v>
      </c>
      <c r="C7145" s="10">
        <f ca="1">NPV(B7145,Project_FCF!C18:J18)+Project_FCF!B18</f>
        <v>1030.375025956014</v>
      </c>
      <c r="D7145" s="4"/>
      <c r="E7145" s="4"/>
    </row>
    <row r="7146" spans="1:5" x14ac:dyDescent="0.3">
      <c r="A7146" s="9">
        <v>7138</v>
      </c>
      <c r="B7146" s="10">
        <f t="shared" ca="1" si="111"/>
        <v>9.6565853682764963E-2</v>
      </c>
      <c r="C7146" s="10">
        <f ca="1">NPV(B7146,Project_FCF!C18:J18)+Project_FCF!B18</f>
        <v>807.66644012060715</v>
      </c>
      <c r="D7146" s="4"/>
      <c r="E7146" s="4"/>
    </row>
    <row r="7147" spans="1:5" x14ac:dyDescent="0.3">
      <c r="A7147" s="9">
        <v>7139</v>
      </c>
      <c r="B7147" s="10">
        <f t="shared" ca="1" si="111"/>
        <v>8.4508355055128173E-2</v>
      </c>
      <c r="C7147" s="10">
        <f ca="1">NPV(B7147,Project_FCF!C18:J18)+Project_FCF!B18</f>
        <v>901.07543539691983</v>
      </c>
      <c r="D7147" s="4"/>
      <c r="E7147" s="4"/>
    </row>
    <row r="7148" spans="1:5" x14ac:dyDescent="0.3">
      <c r="A7148" s="9">
        <v>7140</v>
      </c>
      <c r="B7148" s="10">
        <f t="shared" ca="1" si="111"/>
        <v>8.5308487179508619E-2</v>
      </c>
      <c r="C7148" s="10">
        <f ca="1">NPV(B7148,Project_FCF!C18:J18)+Project_FCF!B18</f>
        <v>894.59861394681525</v>
      </c>
      <c r="D7148" s="4"/>
      <c r="E7148" s="4"/>
    </row>
    <row r="7149" spans="1:5" x14ac:dyDescent="0.3">
      <c r="A7149" s="9">
        <v>7141</v>
      </c>
      <c r="B7149" s="10">
        <f t="shared" ca="1" si="111"/>
        <v>9.106117927104368E-2</v>
      </c>
      <c r="C7149" s="10">
        <f ca="1">NPV(B7149,Project_FCF!C18:J18)+Project_FCF!B18</f>
        <v>849.2157683635794</v>
      </c>
      <c r="D7149" s="4"/>
      <c r="E7149" s="4"/>
    </row>
    <row r="7150" spans="1:5" x14ac:dyDescent="0.3">
      <c r="A7150" s="9">
        <v>7142</v>
      </c>
      <c r="B7150" s="10">
        <f t="shared" ca="1" si="111"/>
        <v>8.9527764712218849E-2</v>
      </c>
      <c r="C7150" s="10">
        <f ca="1">NPV(B7150,Project_FCF!C18:J18)+Project_FCF!B18</f>
        <v>861.11275445736374</v>
      </c>
      <c r="D7150" s="4"/>
      <c r="E7150" s="4"/>
    </row>
    <row r="7151" spans="1:5" x14ac:dyDescent="0.3">
      <c r="A7151" s="9">
        <v>7143</v>
      </c>
      <c r="B7151" s="10">
        <f t="shared" ca="1" si="111"/>
        <v>8.0989428986456419E-2</v>
      </c>
      <c r="C7151" s="10">
        <f ca="1">NPV(B7151,Project_FCF!C18:J18)+Project_FCF!B18</f>
        <v>930.05176074913038</v>
      </c>
      <c r="D7151" s="4"/>
      <c r="E7151" s="4"/>
    </row>
    <row r="7152" spans="1:5" x14ac:dyDescent="0.3">
      <c r="A7152" s="9">
        <v>7144</v>
      </c>
      <c r="B7152" s="10">
        <f t="shared" ca="1" si="111"/>
        <v>6.7370163628914695E-2</v>
      </c>
      <c r="C7152" s="10">
        <f ca="1">NPV(B7152,Project_FCF!C18:J18)+Project_FCF!B18</f>
        <v>1050.1733253551952</v>
      </c>
      <c r="D7152" s="4"/>
      <c r="E7152" s="4"/>
    </row>
    <row r="7153" spans="1:5" x14ac:dyDescent="0.3">
      <c r="A7153" s="9">
        <v>7145</v>
      </c>
      <c r="B7153" s="10">
        <f t="shared" ca="1" si="111"/>
        <v>7.2666805190545677E-2</v>
      </c>
      <c r="C7153" s="10">
        <f ca="1">NPV(B7153,Project_FCF!C18:J18)+Project_FCF!B18</f>
        <v>1001.8964814705807</v>
      </c>
      <c r="D7153" s="4"/>
      <c r="E7153" s="4"/>
    </row>
    <row r="7154" spans="1:5" x14ac:dyDescent="0.3">
      <c r="A7154" s="9">
        <v>7146</v>
      </c>
      <c r="B7154" s="10">
        <f t="shared" ca="1" si="111"/>
        <v>0.10310686537664895</v>
      </c>
      <c r="C7154" s="10">
        <f ca="1">NPV(B7154,Project_FCF!C18:J18)+Project_FCF!B18</f>
        <v>760.55853263784797</v>
      </c>
      <c r="D7154" s="4"/>
      <c r="E7154" s="4"/>
    </row>
    <row r="7155" spans="1:5" x14ac:dyDescent="0.3">
      <c r="A7155" s="9">
        <v>7147</v>
      </c>
      <c r="B7155" s="10">
        <f t="shared" ca="1" si="111"/>
        <v>8.3626610637141691E-2</v>
      </c>
      <c r="C7155" s="10">
        <f ca="1">NPV(B7155,Project_FCF!C18:J18)+Project_FCF!B18</f>
        <v>908.26048209315854</v>
      </c>
      <c r="D7155" s="4"/>
      <c r="E7155" s="4"/>
    </row>
    <row r="7156" spans="1:5" x14ac:dyDescent="0.3">
      <c r="A7156" s="9">
        <v>7148</v>
      </c>
      <c r="B7156" s="10">
        <f t="shared" ca="1" si="111"/>
        <v>6.6084199281681591E-2</v>
      </c>
      <c r="C7156" s="10">
        <f ca="1">NPV(B7156,Project_FCF!C18:J18)+Project_FCF!B18</f>
        <v>1062.2078678073237</v>
      </c>
      <c r="D7156" s="4"/>
      <c r="E7156" s="4"/>
    </row>
    <row r="7157" spans="1:5" x14ac:dyDescent="0.3">
      <c r="A7157" s="9">
        <v>7149</v>
      </c>
      <c r="B7157" s="10">
        <f t="shared" ca="1" si="111"/>
        <v>8.7668580866408302E-2</v>
      </c>
      <c r="C7157" s="10">
        <f ca="1">NPV(B7157,Project_FCF!C18:J18)+Project_FCF!B18</f>
        <v>875.73090218103357</v>
      </c>
      <c r="D7157" s="4"/>
      <c r="E7157" s="4"/>
    </row>
    <row r="7158" spans="1:5" x14ac:dyDescent="0.3">
      <c r="A7158" s="9">
        <v>7150</v>
      </c>
      <c r="B7158" s="10">
        <f t="shared" ca="1" si="111"/>
        <v>9.6996190138848359E-2</v>
      </c>
      <c r="C7158" s="10">
        <f ca="1">NPV(B7158,Project_FCF!C18:J18)+Project_FCF!B18</f>
        <v>804.49296291925361</v>
      </c>
      <c r="D7158" s="4"/>
      <c r="E7158" s="4"/>
    </row>
    <row r="7159" spans="1:5" x14ac:dyDescent="0.3">
      <c r="A7159" s="9">
        <v>7151</v>
      </c>
      <c r="B7159" s="10">
        <f t="shared" ca="1" si="111"/>
        <v>8.4369156317875005E-2</v>
      </c>
      <c r="C7159" s="10">
        <f ca="1">NPV(B7159,Project_FCF!C18:J18)+Project_FCF!B18</f>
        <v>902.20639344308279</v>
      </c>
      <c r="D7159" s="4"/>
      <c r="E7159" s="4"/>
    </row>
    <row r="7160" spans="1:5" x14ac:dyDescent="0.3">
      <c r="A7160" s="9">
        <v>7152</v>
      </c>
      <c r="B7160" s="10">
        <f t="shared" ca="1" si="111"/>
        <v>0.10042492610902495</v>
      </c>
      <c r="C7160" s="10">
        <f ca="1">NPV(B7160,Project_FCF!C18:J18)+Project_FCF!B18</f>
        <v>779.58448610326445</v>
      </c>
      <c r="D7160" s="4"/>
      <c r="E7160" s="4"/>
    </row>
    <row r="7161" spans="1:5" x14ac:dyDescent="0.3">
      <c r="A7161" s="9">
        <v>7153</v>
      </c>
      <c r="B7161" s="10">
        <f t="shared" ca="1" si="111"/>
        <v>6.5237607702775896E-2</v>
      </c>
      <c r="C7161" s="10">
        <f ca="1">NPV(B7161,Project_FCF!C18:J18)+Project_FCF!B18</f>
        <v>1070.198975906176</v>
      </c>
      <c r="D7161" s="4"/>
      <c r="E7161" s="4"/>
    </row>
    <row r="7162" spans="1:5" x14ac:dyDescent="0.3">
      <c r="A7162" s="9">
        <v>7154</v>
      </c>
      <c r="B7162" s="10">
        <f t="shared" ca="1" si="111"/>
        <v>8.4341830374533883E-2</v>
      </c>
      <c r="C7162" s="10">
        <f ca="1">NPV(B7162,Project_FCF!C18:J18)+Project_FCF!B18</f>
        <v>902.42855666282003</v>
      </c>
      <c r="D7162" s="4"/>
      <c r="E7162" s="4"/>
    </row>
    <row r="7163" spans="1:5" x14ac:dyDescent="0.3">
      <c r="A7163" s="9">
        <v>7155</v>
      </c>
      <c r="B7163" s="10">
        <f t="shared" ca="1" si="111"/>
        <v>8.9270382238733723E-2</v>
      </c>
      <c r="C7163" s="10">
        <f ca="1">NPV(B7163,Project_FCF!C18:J18)+Project_FCF!B18</f>
        <v>863.12374037863265</v>
      </c>
      <c r="D7163" s="4"/>
      <c r="E7163" s="4"/>
    </row>
    <row r="7164" spans="1:5" x14ac:dyDescent="0.3">
      <c r="A7164" s="9">
        <v>7156</v>
      </c>
      <c r="B7164" s="10">
        <f t="shared" ca="1" si="111"/>
        <v>9.273124965453329E-2</v>
      </c>
      <c r="C7164" s="10">
        <f ca="1">NPV(B7164,Project_FCF!C18:J18)+Project_FCF!B18</f>
        <v>836.42036271045254</v>
      </c>
      <c r="D7164" s="4"/>
      <c r="E7164" s="4"/>
    </row>
    <row r="7165" spans="1:5" x14ac:dyDescent="0.3">
      <c r="A7165" s="9">
        <v>7157</v>
      </c>
      <c r="B7165" s="10">
        <f t="shared" ca="1" si="111"/>
        <v>9.7804960045147882E-2</v>
      </c>
      <c r="C7165" s="10">
        <f ca="1">NPV(B7165,Project_FCF!C18:J18)+Project_FCF!B18</f>
        <v>798.55749340583407</v>
      </c>
      <c r="D7165" s="4"/>
      <c r="E7165" s="4"/>
    </row>
    <row r="7166" spans="1:5" x14ac:dyDescent="0.3">
      <c r="A7166" s="9">
        <v>7158</v>
      </c>
      <c r="B7166" s="10">
        <f t="shared" ca="1" si="111"/>
        <v>7.4940522876053642E-2</v>
      </c>
      <c r="C7166" s="10">
        <f ca="1">NPV(B7166,Project_FCF!C18:J18)+Project_FCF!B18</f>
        <v>981.79292663636761</v>
      </c>
      <c r="D7166" s="4"/>
      <c r="E7166" s="4"/>
    </row>
    <row r="7167" spans="1:5" x14ac:dyDescent="0.3">
      <c r="A7167" s="9">
        <v>7159</v>
      </c>
      <c r="B7167" s="10">
        <f t="shared" ca="1" si="111"/>
        <v>0.10042233522665209</v>
      </c>
      <c r="C7167" s="10">
        <f ca="1">NPV(B7167,Project_FCF!C18:J18)+Project_FCF!B18</f>
        <v>779.60305821945212</v>
      </c>
      <c r="D7167" s="4"/>
      <c r="E7167" s="4"/>
    </row>
    <row r="7168" spans="1:5" x14ac:dyDescent="0.3">
      <c r="A7168" s="9">
        <v>7160</v>
      </c>
      <c r="B7168" s="10">
        <f t="shared" ca="1" si="111"/>
        <v>8.5975089295100796E-2</v>
      </c>
      <c r="C7168" s="10">
        <f ca="1">NPV(B7168,Project_FCF!C18:J18)+Project_FCF!B18</f>
        <v>889.23383840088104</v>
      </c>
      <c r="D7168" s="4"/>
      <c r="E7168" s="4"/>
    </row>
    <row r="7169" spans="1:5" x14ac:dyDescent="0.3">
      <c r="A7169" s="9">
        <v>7161</v>
      </c>
      <c r="B7169" s="10">
        <f t="shared" ca="1" si="111"/>
        <v>9.15930933140474E-2</v>
      </c>
      <c r="C7169" s="10">
        <f ca="1">NPV(B7169,Project_FCF!C18:J18)+Project_FCF!B18</f>
        <v>845.12225828995088</v>
      </c>
      <c r="D7169" s="4"/>
      <c r="E7169" s="4"/>
    </row>
    <row r="7170" spans="1:5" x14ac:dyDescent="0.3">
      <c r="A7170" s="9">
        <v>7162</v>
      </c>
      <c r="B7170" s="10">
        <f t="shared" ca="1" si="111"/>
        <v>6.5214179596133653E-2</v>
      </c>
      <c r="C7170" s="10">
        <f ca="1">NPV(B7170,Project_FCF!C18:J18)+Project_FCF!B18</f>
        <v>1070.4208945386001</v>
      </c>
      <c r="D7170" s="4"/>
      <c r="E7170" s="4"/>
    </row>
    <row r="7171" spans="1:5" x14ac:dyDescent="0.3">
      <c r="A7171" s="9">
        <v>7163</v>
      </c>
      <c r="B7171" s="10">
        <f t="shared" ca="1" si="111"/>
        <v>7.7020249439073901E-2</v>
      </c>
      <c r="C7171" s="10">
        <f ca="1">NPV(B7171,Project_FCF!C18:J18)+Project_FCF!B18</f>
        <v>963.72153898091256</v>
      </c>
      <c r="D7171" s="4"/>
      <c r="E7171" s="4"/>
    </row>
    <row r="7172" spans="1:5" x14ac:dyDescent="0.3">
      <c r="A7172" s="9">
        <v>7164</v>
      </c>
      <c r="B7172" s="10">
        <f t="shared" ca="1" si="111"/>
        <v>8.3782953476842115E-2</v>
      </c>
      <c r="C7172" s="10">
        <f ca="1">NPV(B7172,Project_FCF!C18:J18)+Project_FCF!B18</f>
        <v>906.98283865101121</v>
      </c>
      <c r="D7172" s="4"/>
      <c r="E7172" s="4"/>
    </row>
    <row r="7173" spans="1:5" x14ac:dyDescent="0.3">
      <c r="A7173" s="9">
        <v>7165</v>
      </c>
      <c r="B7173" s="10">
        <f t="shared" ca="1" si="111"/>
        <v>9.8837285446532225E-2</v>
      </c>
      <c r="C7173" s="10">
        <f ca="1">NPV(B7173,Project_FCF!C18:J18)+Project_FCF!B18</f>
        <v>791.03549998024505</v>
      </c>
      <c r="D7173" s="4"/>
      <c r="E7173" s="4"/>
    </row>
    <row r="7174" spans="1:5" x14ac:dyDescent="0.3">
      <c r="A7174" s="9">
        <v>7166</v>
      </c>
      <c r="B7174" s="10">
        <f t="shared" ca="1" si="111"/>
        <v>9.8963083190062834E-2</v>
      </c>
      <c r="C7174" s="10">
        <f ca="1">NPV(B7174,Project_FCF!C18:J18)+Project_FCF!B18</f>
        <v>790.12300505044982</v>
      </c>
      <c r="D7174" s="4"/>
      <c r="E7174" s="4"/>
    </row>
    <row r="7175" spans="1:5" x14ac:dyDescent="0.3">
      <c r="A7175" s="9">
        <v>7167</v>
      </c>
      <c r="B7175" s="10">
        <f t="shared" ca="1" si="111"/>
        <v>0.10067009057506981</v>
      </c>
      <c r="C7175" s="10">
        <f ca="1">NPV(B7175,Project_FCF!C18:J18)+Project_FCF!B18</f>
        <v>777.82877362583577</v>
      </c>
      <c r="D7175" s="4"/>
      <c r="E7175" s="4"/>
    </row>
    <row r="7176" spans="1:5" x14ac:dyDescent="0.3">
      <c r="A7176" s="9">
        <v>7168</v>
      </c>
      <c r="B7176" s="10">
        <f t="shared" ca="1" si="111"/>
        <v>6.8503489208991034E-2</v>
      </c>
      <c r="C7176" s="10">
        <f ca="1">NPV(B7176,Project_FCF!C18:J18)+Project_FCF!B18</f>
        <v>1039.6700572523073</v>
      </c>
      <c r="D7176" s="4"/>
      <c r="E7176" s="4"/>
    </row>
    <row r="7177" spans="1:5" x14ac:dyDescent="0.3">
      <c r="A7177" s="9">
        <v>7169</v>
      </c>
      <c r="B7177" s="10">
        <f t="shared" ref="B7177:B7240" ca="1" si="112">$B$4+RAND()*($B$5-$B$4)</f>
        <v>9.1356327286993305E-2</v>
      </c>
      <c r="C7177" s="10">
        <f ca="1">NPV(B7177,Project_FCF!C18:J18)+Project_FCF!B18</f>
        <v>846.94225561884696</v>
      </c>
      <c r="D7177" s="4"/>
      <c r="E7177" s="4"/>
    </row>
    <row r="7178" spans="1:5" x14ac:dyDescent="0.3">
      <c r="A7178" s="9">
        <v>7170</v>
      </c>
      <c r="B7178" s="10">
        <f t="shared" ca="1" si="112"/>
        <v>8.7151947854559139E-2</v>
      </c>
      <c r="C7178" s="10">
        <f ca="1">NPV(B7178,Project_FCF!C18:J18)+Project_FCF!B18</f>
        <v>879.83114901178692</v>
      </c>
      <c r="D7178" s="4"/>
      <c r="E7178" s="4"/>
    </row>
    <row r="7179" spans="1:5" x14ac:dyDescent="0.3">
      <c r="A7179" s="9">
        <v>7171</v>
      </c>
      <c r="B7179" s="10">
        <f t="shared" ca="1" si="112"/>
        <v>9.0929055715554874E-2</v>
      </c>
      <c r="C7179" s="10">
        <f ca="1">NPV(B7179,Project_FCF!C18:J18)+Project_FCF!B18</f>
        <v>850.23521791714893</v>
      </c>
      <c r="D7179" s="4"/>
      <c r="E7179" s="4"/>
    </row>
    <row r="7180" spans="1:5" x14ac:dyDescent="0.3">
      <c r="A7180" s="9">
        <v>7172</v>
      </c>
      <c r="B7180" s="10">
        <f t="shared" ca="1" si="112"/>
        <v>9.3271197411624138E-2</v>
      </c>
      <c r="C7180" s="10">
        <f ca="1">NPV(B7180,Project_FCF!C18:J18)+Project_FCF!B18</f>
        <v>832.31919448222447</v>
      </c>
      <c r="D7180" s="4"/>
      <c r="E7180" s="4"/>
    </row>
    <row r="7181" spans="1:5" x14ac:dyDescent="0.3">
      <c r="A7181" s="9">
        <v>7173</v>
      </c>
      <c r="B7181" s="10">
        <f t="shared" ca="1" si="112"/>
        <v>7.2515809427604272E-2</v>
      </c>
      <c r="C7181" s="10">
        <f ca="1">NPV(B7181,Project_FCF!C18:J18)+Project_FCF!B18</f>
        <v>1003.2445349611116</v>
      </c>
      <c r="D7181" s="4"/>
      <c r="E7181" s="4"/>
    </row>
    <row r="7182" spans="1:5" x14ac:dyDescent="0.3">
      <c r="A7182" s="9">
        <v>7174</v>
      </c>
      <c r="B7182" s="10">
        <f t="shared" ca="1" si="112"/>
        <v>6.4459471572098651E-2</v>
      </c>
      <c r="C7182" s="10">
        <f ca="1">NPV(B7182,Project_FCF!C18:J18)+Project_FCF!B18</f>
        <v>1077.5922358142602</v>
      </c>
      <c r="D7182" s="4"/>
      <c r="E7182" s="4"/>
    </row>
    <row r="7183" spans="1:5" x14ac:dyDescent="0.3">
      <c r="A7183" s="9">
        <v>7175</v>
      </c>
      <c r="B7183" s="10">
        <f t="shared" ca="1" si="112"/>
        <v>6.714521677268305E-2</v>
      </c>
      <c r="C7183" s="10">
        <f ca="1">NPV(B7183,Project_FCF!C18:J18)+Project_FCF!B18</f>
        <v>1052.2694757914264</v>
      </c>
      <c r="D7183" s="4"/>
      <c r="E7183" s="4"/>
    </row>
    <row r="7184" spans="1:5" x14ac:dyDescent="0.3">
      <c r="A7184" s="9">
        <v>7176</v>
      </c>
      <c r="B7184" s="10">
        <f t="shared" ca="1" si="112"/>
        <v>9.7765627243642544E-2</v>
      </c>
      <c r="C7184" s="10">
        <f ca="1">NPV(B7184,Project_FCF!C18:J18)+Project_FCF!B18</f>
        <v>798.8452877496768</v>
      </c>
      <c r="D7184" s="4"/>
      <c r="E7184" s="4"/>
    </row>
    <row r="7185" spans="1:5" x14ac:dyDescent="0.3">
      <c r="A7185" s="9">
        <v>7177</v>
      </c>
      <c r="B7185" s="10">
        <f t="shared" ca="1" si="112"/>
        <v>7.9325930193672595E-2</v>
      </c>
      <c r="C7185" s="10">
        <f ca="1">NPV(B7185,Project_FCF!C18:J18)+Project_FCF!B18</f>
        <v>944.03368250874587</v>
      </c>
      <c r="D7185" s="4"/>
      <c r="E7185" s="4"/>
    </row>
    <row r="7186" spans="1:5" x14ac:dyDescent="0.3">
      <c r="A7186" s="9">
        <v>7178</v>
      </c>
      <c r="B7186" s="10">
        <f t="shared" ca="1" si="112"/>
        <v>8.2655725405164124E-2</v>
      </c>
      <c r="C7186" s="10">
        <f ca="1">NPV(B7186,Project_FCF!C18:J18)+Project_FCF!B18</f>
        <v>916.23010130033663</v>
      </c>
      <c r="D7186" s="4"/>
      <c r="E7186" s="4"/>
    </row>
    <row r="7187" spans="1:5" x14ac:dyDescent="0.3">
      <c r="A7187" s="9">
        <v>7179</v>
      </c>
      <c r="B7187" s="10">
        <f t="shared" ca="1" si="112"/>
        <v>8.6836050941381318E-2</v>
      </c>
      <c r="C7187" s="10">
        <f ca="1">NPV(B7187,Project_FCF!C18:J18)+Project_FCF!B18</f>
        <v>882.34649436920313</v>
      </c>
      <c r="D7187" s="4"/>
      <c r="E7187" s="4"/>
    </row>
    <row r="7188" spans="1:5" x14ac:dyDescent="0.3">
      <c r="A7188" s="9">
        <v>7180</v>
      </c>
      <c r="B7188" s="10">
        <f t="shared" ca="1" si="112"/>
        <v>8.3216915242681308E-2</v>
      </c>
      <c r="C7188" s="10">
        <f ca="1">NPV(B7188,Project_FCF!C18:J18)+Project_FCF!B18</f>
        <v>911.61604486044257</v>
      </c>
      <c r="D7188" s="4"/>
      <c r="E7188" s="4"/>
    </row>
    <row r="7189" spans="1:5" x14ac:dyDescent="0.3">
      <c r="A7189" s="9">
        <v>7181</v>
      </c>
      <c r="B7189" s="10">
        <f t="shared" ca="1" si="112"/>
        <v>8.4252896968112792E-2</v>
      </c>
      <c r="C7189" s="10">
        <f ca="1">NPV(B7189,Project_FCF!C18:J18)+Project_FCF!B18</f>
        <v>903.15192833316883</v>
      </c>
      <c r="D7189" s="4"/>
      <c r="E7189" s="4"/>
    </row>
    <row r="7190" spans="1:5" x14ac:dyDescent="0.3">
      <c r="A7190" s="9">
        <v>7182</v>
      </c>
      <c r="B7190" s="10">
        <f t="shared" ca="1" si="112"/>
        <v>8.6811248216699652E-2</v>
      </c>
      <c r="C7190" s="10">
        <f ca="1">NPV(B7190,Project_FCF!C18:J18)+Project_FCF!B18</f>
        <v>882.54425265473628</v>
      </c>
      <c r="D7190" s="4"/>
      <c r="E7190" s="4"/>
    </row>
    <row r="7191" spans="1:5" x14ac:dyDescent="0.3">
      <c r="A7191" s="9">
        <v>7183</v>
      </c>
      <c r="B7191" s="10">
        <f t="shared" ca="1" si="112"/>
        <v>9.2194088829671922E-2</v>
      </c>
      <c r="C7191" s="10">
        <f ca="1">NPV(B7191,Project_FCF!C18:J18)+Project_FCF!B18</f>
        <v>840.51761094435005</v>
      </c>
      <c r="D7191" s="4"/>
      <c r="E7191" s="4"/>
    </row>
    <row r="7192" spans="1:5" x14ac:dyDescent="0.3">
      <c r="A7192" s="9">
        <v>7184</v>
      </c>
      <c r="B7192" s="10">
        <f t="shared" ca="1" si="112"/>
        <v>9.5732186470729008E-2</v>
      </c>
      <c r="C7192" s="10">
        <f ca="1">NPV(B7192,Project_FCF!C18:J18)+Project_FCF!B18</f>
        <v>813.8446397661528</v>
      </c>
      <c r="D7192" s="4"/>
      <c r="E7192" s="4"/>
    </row>
    <row r="7193" spans="1:5" x14ac:dyDescent="0.3">
      <c r="A7193" s="9">
        <v>7185</v>
      </c>
      <c r="B7193" s="10">
        <f t="shared" ca="1" si="112"/>
        <v>9.6274434393762626E-2</v>
      </c>
      <c r="C7193" s="10">
        <f ca="1">NPV(B7193,Project_FCF!C18:J18)+Project_FCF!B18</f>
        <v>809.82154271987406</v>
      </c>
      <c r="D7193" s="4"/>
      <c r="E7193" s="4"/>
    </row>
    <row r="7194" spans="1:5" x14ac:dyDescent="0.3">
      <c r="A7194" s="9">
        <v>7186</v>
      </c>
      <c r="B7194" s="10">
        <f t="shared" ca="1" si="112"/>
        <v>7.1281962409091557E-2</v>
      </c>
      <c r="C7194" s="10">
        <f ca="1">NPV(B7194,Project_FCF!C18:J18)+Project_FCF!B18</f>
        <v>1014.3213333881749</v>
      </c>
      <c r="D7194" s="4"/>
      <c r="E7194" s="4"/>
    </row>
    <row r="7195" spans="1:5" x14ac:dyDescent="0.3">
      <c r="A7195" s="9">
        <v>7187</v>
      </c>
      <c r="B7195" s="10">
        <f t="shared" ca="1" si="112"/>
        <v>8.7136991114636131E-2</v>
      </c>
      <c r="C7195" s="10">
        <f ca="1">NPV(B7195,Project_FCF!C18:J18)+Project_FCF!B18</f>
        <v>879.9501016336219</v>
      </c>
      <c r="D7195" s="4"/>
      <c r="E7195" s="4"/>
    </row>
    <row r="7196" spans="1:5" x14ac:dyDescent="0.3">
      <c r="A7196" s="9">
        <v>7188</v>
      </c>
      <c r="B7196" s="10">
        <f t="shared" ca="1" si="112"/>
        <v>0.10069810665028367</v>
      </c>
      <c r="C7196" s="10">
        <f ca="1">NPV(B7196,Project_FCF!C18:J18)+Project_FCF!B18</f>
        <v>777.62835301907285</v>
      </c>
      <c r="D7196" s="4"/>
      <c r="E7196" s="4"/>
    </row>
    <row r="7197" spans="1:5" x14ac:dyDescent="0.3">
      <c r="A7197" s="9">
        <v>7189</v>
      </c>
      <c r="B7197" s="10">
        <f t="shared" ca="1" si="112"/>
        <v>7.0929352363202594E-2</v>
      </c>
      <c r="C7197" s="10">
        <f ca="1">NPV(B7197,Project_FCF!C18:J18)+Project_FCF!B18</f>
        <v>1017.5070508896017</v>
      </c>
      <c r="D7197" s="4"/>
      <c r="E7197" s="4"/>
    </row>
    <row r="7198" spans="1:5" x14ac:dyDescent="0.3">
      <c r="A7198" s="9">
        <v>7190</v>
      </c>
      <c r="B7198" s="10">
        <f t="shared" ca="1" si="112"/>
        <v>6.5070523514959941E-2</v>
      </c>
      <c r="C7198" s="10">
        <f ca="1">NPV(B7198,Project_FCF!C18:J18)+Project_FCF!B18</f>
        <v>1071.7825695558986</v>
      </c>
      <c r="D7198" s="4"/>
      <c r="E7198" s="4"/>
    </row>
    <row r="7199" spans="1:5" x14ac:dyDescent="0.3">
      <c r="A7199" s="9">
        <v>7191</v>
      </c>
      <c r="B7199" s="10">
        <f t="shared" ca="1" si="112"/>
        <v>9.5878186194922027E-2</v>
      </c>
      <c r="C7199" s="10">
        <f ca="1">NPV(B7199,Project_FCF!C18:J18)+Project_FCF!B18</f>
        <v>812.75974905351904</v>
      </c>
      <c r="D7199" s="4"/>
      <c r="E7199" s="4"/>
    </row>
    <row r="7200" spans="1:5" x14ac:dyDescent="0.3">
      <c r="A7200" s="9">
        <v>7192</v>
      </c>
      <c r="B7200" s="10">
        <f t="shared" ca="1" si="112"/>
        <v>8.7722868736533635E-2</v>
      </c>
      <c r="C7200" s="10">
        <f ca="1">NPV(B7200,Project_FCF!C18:J18)+Project_FCF!B18</f>
        <v>875.30101574714718</v>
      </c>
      <c r="D7200" s="4"/>
      <c r="E7200" s="4"/>
    </row>
    <row r="7201" spans="1:5" x14ac:dyDescent="0.3">
      <c r="A7201" s="9">
        <v>7193</v>
      </c>
      <c r="B7201" s="10">
        <f t="shared" ca="1" si="112"/>
        <v>9.2684129208867427E-2</v>
      </c>
      <c r="C7201" s="10">
        <f ca="1">NPV(B7201,Project_FCF!C18:J18)+Project_FCF!B18</f>
        <v>836.7790890833835</v>
      </c>
      <c r="D7201" s="4"/>
      <c r="E7201" s="4"/>
    </row>
    <row r="7202" spans="1:5" x14ac:dyDescent="0.3">
      <c r="A7202" s="9">
        <v>7194</v>
      </c>
      <c r="B7202" s="10">
        <f t="shared" ca="1" si="112"/>
        <v>7.3618682318864273E-2</v>
      </c>
      <c r="C7202" s="10">
        <f ca="1">NPV(B7202,Project_FCF!C18:J18)+Project_FCF!B18</f>
        <v>993.43575714805888</v>
      </c>
      <c r="D7202" s="4"/>
      <c r="E7202" s="4"/>
    </row>
    <row r="7203" spans="1:5" x14ac:dyDescent="0.3">
      <c r="A7203" s="9">
        <v>7195</v>
      </c>
      <c r="B7203" s="10">
        <f t="shared" ca="1" si="112"/>
        <v>8.7677187664823741E-2</v>
      </c>
      <c r="C7203" s="10">
        <f ca="1">NPV(B7203,Project_FCF!C18:J18)+Project_FCF!B18</f>
        <v>875.66273572874434</v>
      </c>
      <c r="D7203" s="4"/>
      <c r="E7203" s="4"/>
    </row>
    <row r="7204" spans="1:5" x14ac:dyDescent="0.3">
      <c r="A7204" s="9">
        <v>7196</v>
      </c>
      <c r="B7204" s="10">
        <f t="shared" ca="1" si="112"/>
        <v>8.2322063346252985E-2</v>
      </c>
      <c r="C7204" s="10">
        <f ca="1">NPV(B7204,Project_FCF!C18:J18)+Project_FCF!B18</f>
        <v>918.98317857221718</v>
      </c>
      <c r="D7204" s="4"/>
      <c r="E7204" s="4"/>
    </row>
    <row r="7205" spans="1:5" x14ac:dyDescent="0.3">
      <c r="A7205" s="9">
        <v>7197</v>
      </c>
      <c r="B7205" s="10">
        <f t="shared" ca="1" si="112"/>
        <v>9.689299702492396E-2</v>
      </c>
      <c r="C7205" s="10">
        <f ca="1">NPV(B7205,Project_FCF!C18:J18)+Project_FCF!B18</f>
        <v>805.25298073271233</v>
      </c>
      <c r="D7205" s="4"/>
      <c r="E7205" s="4"/>
    </row>
    <row r="7206" spans="1:5" x14ac:dyDescent="0.3">
      <c r="A7206" s="9">
        <v>7198</v>
      </c>
      <c r="B7206" s="10">
        <f t="shared" ca="1" si="112"/>
        <v>8.7482625888334026E-2</v>
      </c>
      <c r="C7206" s="10">
        <f ca="1">NPV(B7206,Project_FCF!C18:J18)+Project_FCF!B18</f>
        <v>877.20480785485415</v>
      </c>
      <c r="D7206" s="4"/>
      <c r="E7206" s="4"/>
    </row>
    <row r="7207" spans="1:5" x14ac:dyDescent="0.3">
      <c r="A7207" s="9">
        <v>7199</v>
      </c>
      <c r="B7207" s="10">
        <f t="shared" ca="1" si="112"/>
        <v>6.9658309146153743E-2</v>
      </c>
      <c r="C7207" s="10">
        <f ca="1">NPV(B7207,Project_FCF!C18:J18)+Project_FCF!B18</f>
        <v>1029.0656069755858</v>
      </c>
      <c r="D7207" s="4"/>
      <c r="E7207" s="4"/>
    </row>
    <row r="7208" spans="1:5" x14ac:dyDescent="0.3">
      <c r="A7208" s="9">
        <v>7200</v>
      </c>
      <c r="B7208" s="10">
        <f t="shared" ca="1" si="112"/>
        <v>0.10102275206415412</v>
      </c>
      <c r="C7208" s="10">
        <f ca="1">NPV(B7208,Project_FCF!C18:J18)+Project_FCF!B18</f>
        <v>775.30909099976498</v>
      </c>
      <c r="D7208" s="4"/>
      <c r="E7208" s="4"/>
    </row>
    <row r="7209" spans="1:5" x14ac:dyDescent="0.3">
      <c r="A7209" s="9">
        <v>7201</v>
      </c>
      <c r="B7209" s="10">
        <f t="shared" ca="1" si="112"/>
        <v>7.6910157709606713E-2</v>
      </c>
      <c r="C7209" s="10">
        <f ca="1">NPV(B7209,Project_FCF!C18:J18)+Project_FCF!B18</f>
        <v>964.67066607728248</v>
      </c>
      <c r="D7209" s="4"/>
      <c r="E7209" s="4"/>
    </row>
    <row r="7210" spans="1:5" x14ac:dyDescent="0.3">
      <c r="A7210" s="9">
        <v>7202</v>
      </c>
      <c r="B7210" s="10">
        <f t="shared" ca="1" si="112"/>
        <v>7.4310948820588904E-2</v>
      </c>
      <c r="C7210" s="10">
        <f ca="1">NPV(B7210,Project_FCF!C18:J18)+Project_FCF!B18</f>
        <v>987.3229048323185</v>
      </c>
      <c r="D7210" s="4"/>
      <c r="E7210" s="4"/>
    </row>
    <row r="7211" spans="1:5" x14ac:dyDescent="0.3">
      <c r="A7211" s="9">
        <v>7203</v>
      </c>
      <c r="B7211" s="10">
        <f t="shared" ca="1" si="112"/>
        <v>9.6834240413470371E-2</v>
      </c>
      <c r="C7211" s="10">
        <f ca="1">NPV(B7211,Project_FCF!C18:J18)+Project_FCF!B18</f>
        <v>805.68599680177908</v>
      </c>
      <c r="D7211" s="4"/>
      <c r="E7211" s="4"/>
    </row>
    <row r="7212" spans="1:5" x14ac:dyDescent="0.3">
      <c r="A7212" s="9">
        <v>7204</v>
      </c>
      <c r="B7212" s="10">
        <f t="shared" ca="1" si="112"/>
        <v>6.4331176268873899E-2</v>
      </c>
      <c r="C7212" s="10">
        <f ca="1">NPV(B7212,Project_FCF!C18:J18)+Project_FCF!B18</f>
        <v>1078.8156684540775</v>
      </c>
      <c r="D7212" s="4"/>
      <c r="E7212" s="4"/>
    </row>
    <row r="7213" spans="1:5" x14ac:dyDescent="0.3">
      <c r="A7213" s="9">
        <v>7205</v>
      </c>
      <c r="B7213" s="10">
        <f t="shared" ca="1" si="112"/>
        <v>9.176720634382278E-2</v>
      </c>
      <c r="C7213" s="10">
        <f ca="1">NPV(B7213,Project_FCF!C18:J18)+Project_FCF!B18</f>
        <v>843.78602328199258</v>
      </c>
      <c r="D7213" s="4"/>
      <c r="E7213" s="4"/>
    </row>
    <row r="7214" spans="1:5" x14ac:dyDescent="0.3">
      <c r="A7214" s="9">
        <v>7206</v>
      </c>
      <c r="B7214" s="10">
        <f t="shared" ca="1" si="112"/>
        <v>8.3306511905226727E-2</v>
      </c>
      <c r="C7214" s="10">
        <f ca="1">NPV(B7214,Project_FCF!C18:J18)+Project_FCF!B18</f>
        <v>910.88128409492674</v>
      </c>
      <c r="D7214" s="4"/>
      <c r="E7214" s="4"/>
    </row>
    <row r="7215" spans="1:5" x14ac:dyDescent="0.3">
      <c r="A7215" s="9">
        <v>7207</v>
      </c>
      <c r="B7215" s="10">
        <f t="shared" ca="1" si="112"/>
        <v>8.17027539492102E-2</v>
      </c>
      <c r="C7215" s="10">
        <f ca="1">NPV(B7215,Project_FCF!C18:J18)+Project_FCF!B18</f>
        <v>924.11249029309829</v>
      </c>
      <c r="D7215" s="4"/>
      <c r="E7215" s="4"/>
    </row>
    <row r="7216" spans="1:5" x14ac:dyDescent="0.3">
      <c r="A7216" s="9">
        <v>7208</v>
      </c>
      <c r="B7216" s="10">
        <f t="shared" ca="1" si="112"/>
        <v>9.8879732366922171E-2</v>
      </c>
      <c r="C7216" s="10">
        <f ca="1">NPV(B7216,Project_FCF!C18:J18)+Project_FCF!B18</f>
        <v>790.72750430835367</v>
      </c>
      <c r="D7216" s="4"/>
      <c r="E7216" s="4"/>
    </row>
    <row r="7217" spans="1:5" x14ac:dyDescent="0.3">
      <c r="A7217" s="9">
        <v>7209</v>
      </c>
      <c r="B7217" s="10">
        <f t="shared" ca="1" si="112"/>
        <v>8.653214791586121E-2</v>
      </c>
      <c r="C7217" s="10">
        <f ca="1">NPV(B7217,Project_FCF!C18:J18)+Project_FCF!B18</f>
        <v>884.7722567636672</v>
      </c>
      <c r="D7217" s="4"/>
      <c r="E7217" s="4"/>
    </row>
    <row r="7218" spans="1:5" x14ac:dyDescent="0.3">
      <c r="A7218" s="9">
        <v>7210</v>
      </c>
      <c r="B7218" s="10">
        <f t="shared" ca="1" si="112"/>
        <v>6.5905623910298722E-2</v>
      </c>
      <c r="C7218" s="10">
        <f ca="1">NPV(B7218,Project_FCF!C18:J18)+Project_FCF!B18</f>
        <v>1063.8889296246634</v>
      </c>
      <c r="D7218" s="4"/>
      <c r="E7218" s="4"/>
    </row>
    <row r="7219" spans="1:5" x14ac:dyDescent="0.3">
      <c r="A7219" s="9">
        <v>7211</v>
      </c>
      <c r="B7219" s="10">
        <f t="shared" ca="1" si="112"/>
        <v>9.0854720024662328E-2</v>
      </c>
      <c r="C7219" s="10">
        <f ca="1">NPV(B7219,Project_FCF!C18:J18)+Project_FCF!B18</f>
        <v>850.80924807880842</v>
      </c>
      <c r="D7219" s="4"/>
      <c r="E7219" s="4"/>
    </row>
    <row r="7220" spans="1:5" x14ac:dyDescent="0.3">
      <c r="A7220" s="9">
        <v>7212</v>
      </c>
      <c r="B7220" s="10">
        <f t="shared" ca="1" si="112"/>
        <v>8.7535723059161089E-2</v>
      </c>
      <c r="C7220" s="10">
        <f ca="1">NPV(B7220,Project_FCF!C18:J18)+Project_FCF!B18</f>
        <v>876.78373186191993</v>
      </c>
      <c r="D7220" s="4"/>
      <c r="E7220" s="4"/>
    </row>
    <row r="7221" spans="1:5" x14ac:dyDescent="0.3">
      <c r="A7221" s="9">
        <v>7213</v>
      </c>
      <c r="B7221" s="10">
        <f t="shared" ca="1" si="112"/>
        <v>8.0181545797016862E-2</v>
      </c>
      <c r="C7221" s="10">
        <f ca="1">NPV(B7221,Project_FCF!C18:J18)+Project_FCF!B18</f>
        <v>936.81905700990956</v>
      </c>
      <c r="D7221" s="4"/>
      <c r="E7221" s="4"/>
    </row>
    <row r="7222" spans="1:5" x14ac:dyDescent="0.3">
      <c r="A7222" s="9">
        <v>7214</v>
      </c>
      <c r="B7222" s="10">
        <f t="shared" ca="1" si="112"/>
        <v>9.921110796162852E-2</v>
      </c>
      <c r="C7222" s="10">
        <f ca="1">NPV(B7222,Project_FCF!C18:J18)+Project_FCF!B18</f>
        <v>788.32653010261834</v>
      </c>
      <c r="D7222" s="4"/>
      <c r="E7222" s="4"/>
    </row>
    <row r="7223" spans="1:5" x14ac:dyDescent="0.3">
      <c r="A7223" s="9">
        <v>7215</v>
      </c>
      <c r="B7223" s="10">
        <f t="shared" ca="1" si="112"/>
        <v>7.9328331449192296E-2</v>
      </c>
      <c r="C7223" s="10">
        <f ca="1">NPV(B7223,Project_FCF!C18:J18)+Project_FCF!B18</f>
        <v>944.01336620354436</v>
      </c>
      <c r="D7223" s="4"/>
      <c r="E7223" s="4"/>
    </row>
    <row r="7224" spans="1:5" x14ac:dyDescent="0.3">
      <c r="A7224" s="9">
        <v>7216</v>
      </c>
      <c r="B7224" s="10">
        <f t="shared" ca="1" si="112"/>
        <v>8.8746256818657707E-2</v>
      </c>
      <c r="C7224" s="10">
        <f ca="1">NPV(B7224,Project_FCF!C18:J18)+Project_FCF!B18</f>
        <v>867.23145199265423</v>
      </c>
      <c r="D7224" s="4"/>
      <c r="E7224" s="4"/>
    </row>
    <row r="7225" spans="1:5" x14ac:dyDescent="0.3">
      <c r="A7225" s="9">
        <v>7217</v>
      </c>
      <c r="B7225" s="10">
        <f t="shared" ca="1" si="112"/>
        <v>7.2495707642797211E-2</v>
      </c>
      <c r="C7225" s="10">
        <f ca="1">NPV(B7225,Project_FCF!C18:J18)+Project_FCF!B18</f>
        <v>1003.4241217718388</v>
      </c>
      <c r="D7225" s="4"/>
      <c r="E7225" s="4"/>
    </row>
    <row r="7226" spans="1:5" x14ac:dyDescent="0.3">
      <c r="A7226" s="9">
        <v>7218</v>
      </c>
      <c r="B7226" s="10">
        <f t="shared" ca="1" si="112"/>
        <v>9.2217035974413844E-2</v>
      </c>
      <c r="C7226" s="10">
        <f ca="1">NPV(B7226,Project_FCF!C18:J18)+Project_FCF!B18</f>
        <v>840.34222642253758</v>
      </c>
      <c r="D7226" s="4"/>
      <c r="E7226" s="4"/>
    </row>
    <row r="7227" spans="1:5" x14ac:dyDescent="0.3">
      <c r="A7227" s="9">
        <v>7219</v>
      </c>
      <c r="B7227" s="10">
        <f t="shared" ca="1" si="112"/>
        <v>8.9226366152778902E-2</v>
      </c>
      <c r="C7227" s="10">
        <f ca="1">NPV(B7227,Project_FCF!C18:J18)+Project_FCF!B18</f>
        <v>863.46805539173215</v>
      </c>
      <c r="D7227" s="4"/>
      <c r="E7227" s="4"/>
    </row>
    <row r="7228" spans="1:5" x14ac:dyDescent="0.3">
      <c r="A7228" s="9">
        <v>7220</v>
      </c>
      <c r="B7228" s="10">
        <f t="shared" ca="1" si="112"/>
        <v>9.7513065180243802E-2</v>
      </c>
      <c r="C7228" s="10">
        <f ca="1">NPV(B7228,Project_FCF!C18:J18)+Project_FCF!B18</f>
        <v>800.69536301839753</v>
      </c>
      <c r="D7228" s="4"/>
      <c r="E7228" s="4"/>
    </row>
    <row r="7229" spans="1:5" x14ac:dyDescent="0.3">
      <c r="A7229" s="9">
        <v>7221</v>
      </c>
      <c r="B7229" s="10">
        <f t="shared" ca="1" si="112"/>
        <v>0.10349709667678483</v>
      </c>
      <c r="C7229" s="10">
        <f ca="1">NPV(B7229,Project_FCF!C18:J18)+Project_FCF!B18</f>
        <v>757.82300973469455</v>
      </c>
      <c r="D7229" s="4"/>
      <c r="E7229" s="4"/>
    </row>
    <row r="7230" spans="1:5" x14ac:dyDescent="0.3">
      <c r="A7230" s="9">
        <v>7222</v>
      </c>
      <c r="B7230" s="10">
        <f t="shared" ca="1" si="112"/>
        <v>8.302494906405275E-2</v>
      </c>
      <c r="C7230" s="10">
        <f ca="1">NPV(B7230,Project_FCF!C18:J18)+Project_FCF!B18</f>
        <v>913.19206872326959</v>
      </c>
      <c r="D7230" s="4"/>
      <c r="E7230" s="4"/>
    </row>
    <row r="7231" spans="1:5" x14ac:dyDescent="0.3">
      <c r="A7231" s="9">
        <v>7223</v>
      </c>
      <c r="B7231" s="10">
        <f t="shared" ca="1" si="112"/>
        <v>7.4168599278871192E-2</v>
      </c>
      <c r="C7231" s="10">
        <f ca="1">NPV(B7231,Project_FCF!C18:J18)+Project_FCF!B18</f>
        <v>988.57711855225534</v>
      </c>
      <c r="D7231" s="4"/>
      <c r="E7231" s="4"/>
    </row>
    <row r="7232" spans="1:5" x14ac:dyDescent="0.3">
      <c r="A7232" s="9">
        <v>7224</v>
      </c>
      <c r="B7232" s="10">
        <f t="shared" ca="1" si="112"/>
        <v>7.3648932772498565E-2</v>
      </c>
      <c r="C7232" s="10">
        <f ca="1">NPV(B7232,Project_FCF!C18:J18)+Project_FCF!B18</f>
        <v>993.16793202511212</v>
      </c>
      <c r="D7232" s="4"/>
      <c r="E7232" s="4"/>
    </row>
    <row r="7233" spans="1:5" x14ac:dyDescent="0.3">
      <c r="A7233" s="9">
        <v>7225</v>
      </c>
      <c r="B7233" s="10">
        <f t="shared" ca="1" si="112"/>
        <v>9.9542911308487331E-2</v>
      </c>
      <c r="C7233" s="10">
        <f ca="1">NPV(B7233,Project_FCF!C18:J18)+Project_FCF!B18</f>
        <v>785.92864933346709</v>
      </c>
      <c r="D7233" s="4"/>
      <c r="E7233" s="4"/>
    </row>
    <row r="7234" spans="1:5" x14ac:dyDescent="0.3">
      <c r="A7234" s="9">
        <v>7226</v>
      </c>
      <c r="B7234" s="10">
        <f t="shared" ca="1" si="112"/>
        <v>7.4655790412592404E-2</v>
      </c>
      <c r="C7234" s="10">
        <f ca="1">NPV(B7234,Project_FCF!C18:J18)+Project_FCF!B18</f>
        <v>984.29048135896142</v>
      </c>
      <c r="D7234" s="4"/>
      <c r="E7234" s="4"/>
    </row>
    <row r="7235" spans="1:5" x14ac:dyDescent="0.3">
      <c r="A7235" s="9">
        <v>7227</v>
      </c>
      <c r="B7235" s="10">
        <f t="shared" ca="1" si="112"/>
        <v>9.9083824961343089E-2</v>
      </c>
      <c r="C7235" s="10">
        <f ca="1">NPV(B7235,Project_FCF!C18:J18)+Project_FCF!B18</f>
        <v>789.24802406252502</v>
      </c>
      <c r="D7235" s="4"/>
      <c r="E7235" s="4"/>
    </row>
    <row r="7236" spans="1:5" x14ac:dyDescent="0.3">
      <c r="A7236" s="9">
        <v>7228</v>
      </c>
      <c r="B7236" s="10">
        <f t="shared" ca="1" si="112"/>
        <v>6.7317266025481812E-2</v>
      </c>
      <c r="C7236" s="10">
        <f ca="1">NPV(B7236,Project_FCF!C18:J18)+Project_FCF!B18</f>
        <v>1050.6659062858839</v>
      </c>
      <c r="D7236" s="4"/>
      <c r="E7236" s="4"/>
    </row>
    <row r="7237" spans="1:5" x14ac:dyDescent="0.3">
      <c r="A7237" s="9">
        <v>7229</v>
      </c>
      <c r="B7237" s="10">
        <f t="shared" ca="1" si="112"/>
        <v>9.0186132612899095E-2</v>
      </c>
      <c r="C7237" s="10">
        <f ca="1">NPV(B7237,Project_FCF!C18:J18)+Project_FCF!B18</f>
        <v>855.98725392263736</v>
      </c>
      <c r="D7237" s="4"/>
      <c r="E7237" s="4"/>
    </row>
    <row r="7238" spans="1:5" x14ac:dyDescent="0.3">
      <c r="A7238" s="9">
        <v>7230</v>
      </c>
      <c r="B7238" s="10">
        <f t="shared" ca="1" si="112"/>
        <v>7.0215067194722203E-2</v>
      </c>
      <c r="C7238" s="10">
        <f ca="1">NPV(B7238,Project_FCF!C18:J18)+Project_FCF!B18</f>
        <v>1023.9880681021018</v>
      </c>
      <c r="D7238" s="4"/>
      <c r="E7238" s="4"/>
    </row>
    <row r="7239" spans="1:5" x14ac:dyDescent="0.3">
      <c r="A7239" s="9">
        <v>7231</v>
      </c>
      <c r="B7239" s="10">
        <f t="shared" ca="1" si="112"/>
        <v>9.0676305247324035E-2</v>
      </c>
      <c r="C7239" s="10">
        <f ca="1">NPV(B7239,Project_FCF!C18:J18)+Project_FCF!B18</f>
        <v>852.18835833635922</v>
      </c>
      <c r="D7239" s="4"/>
      <c r="E7239" s="4"/>
    </row>
    <row r="7240" spans="1:5" x14ac:dyDescent="0.3">
      <c r="A7240" s="9">
        <v>7232</v>
      </c>
      <c r="B7240" s="10">
        <f t="shared" ca="1" si="112"/>
        <v>9.1435737634839642E-2</v>
      </c>
      <c r="C7240" s="10">
        <f ca="1">NPV(B7240,Project_FCF!C18:J18)+Project_FCF!B18</f>
        <v>846.33145927434566</v>
      </c>
      <c r="D7240" s="4"/>
      <c r="E7240" s="4"/>
    </row>
    <row r="7241" spans="1:5" x14ac:dyDescent="0.3">
      <c r="A7241" s="9">
        <v>7233</v>
      </c>
      <c r="B7241" s="10">
        <f t="shared" ref="B7241:B7304" ca="1" si="113">$B$4+RAND()*($B$5-$B$4)</f>
        <v>0.10120819278690266</v>
      </c>
      <c r="C7241" s="10">
        <f ca="1">NPV(B7241,Project_FCF!C18:J18)+Project_FCF!B18</f>
        <v>773.9869260169603</v>
      </c>
      <c r="D7241" s="4"/>
      <c r="E7241" s="4"/>
    </row>
    <row r="7242" spans="1:5" x14ac:dyDescent="0.3">
      <c r="A7242" s="9">
        <v>7234</v>
      </c>
      <c r="B7242" s="10">
        <f t="shared" ca="1" si="113"/>
        <v>7.1550090381906184E-2</v>
      </c>
      <c r="C7242" s="10">
        <f ca="1">NPV(B7242,Project_FCF!C18:J18)+Project_FCF!B18</f>
        <v>1011.9049054158277</v>
      </c>
      <c r="D7242" s="4"/>
      <c r="E7242" s="4"/>
    </row>
    <row r="7243" spans="1:5" x14ac:dyDescent="0.3">
      <c r="A7243" s="9">
        <v>7235</v>
      </c>
      <c r="B7243" s="10">
        <f t="shared" ca="1" si="113"/>
        <v>7.954067439240875E-2</v>
      </c>
      <c r="C7243" s="10">
        <f ca="1">NPV(B7243,Project_FCF!C18:J18)+Project_FCF!B18</f>
        <v>942.21832822430088</v>
      </c>
      <c r="D7243" s="4"/>
      <c r="E7243" s="4"/>
    </row>
    <row r="7244" spans="1:5" x14ac:dyDescent="0.3">
      <c r="A7244" s="9">
        <v>7236</v>
      </c>
      <c r="B7244" s="10">
        <f t="shared" ca="1" si="113"/>
        <v>7.7364564608655539E-2</v>
      </c>
      <c r="C7244" s="10">
        <f ca="1">NPV(B7244,Project_FCF!C18:J18)+Project_FCF!B18</f>
        <v>960.75848339604977</v>
      </c>
      <c r="D7244" s="4"/>
      <c r="E7244" s="4"/>
    </row>
    <row r="7245" spans="1:5" x14ac:dyDescent="0.3">
      <c r="A7245" s="9">
        <v>7237</v>
      </c>
      <c r="B7245" s="10">
        <f t="shared" ca="1" si="113"/>
        <v>0.10025037411695978</v>
      </c>
      <c r="C7245" s="10">
        <f ca="1">NPV(B7245,Project_FCF!C18:J18)+Project_FCF!B18</f>
        <v>780.83655616061333</v>
      </c>
      <c r="D7245" s="4"/>
      <c r="E7245" s="4"/>
    </row>
    <row r="7246" spans="1:5" x14ac:dyDescent="0.3">
      <c r="A7246" s="9">
        <v>7238</v>
      </c>
      <c r="B7246" s="10">
        <f t="shared" ca="1" si="113"/>
        <v>7.1000374756720802E-2</v>
      </c>
      <c r="C7246" s="10">
        <f ca="1">NPV(B7246,Project_FCF!C18:J18)+Project_FCF!B18</f>
        <v>1016.8646618444354</v>
      </c>
      <c r="D7246" s="4"/>
      <c r="E7246" s="4"/>
    </row>
    <row r="7247" spans="1:5" x14ac:dyDescent="0.3">
      <c r="A7247" s="9">
        <v>7239</v>
      </c>
      <c r="B7247" s="10">
        <f t="shared" ca="1" si="113"/>
        <v>7.4454294943665192E-2</v>
      </c>
      <c r="C7247" s="10">
        <f ca="1">NPV(B7247,Project_FCF!C18:J18)+Project_FCF!B18</f>
        <v>986.06135140676179</v>
      </c>
      <c r="D7247" s="4"/>
      <c r="E7247" s="4"/>
    </row>
    <row r="7248" spans="1:5" x14ac:dyDescent="0.3">
      <c r="A7248" s="9">
        <v>7240</v>
      </c>
      <c r="B7248" s="10">
        <f t="shared" ca="1" si="113"/>
        <v>7.4762704134943889E-2</v>
      </c>
      <c r="C7248" s="10">
        <f ca="1">NPV(B7248,Project_FCF!C18:J18)+Project_FCF!B18</f>
        <v>983.35201261491784</v>
      </c>
      <c r="D7248" s="4"/>
      <c r="E7248" s="4"/>
    </row>
    <row r="7249" spans="1:5" x14ac:dyDescent="0.3">
      <c r="A7249" s="9">
        <v>7241</v>
      </c>
      <c r="B7249" s="10">
        <f t="shared" ca="1" si="113"/>
        <v>0.1004088050676088</v>
      </c>
      <c r="C7249" s="10">
        <f ca="1">NPV(B7249,Project_FCF!C18:J18)+Project_FCF!B18</f>
        <v>779.70005197860974</v>
      </c>
      <c r="D7249" s="4"/>
      <c r="E7249" s="4"/>
    </row>
    <row r="7250" spans="1:5" x14ac:dyDescent="0.3">
      <c r="A7250" s="9">
        <v>7242</v>
      </c>
      <c r="B7250" s="10">
        <f t="shared" ca="1" si="113"/>
        <v>7.7734955893561428E-2</v>
      </c>
      <c r="C7250" s="10">
        <f ca="1">NPV(B7250,Project_FCF!C18:J18)+Project_FCF!B18</f>
        <v>957.58008526896174</v>
      </c>
      <c r="D7250" s="4"/>
      <c r="E7250" s="4"/>
    </row>
    <row r="7251" spans="1:5" x14ac:dyDescent="0.3">
      <c r="A7251" s="9">
        <v>7243</v>
      </c>
      <c r="B7251" s="10">
        <f t="shared" ca="1" si="113"/>
        <v>9.7065372442375716E-2</v>
      </c>
      <c r="C7251" s="10">
        <f ca="1">NPV(B7251,Project_FCF!C18:J18)+Project_FCF!B18</f>
        <v>803.98377720484746</v>
      </c>
      <c r="D7251" s="4"/>
      <c r="E7251" s="4"/>
    </row>
    <row r="7252" spans="1:5" x14ac:dyDescent="0.3">
      <c r="A7252" s="9">
        <v>7244</v>
      </c>
      <c r="B7252" s="10">
        <f t="shared" ca="1" si="113"/>
        <v>0.10181217076153379</v>
      </c>
      <c r="C7252" s="10">
        <f ca="1">NPV(B7252,Project_FCF!C18:J18)+Project_FCF!B18</f>
        <v>769.69381918277054</v>
      </c>
      <c r="D7252" s="4"/>
      <c r="E7252" s="4"/>
    </row>
    <row r="7253" spans="1:5" x14ac:dyDescent="0.3">
      <c r="A7253" s="9">
        <v>7245</v>
      </c>
      <c r="B7253" s="10">
        <f t="shared" ca="1" si="113"/>
        <v>0.1026270150787198</v>
      </c>
      <c r="C7253" s="10">
        <f ca="1">NPV(B7253,Project_FCF!C18:J18)+Project_FCF!B18</f>
        <v>763.93364012355005</v>
      </c>
      <c r="D7253" s="4"/>
      <c r="E7253" s="4"/>
    </row>
    <row r="7254" spans="1:5" x14ac:dyDescent="0.3">
      <c r="A7254" s="9">
        <v>7246</v>
      </c>
      <c r="B7254" s="10">
        <f t="shared" ca="1" si="113"/>
        <v>0.10193856152121356</v>
      </c>
      <c r="C7254" s="10">
        <f ca="1">NPV(B7254,Project_FCF!C18:J18)+Project_FCF!B18</f>
        <v>768.79796949020283</v>
      </c>
      <c r="D7254" s="4"/>
      <c r="E7254" s="4"/>
    </row>
    <row r="7255" spans="1:5" x14ac:dyDescent="0.3">
      <c r="A7255" s="9">
        <v>7247</v>
      </c>
      <c r="B7255" s="10">
        <f t="shared" ca="1" si="113"/>
        <v>0.10104133274830387</v>
      </c>
      <c r="C7255" s="10">
        <f ca="1">NPV(B7255,Project_FCF!C18:J18)+Project_FCF!B18</f>
        <v>775.17652765027697</v>
      </c>
      <c r="D7255" s="4"/>
      <c r="E7255" s="4"/>
    </row>
    <row r="7256" spans="1:5" x14ac:dyDescent="0.3">
      <c r="A7256" s="9">
        <v>7248</v>
      </c>
      <c r="B7256" s="10">
        <f t="shared" ca="1" si="113"/>
        <v>8.500300038705097E-2</v>
      </c>
      <c r="C7256" s="10">
        <f ca="1">NPV(B7256,Project_FCF!C18:J18)+Project_FCF!B18</f>
        <v>897.06660472135695</v>
      </c>
      <c r="D7256" s="4"/>
      <c r="E7256" s="4"/>
    </row>
    <row r="7257" spans="1:5" x14ac:dyDescent="0.3">
      <c r="A7257" s="9">
        <v>7249</v>
      </c>
      <c r="B7257" s="10">
        <f t="shared" ca="1" si="113"/>
        <v>8.3613437770586788E-2</v>
      </c>
      <c r="C7257" s="10">
        <f ca="1">NPV(B7257,Project_FCF!C18:J18)+Project_FCF!B18</f>
        <v>908.36820377456615</v>
      </c>
      <c r="D7257" s="4"/>
      <c r="E7257" s="4"/>
    </row>
    <row r="7258" spans="1:5" x14ac:dyDescent="0.3">
      <c r="A7258" s="9">
        <v>7250</v>
      </c>
      <c r="B7258" s="10">
        <f t="shared" ca="1" si="113"/>
        <v>0.10371832229852365</v>
      </c>
      <c r="C7258" s="10">
        <f ca="1">NPV(B7258,Project_FCF!C18:J18)+Project_FCF!B18</f>
        <v>756.27588445061383</v>
      </c>
      <c r="D7258" s="4"/>
      <c r="E7258" s="4"/>
    </row>
    <row r="7259" spans="1:5" x14ac:dyDescent="0.3">
      <c r="A7259" s="9">
        <v>7251</v>
      </c>
      <c r="B7259" s="10">
        <f t="shared" ca="1" si="113"/>
        <v>8.0957754464055356E-2</v>
      </c>
      <c r="C7259" s="10">
        <f ca="1">NPV(B7259,Project_FCF!C18:J18)+Project_FCF!B18</f>
        <v>930.31626844877974</v>
      </c>
      <c r="D7259" s="4"/>
      <c r="E7259" s="4"/>
    </row>
    <row r="7260" spans="1:5" x14ac:dyDescent="0.3">
      <c r="A7260" s="9">
        <v>7252</v>
      </c>
      <c r="B7260" s="10">
        <f t="shared" ca="1" si="113"/>
        <v>8.8546665141324726E-2</v>
      </c>
      <c r="C7260" s="10">
        <f ca="1">NPV(B7260,Project_FCF!C18:J18)+Project_FCF!B18</f>
        <v>868.80016348006666</v>
      </c>
      <c r="D7260" s="4"/>
      <c r="E7260" s="4"/>
    </row>
    <row r="7261" spans="1:5" x14ac:dyDescent="0.3">
      <c r="A7261" s="9">
        <v>7253</v>
      </c>
      <c r="B7261" s="10">
        <f t="shared" ca="1" si="113"/>
        <v>6.8041113134231376E-2</v>
      </c>
      <c r="C7261" s="10">
        <f ca="1">NPV(B7261,Project_FCF!C18:J18)+Project_FCF!B18</f>
        <v>1043.9436334227933</v>
      </c>
      <c r="D7261" s="4"/>
      <c r="E7261" s="4"/>
    </row>
    <row r="7262" spans="1:5" x14ac:dyDescent="0.3">
      <c r="A7262" s="9">
        <v>7254</v>
      </c>
      <c r="B7262" s="10">
        <f t="shared" ca="1" si="113"/>
        <v>7.1802619457946262E-2</v>
      </c>
      <c r="C7262" s="10">
        <f ca="1">NPV(B7262,Project_FCF!C18:J18)+Project_FCF!B18</f>
        <v>1009.6338022474336</v>
      </c>
      <c r="D7262" s="4"/>
      <c r="E7262" s="4"/>
    </row>
    <row r="7263" spans="1:5" x14ac:dyDescent="0.3">
      <c r="A7263" s="9">
        <v>7255</v>
      </c>
      <c r="B7263" s="10">
        <f t="shared" ca="1" si="113"/>
        <v>7.343310251437922E-2</v>
      </c>
      <c r="C7263" s="10">
        <f ca="1">NPV(B7263,Project_FCF!C18:J18)+Project_FCF!B18</f>
        <v>995.08022359053143</v>
      </c>
      <c r="D7263" s="4"/>
      <c r="E7263" s="4"/>
    </row>
    <row r="7264" spans="1:5" x14ac:dyDescent="0.3">
      <c r="A7264" s="9">
        <v>7256</v>
      </c>
      <c r="B7264" s="10">
        <f t="shared" ca="1" si="113"/>
        <v>7.9094883792052775E-2</v>
      </c>
      <c r="C7264" s="10">
        <f ca="1">NPV(B7264,Project_FCF!C18:J18)+Project_FCF!B18</f>
        <v>945.99031183992565</v>
      </c>
      <c r="D7264" s="4"/>
      <c r="E7264" s="4"/>
    </row>
    <row r="7265" spans="1:5" x14ac:dyDescent="0.3">
      <c r="A7265" s="9">
        <v>7257</v>
      </c>
      <c r="B7265" s="10">
        <f t="shared" ca="1" si="113"/>
        <v>9.4309686657214079E-2</v>
      </c>
      <c r="C7265" s="10">
        <f ca="1">NPV(B7265,Project_FCF!C18:J18)+Project_FCF!B18</f>
        <v>824.47991895361019</v>
      </c>
      <c r="D7265" s="4"/>
      <c r="E7265" s="4"/>
    </row>
    <row r="7266" spans="1:5" x14ac:dyDescent="0.3">
      <c r="A7266" s="9">
        <v>7258</v>
      </c>
      <c r="B7266" s="10">
        <f t="shared" ca="1" si="113"/>
        <v>7.6442288602481478E-2</v>
      </c>
      <c r="C7266" s="10">
        <f ca="1">NPV(B7266,Project_FCF!C18:J18)+Project_FCF!B18</f>
        <v>968.71358038988933</v>
      </c>
      <c r="D7266" s="4"/>
      <c r="E7266" s="4"/>
    </row>
    <row r="7267" spans="1:5" x14ac:dyDescent="0.3">
      <c r="A7267" s="9">
        <v>7259</v>
      </c>
      <c r="B7267" s="10">
        <f t="shared" ca="1" si="113"/>
        <v>9.6880102450463926E-2</v>
      </c>
      <c r="C7267" s="10">
        <f ca="1">NPV(B7267,Project_FCF!C18:J18)+Project_FCF!B18</f>
        <v>805.34799233055583</v>
      </c>
      <c r="D7267" s="4"/>
      <c r="E7267" s="4"/>
    </row>
    <row r="7268" spans="1:5" x14ac:dyDescent="0.3">
      <c r="A7268" s="9">
        <v>7260</v>
      </c>
      <c r="B7268" s="10">
        <f t="shared" ca="1" si="113"/>
        <v>7.8296653212914624E-2</v>
      </c>
      <c r="C7268" s="10">
        <f ca="1">NPV(B7268,Project_FCF!C18:J18)+Project_FCF!B18</f>
        <v>952.77790191880536</v>
      </c>
      <c r="D7268" s="4"/>
      <c r="E7268" s="4"/>
    </row>
    <row r="7269" spans="1:5" x14ac:dyDescent="0.3">
      <c r="A7269" s="9">
        <v>7261</v>
      </c>
      <c r="B7269" s="10">
        <f t="shared" ca="1" si="113"/>
        <v>7.4202384129504112E-2</v>
      </c>
      <c r="C7269" s="10">
        <f ca="1">NPV(B7269,Project_FCF!C18:J18)+Project_FCF!B18</f>
        <v>988.27931774632293</v>
      </c>
      <c r="D7269" s="4"/>
      <c r="E7269" s="4"/>
    </row>
    <row r="7270" spans="1:5" x14ac:dyDescent="0.3">
      <c r="A7270" s="9">
        <v>7262</v>
      </c>
      <c r="B7270" s="10">
        <f t="shared" ca="1" si="113"/>
        <v>8.5596985303415168E-2</v>
      </c>
      <c r="C7270" s="10">
        <f ca="1">NPV(B7270,Project_FCF!C18:J18)+Project_FCF!B18</f>
        <v>892.27333229487954</v>
      </c>
      <c r="D7270" s="4"/>
      <c r="E7270" s="4"/>
    </row>
    <row r="7271" spans="1:5" x14ac:dyDescent="0.3">
      <c r="A7271" s="9">
        <v>7263</v>
      </c>
      <c r="B7271" s="10">
        <f t="shared" ca="1" si="113"/>
        <v>8.8960716483750896E-2</v>
      </c>
      <c r="C7271" s="10">
        <f ca="1">NPV(B7271,Project_FCF!C18:J18)+Project_FCF!B18</f>
        <v>865.54862699643218</v>
      </c>
      <c r="D7271" s="4"/>
      <c r="E7271" s="4"/>
    </row>
    <row r="7272" spans="1:5" x14ac:dyDescent="0.3">
      <c r="A7272" s="9">
        <v>7264</v>
      </c>
      <c r="B7272" s="10">
        <f t="shared" ca="1" si="113"/>
        <v>8.0240490219532848E-2</v>
      </c>
      <c r="C7272" s="10">
        <f ca="1">NPV(B7272,Project_FCF!C18:J18)+Project_FCF!B18</f>
        <v>936.32383542121761</v>
      </c>
      <c r="D7272" s="4"/>
      <c r="E7272" s="4"/>
    </row>
    <row r="7273" spans="1:5" x14ac:dyDescent="0.3">
      <c r="A7273" s="9">
        <v>7265</v>
      </c>
      <c r="B7273" s="10">
        <f t="shared" ca="1" si="113"/>
        <v>9.7243127825472023E-2</v>
      </c>
      <c r="C7273" s="10">
        <f ca="1">NPV(B7273,Project_FCF!C18:J18)+Project_FCF!B18</f>
        <v>802.67674605744378</v>
      </c>
      <c r="D7273" s="4"/>
      <c r="E7273" s="4"/>
    </row>
    <row r="7274" spans="1:5" x14ac:dyDescent="0.3">
      <c r="A7274" s="9">
        <v>7266</v>
      </c>
      <c r="B7274" s="10">
        <f t="shared" ca="1" si="113"/>
        <v>8.3026296729941162E-2</v>
      </c>
      <c r="C7274" s="10">
        <f ca="1">NPV(B7274,Project_FCF!C18:J18)+Project_FCF!B18</f>
        <v>913.180996166765</v>
      </c>
      <c r="D7274" s="4"/>
      <c r="E7274" s="4"/>
    </row>
    <row r="7275" spans="1:5" x14ac:dyDescent="0.3">
      <c r="A7275" s="9">
        <v>7267</v>
      </c>
      <c r="B7275" s="10">
        <f t="shared" ca="1" si="113"/>
        <v>6.9362552963741456E-2</v>
      </c>
      <c r="C7275" s="10">
        <f ca="1">NPV(B7275,Project_FCF!C18:J18)+Project_FCF!B18</f>
        <v>1031.7721012674615</v>
      </c>
      <c r="D7275" s="4"/>
      <c r="E7275" s="4"/>
    </row>
    <row r="7276" spans="1:5" x14ac:dyDescent="0.3">
      <c r="A7276" s="9">
        <v>7268</v>
      </c>
      <c r="B7276" s="10">
        <f t="shared" ca="1" si="113"/>
        <v>7.0341796850621086E-2</v>
      </c>
      <c r="C7276" s="10">
        <f ca="1">NPV(B7276,Project_FCF!C18:J18)+Project_FCF!B18</f>
        <v>1022.8354827822282</v>
      </c>
      <c r="D7276" s="4"/>
      <c r="E7276" s="4"/>
    </row>
    <row r="7277" spans="1:5" x14ac:dyDescent="0.3">
      <c r="A7277" s="9">
        <v>7269</v>
      </c>
      <c r="B7277" s="10">
        <f t="shared" ca="1" si="113"/>
        <v>8.8279627396386812E-2</v>
      </c>
      <c r="C7277" s="10">
        <f ca="1">NPV(B7277,Project_FCF!C18:J18)+Project_FCF!B18</f>
        <v>870.90283134094284</v>
      </c>
      <c r="D7277" s="4"/>
      <c r="E7277" s="4"/>
    </row>
    <row r="7278" spans="1:5" x14ac:dyDescent="0.3">
      <c r="A7278" s="9">
        <v>7270</v>
      </c>
      <c r="B7278" s="10">
        <f t="shared" ca="1" si="113"/>
        <v>8.8214810608429645E-2</v>
      </c>
      <c r="C7278" s="10">
        <f ca="1">NPV(B7278,Project_FCF!C18:J18)+Project_FCF!B18</f>
        <v>871.41386865457548</v>
      </c>
      <c r="D7278" s="4"/>
      <c r="E7278" s="4"/>
    </row>
    <row r="7279" spans="1:5" x14ac:dyDescent="0.3">
      <c r="A7279" s="9">
        <v>7271</v>
      </c>
      <c r="B7279" s="10">
        <f t="shared" ca="1" si="113"/>
        <v>9.7573144157184183E-2</v>
      </c>
      <c r="C7279" s="10">
        <f ca="1">NPV(B7279,Project_FCF!C18:J18)+Project_FCF!B18</f>
        <v>800.25494059700145</v>
      </c>
      <c r="D7279" s="4"/>
      <c r="E7279" s="4"/>
    </row>
    <row r="7280" spans="1:5" x14ac:dyDescent="0.3">
      <c r="A7280" s="9">
        <v>7272</v>
      </c>
      <c r="B7280" s="10">
        <f t="shared" ca="1" si="113"/>
        <v>6.5389096474226499E-2</v>
      </c>
      <c r="C7280" s="10">
        <f ca="1">NPV(B7280,Project_FCF!C18:J18)+Project_FCF!B18</f>
        <v>1068.7650375016265</v>
      </c>
      <c r="D7280" s="4"/>
      <c r="E7280" s="4"/>
    </row>
    <row r="7281" spans="1:5" x14ac:dyDescent="0.3">
      <c r="A7281" s="9">
        <v>7273</v>
      </c>
      <c r="B7281" s="10">
        <f t="shared" ca="1" si="113"/>
        <v>8.5908272635413521E-2</v>
      </c>
      <c r="C7281" s="10">
        <f ca="1">NPV(B7281,Project_FCF!C18:J18)+Project_FCF!B18</f>
        <v>889.77030310583609</v>
      </c>
      <c r="D7281" s="4"/>
      <c r="E7281" s="4"/>
    </row>
    <row r="7282" spans="1:5" x14ac:dyDescent="0.3">
      <c r="A7282" s="9">
        <v>7274</v>
      </c>
      <c r="B7282" s="10">
        <f t="shared" ca="1" si="113"/>
        <v>9.7286442590186387E-2</v>
      </c>
      <c r="C7282" s="10">
        <f ca="1">NPV(B7282,Project_FCF!C18:J18)+Project_FCF!B18</f>
        <v>802.3585279509482</v>
      </c>
      <c r="D7282" s="4"/>
      <c r="E7282" s="4"/>
    </row>
    <row r="7283" spans="1:5" x14ac:dyDescent="0.3">
      <c r="A7283" s="9">
        <v>7275</v>
      </c>
      <c r="B7283" s="10">
        <f t="shared" ca="1" si="113"/>
        <v>9.1036487209998768E-2</v>
      </c>
      <c r="C7283" s="10">
        <f ca="1">NPV(B7283,Project_FCF!C18:J18)+Project_FCF!B18</f>
        <v>849.40620904827711</v>
      </c>
      <c r="D7283" s="4"/>
      <c r="E7283" s="4"/>
    </row>
    <row r="7284" spans="1:5" x14ac:dyDescent="0.3">
      <c r="A7284" s="9">
        <v>7276</v>
      </c>
      <c r="B7284" s="10">
        <f t="shared" ca="1" si="113"/>
        <v>8.9688155560005561E-2</v>
      </c>
      <c r="C7284" s="10">
        <f ca="1">NPV(B7284,Project_FCF!C18:J18)+Project_FCF!B18</f>
        <v>859.86164159160762</v>
      </c>
      <c r="D7284" s="4"/>
      <c r="E7284" s="4"/>
    </row>
    <row r="7285" spans="1:5" x14ac:dyDescent="0.3">
      <c r="A7285" s="9">
        <v>7277</v>
      </c>
      <c r="B7285" s="10">
        <f t="shared" ca="1" si="113"/>
        <v>7.7235019441506514E-2</v>
      </c>
      <c r="C7285" s="10">
        <f ca="1">NPV(B7285,Project_FCF!C18:J18)+Project_FCF!B18</f>
        <v>961.87235008417611</v>
      </c>
      <c r="D7285" s="4"/>
      <c r="E7285" s="4"/>
    </row>
    <row r="7286" spans="1:5" x14ac:dyDescent="0.3">
      <c r="A7286" s="9">
        <v>7278</v>
      </c>
      <c r="B7286" s="10">
        <f t="shared" ca="1" si="113"/>
        <v>6.5397488810052876E-2</v>
      </c>
      <c r="C7286" s="10">
        <f ca="1">NPV(B7286,Project_FCF!C18:J18)+Project_FCF!B18</f>
        <v>1068.6856498964876</v>
      </c>
      <c r="D7286" s="4"/>
      <c r="E7286" s="4"/>
    </row>
    <row r="7287" spans="1:5" x14ac:dyDescent="0.3">
      <c r="A7287" s="9">
        <v>7279</v>
      </c>
      <c r="B7287" s="10">
        <f t="shared" ca="1" si="113"/>
        <v>7.6402281921500295E-2</v>
      </c>
      <c r="C7287" s="10">
        <f ca="1">NPV(B7287,Project_FCF!C18:J18)+Project_FCF!B18</f>
        <v>969.05998335045138</v>
      </c>
      <c r="D7287" s="4"/>
      <c r="E7287" s="4"/>
    </row>
    <row r="7288" spans="1:5" x14ac:dyDescent="0.3">
      <c r="A7288" s="9">
        <v>7280</v>
      </c>
      <c r="B7288" s="10">
        <f t="shared" ca="1" si="113"/>
        <v>8.3429697636121292E-2</v>
      </c>
      <c r="C7288" s="10">
        <f ca="1">NPV(B7288,Project_FCF!C18:J18)+Project_FCF!B18</f>
        <v>909.87191758551648</v>
      </c>
      <c r="D7288" s="4"/>
      <c r="E7288" s="4"/>
    </row>
    <row r="7289" spans="1:5" x14ac:dyDescent="0.3">
      <c r="A7289" s="9">
        <v>7281</v>
      </c>
      <c r="B7289" s="10">
        <f t="shared" ca="1" si="113"/>
        <v>7.9150590623498801E-2</v>
      </c>
      <c r="C7289" s="10">
        <f ca="1">NPV(B7289,Project_FCF!C18:J18)+Project_FCF!B18</f>
        <v>945.51822661263782</v>
      </c>
      <c r="D7289" s="4"/>
      <c r="E7289" s="4"/>
    </row>
    <row r="7290" spans="1:5" x14ac:dyDescent="0.3">
      <c r="A7290" s="9">
        <v>7282</v>
      </c>
      <c r="B7290" s="10">
        <f t="shared" ca="1" si="113"/>
        <v>9.8727784424340007E-2</v>
      </c>
      <c r="C7290" s="10">
        <f ca="1">NPV(B7290,Project_FCF!C18:J18)+Project_FCF!B18</f>
        <v>791.83051140766497</v>
      </c>
      <c r="D7290" s="4"/>
      <c r="E7290" s="4"/>
    </row>
    <row r="7291" spans="1:5" x14ac:dyDescent="0.3">
      <c r="A7291" s="9">
        <v>7283</v>
      </c>
      <c r="B7291" s="10">
        <f t="shared" ca="1" si="113"/>
        <v>7.8998795261677343E-2</v>
      </c>
      <c r="C7291" s="10">
        <f ca="1">NPV(B7291,Project_FCF!C18:J18)+Project_FCF!B18</f>
        <v>946.80510160093854</v>
      </c>
      <c r="D7291" s="4"/>
      <c r="E7291" s="4"/>
    </row>
    <row r="7292" spans="1:5" x14ac:dyDescent="0.3">
      <c r="A7292" s="9">
        <v>7284</v>
      </c>
      <c r="B7292" s="10">
        <f t="shared" ca="1" si="113"/>
        <v>7.000971763369522E-2</v>
      </c>
      <c r="C7292" s="10">
        <f ca="1">NPV(B7292,Project_FCF!C18:J18)+Project_FCF!B18</f>
        <v>1025.8581796206017</v>
      </c>
      <c r="D7292" s="4"/>
      <c r="E7292" s="4"/>
    </row>
    <row r="7293" spans="1:5" x14ac:dyDescent="0.3">
      <c r="A7293" s="9">
        <v>7285</v>
      </c>
      <c r="B7293" s="10">
        <f t="shared" ca="1" si="113"/>
        <v>7.6113216564550071E-2</v>
      </c>
      <c r="C7293" s="10">
        <f ca="1">NPV(B7293,Project_FCF!C18:J18)+Project_FCF!B18</f>
        <v>971.56617925532964</v>
      </c>
      <c r="D7293" s="4"/>
      <c r="E7293" s="4"/>
    </row>
    <row r="7294" spans="1:5" x14ac:dyDescent="0.3">
      <c r="A7294" s="9">
        <v>7286</v>
      </c>
      <c r="B7294" s="10">
        <f t="shared" ca="1" si="113"/>
        <v>0.10015914163869993</v>
      </c>
      <c r="C7294" s="10">
        <f ca="1">NPV(B7294,Project_FCF!C18:J18)+Project_FCF!B18</f>
        <v>781.49164722888281</v>
      </c>
      <c r="D7294" s="4"/>
      <c r="E7294" s="4"/>
    </row>
    <row r="7295" spans="1:5" x14ac:dyDescent="0.3">
      <c r="A7295" s="9">
        <v>7287</v>
      </c>
      <c r="B7295" s="10">
        <f t="shared" ca="1" si="113"/>
        <v>9.4772911575614516E-2</v>
      </c>
      <c r="C7295" s="10">
        <f ca="1">NPV(B7295,Project_FCF!C18:J18)+Project_FCF!B18</f>
        <v>821.00364195149791</v>
      </c>
      <c r="D7295" s="4"/>
      <c r="E7295" s="4"/>
    </row>
    <row r="7296" spans="1:5" x14ac:dyDescent="0.3">
      <c r="A7296" s="9">
        <v>7288</v>
      </c>
      <c r="B7296" s="10">
        <f t="shared" ca="1" si="113"/>
        <v>7.6226036014593587E-2</v>
      </c>
      <c r="C7296" s="10">
        <f ca="1">NPV(B7296,Project_FCF!C18:J18)+Project_FCF!B18</f>
        <v>970.58734746070854</v>
      </c>
      <c r="D7296" s="4"/>
      <c r="E7296" s="4"/>
    </row>
    <row r="7297" spans="1:5" x14ac:dyDescent="0.3">
      <c r="A7297" s="9">
        <v>7289</v>
      </c>
      <c r="B7297" s="10">
        <f t="shared" ca="1" si="113"/>
        <v>0.1009122054320496</v>
      </c>
      <c r="C7297" s="10">
        <f ca="1">NPV(B7297,Project_FCF!C18:J18)+Project_FCF!B18</f>
        <v>776.09817816960299</v>
      </c>
      <c r="D7297" s="4"/>
      <c r="E7297" s="4"/>
    </row>
    <row r="7298" spans="1:5" x14ac:dyDescent="0.3">
      <c r="A7298" s="9">
        <v>7290</v>
      </c>
      <c r="B7298" s="10">
        <f t="shared" ca="1" si="113"/>
        <v>7.7377872410500634E-2</v>
      </c>
      <c r="C7298" s="10">
        <f ca="1">NPV(B7298,Project_FCF!C18:J18)+Project_FCF!B18</f>
        <v>960.64412416633809</v>
      </c>
      <c r="D7298" s="4"/>
      <c r="E7298" s="4"/>
    </row>
    <row r="7299" spans="1:5" x14ac:dyDescent="0.3">
      <c r="A7299" s="9">
        <v>7291</v>
      </c>
      <c r="B7299" s="10">
        <f t="shared" ca="1" si="113"/>
        <v>8.5416603441380815E-2</v>
      </c>
      <c r="C7299" s="10">
        <f ca="1">NPV(B7299,Project_FCF!C18:J18)+Project_FCF!B18</f>
        <v>893.72658125189309</v>
      </c>
      <c r="D7299" s="4"/>
      <c r="E7299" s="4"/>
    </row>
    <row r="7300" spans="1:5" x14ac:dyDescent="0.3">
      <c r="A7300" s="9">
        <v>7292</v>
      </c>
      <c r="B7300" s="10">
        <f t="shared" ca="1" si="113"/>
        <v>9.6885352639248509E-2</v>
      </c>
      <c r="C7300" s="10">
        <f ca="1">NPV(B7300,Project_FCF!C18:J18)+Project_FCF!B18</f>
        <v>805.30930600594365</v>
      </c>
      <c r="D7300" s="4"/>
      <c r="E7300" s="4"/>
    </row>
    <row r="7301" spans="1:5" x14ac:dyDescent="0.3">
      <c r="A7301" s="9">
        <v>7293</v>
      </c>
      <c r="B7301" s="10">
        <f t="shared" ca="1" si="113"/>
        <v>6.9244750614301367E-2</v>
      </c>
      <c r="C7301" s="10">
        <f ca="1">NPV(B7301,Project_FCF!C18:J18)+Project_FCF!B18</f>
        <v>1032.8519145201815</v>
      </c>
      <c r="D7301" s="4"/>
      <c r="E7301" s="4"/>
    </row>
    <row r="7302" spans="1:5" x14ac:dyDescent="0.3">
      <c r="A7302" s="9">
        <v>7294</v>
      </c>
      <c r="B7302" s="10">
        <f t="shared" ca="1" si="113"/>
        <v>6.6475522854870697E-2</v>
      </c>
      <c r="C7302" s="10">
        <f ca="1">NPV(B7302,Project_FCF!C18:J18)+Project_FCF!B18</f>
        <v>1058.532502936599</v>
      </c>
      <c r="D7302" s="4"/>
      <c r="E7302" s="4"/>
    </row>
    <row r="7303" spans="1:5" x14ac:dyDescent="0.3">
      <c r="A7303" s="9">
        <v>7295</v>
      </c>
      <c r="B7303" s="10">
        <f t="shared" ca="1" si="113"/>
        <v>8.5518947264423106E-2</v>
      </c>
      <c r="C7303" s="10">
        <f ca="1">NPV(B7303,Project_FCF!C18:J18)+Project_FCF!B18</f>
        <v>892.90179284582564</v>
      </c>
      <c r="D7303" s="4"/>
      <c r="E7303" s="4"/>
    </row>
    <row r="7304" spans="1:5" x14ac:dyDescent="0.3">
      <c r="A7304" s="9">
        <v>7296</v>
      </c>
      <c r="B7304" s="10">
        <f t="shared" ca="1" si="113"/>
        <v>8.4031378142465446E-2</v>
      </c>
      <c r="C7304" s="10">
        <f ca="1">NPV(B7304,Project_FCF!C18:J18)+Project_FCF!B18</f>
        <v>904.95594366297928</v>
      </c>
      <c r="D7304" s="4"/>
      <c r="E7304" s="4"/>
    </row>
    <row r="7305" spans="1:5" x14ac:dyDescent="0.3">
      <c r="A7305" s="9">
        <v>7297</v>
      </c>
      <c r="B7305" s="10">
        <f t="shared" ref="B7305:B7368" ca="1" si="114">$B$4+RAND()*($B$5-$B$4)</f>
        <v>9.8315769848312334E-2</v>
      </c>
      <c r="C7305" s="10">
        <f ca="1">NPV(B7305,Project_FCF!C18:J18)+Project_FCF!B18</f>
        <v>794.82794369804537</v>
      </c>
      <c r="D7305" s="4"/>
      <c r="E7305" s="4"/>
    </row>
    <row r="7306" spans="1:5" x14ac:dyDescent="0.3">
      <c r="A7306" s="9">
        <v>7298</v>
      </c>
      <c r="B7306" s="10">
        <f t="shared" ca="1" si="114"/>
        <v>9.3004302630365188E-2</v>
      </c>
      <c r="C7306" s="10">
        <f ca="1">NPV(B7306,Project_FCF!C18:J18)+Project_FCF!B18</f>
        <v>834.34422404290899</v>
      </c>
      <c r="D7306" s="4"/>
      <c r="E7306" s="4"/>
    </row>
    <row r="7307" spans="1:5" x14ac:dyDescent="0.3">
      <c r="A7307" s="9">
        <v>7299</v>
      </c>
      <c r="B7307" s="10">
        <f t="shared" ca="1" si="114"/>
        <v>7.4950504231557871E-2</v>
      </c>
      <c r="C7307" s="10">
        <f ca="1">NPV(B7307,Project_FCF!C18:J18)+Project_FCF!B18</f>
        <v>981.7054773380496</v>
      </c>
      <c r="D7307" s="4"/>
      <c r="E7307" s="4"/>
    </row>
    <row r="7308" spans="1:5" x14ac:dyDescent="0.3">
      <c r="A7308" s="9">
        <v>7300</v>
      </c>
      <c r="B7308" s="10">
        <f t="shared" ca="1" si="114"/>
        <v>7.0591017961174521E-2</v>
      </c>
      <c r="C7308" s="10">
        <f ca="1">NPV(B7308,Project_FCF!C18:J18)+Project_FCF!B18</f>
        <v>1020.5722746006352</v>
      </c>
      <c r="D7308" s="4"/>
      <c r="E7308" s="4"/>
    </row>
    <row r="7309" spans="1:5" x14ac:dyDescent="0.3">
      <c r="A7309" s="9">
        <v>7301</v>
      </c>
      <c r="B7309" s="10">
        <f t="shared" ca="1" si="114"/>
        <v>8.655239133217725E-2</v>
      </c>
      <c r="C7309" s="10">
        <f ca="1">NPV(B7309,Project_FCF!C18:J18)+Project_FCF!B18</f>
        <v>884.61049248472955</v>
      </c>
      <c r="D7309" s="4"/>
      <c r="E7309" s="4"/>
    </row>
    <row r="7310" spans="1:5" x14ac:dyDescent="0.3">
      <c r="A7310" s="9">
        <v>7302</v>
      </c>
      <c r="B7310" s="10">
        <f t="shared" ca="1" si="114"/>
        <v>9.4521132929562657E-2</v>
      </c>
      <c r="C7310" s="10">
        <f ca="1">NPV(B7310,Project_FCF!C18:J18)+Project_FCF!B18</f>
        <v>822.89155605430892</v>
      </c>
      <c r="D7310" s="4"/>
      <c r="E7310" s="4"/>
    </row>
    <row r="7311" spans="1:5" x14ac:dyDescent="0.3">
      <c r="A7311" s="9">
        <v>7303</v>
      </c>
      <c r="B7311" s="10">
        <f t="shared" ca="1" si="114"/>
        <v>9.0329001327926706E-2</v>
      </c>
      <c r="C7311" s="10">
        <f ca="1">NPV(B7311,Project_FCF!C18:J18)+Project_FCF!B18</f>
        <v>854.87849422598583</v>
      </c>
      <c r="D7311" s="4"/>
      <c r="E7311" s="4"/>
    </row>
    <row r="7312" spans="1:5" x14ac:dyDescent="0.3">
      <c r="A7312" s="9">
        <v>7304</v>
      </c>
      <c r="B7312" s="10">
        <f t="shared" ca="1" si="114"/>
        <v>6.7804476446640366E-2</v>
      </c>
      <c r="C7312" s="10">
        <f ca="1">NPV(B7312,Project_FCF!C18:J18)+Project_FCF!B18</f>
        <v>1046.1369395008351</v>
      </c>
      <c r="D7312" s="4"/>
      <c r="E7312" s="4"/>
    </row>
    <row r="7313" spans="1:5" x14ac:dyDescent="0.3">
      <c r="A7313" s="9">
        <v>7305</v>
      </c>
      <c r="B7313" s="10">
        <f t="shared" ca="1" si="114"/>
        <v>9.9578373168765971E-2</v>
      </c>
      <c r="C7313" s="10">
        <f ca="1">NPV(B7313,Project_FCF!C18:J18)+Project_FCF!B18</f>
        <v>785.67273887258239</v>
      </c>
      <c r="D7313" s="4"/>
      <c r="E7313" s="4"/>
    </row>
    <row r="7314" spans="1:5" x14ac:dyDescent="0.3">
      <c r="A7314" s="9">
        <v>7306</v>
      </c>
      <c r="B7314" s="10">
        <f t="shared" ca="1" si="114"/>
        <v>8.0127799924307269E-2</v>
      </c>
      <c r="C7314" s="10">
        <f ca="1">NPV(B7314,Project_FCF!C18:J18)+Project_FCF!B18</f>
        <v>937.2708050525971</v>
      </c>
      <c r="D7314" s="4"/>
      <c r="E7314" s="4"/>
    </row>
    <row r="7315" spans="1:5" x14ac:dyDescent="0.3">
      <c r="A7315" s="9">
        <v>7307</v>
      </c>
      <c r="B7315" s="10">
        <f t="shared" ca="1" si="114"/>
        <v>0.10354189143421966</v>
      </c>
      <c r="C7315" s="10">
        <f ca="1">NPV(B7315,Project_FCF!C18:J18)+Project_FCF!B18</f>
        <v>757.5095268777402</v>
      </c>
      <c r="D7315" s="4"/>
      <c r="E7315" s="4"/>
    </row>
    <row r="7316" spans="1:5" x14ac:dyDescent="0.3">
      <c r="A7316" s="9">
        <v>7308</v>
      </c>
      <c r="B7316" s="10">
        <f t="shared" ca="1" si="114"/>
        <v>8.4548235314629502E-2</v>
      </c>
      <c r="C7316" s="10">
        <f ca="1">NPV(B7316,Project_FCF!C18:J18)+Project_FCF!B18</f>
        <v>900.75164660576729</v>
      </c>
      <c r="D7316" s="4"/>
      <c r="E7316" s="4"/>
    </row>
    <row r="7317" spans="1:5" x14ac:dyDescent="0.3">
      <c r="A7317" s="9">
        <v>7309</v>
      </c>
      <c r="B7317" s="10">
        <f t="shared" ca="1" si="114"/>
        <v>9.6479041895293341E-2</v>
      </c>
      <c r="C7317" s="10">
        <f ca="1">NPV(B7317,Project_FCF!C18:J18)+Project_FCF!B18</f>
        <v>808.3079179295521</v>
      </c>
      <c r="D7317" s="4"/>
      <c r="E7317" s="4"/>
    </row>
    <row r="7318" spans="1:5" x14ac:dyDescent="0.3">
      <c r="A7318" s="9">
        <v>7310</v>
      </c>
      <c r="B7318" s="10">
        <f t="shared" ca="1" si="114"/>
        <v>7.0607032550314405E-2</v>
      </c>
      <c r="C7318" s="10">
        <f ca="1">NPV(B7318,Project_FCF!C18:J18)+Project_FCF!B18</f>
        <v>1020.426998818715</v>
      </c>
      <c r="D7318" s="4"/>
      <c r="E7318" s="4"/>
    </row>
    <row r="7319" spans="1:5" x14ac:dyDescent="0.3">
      <c r="A7319" s="9">
        <v>7311</v>
      </c>
      <c r="B7319" s="10">
        <f t="shared" ca="1" si="114"/>
        <v>6.7610072620697168E-2</v>
      </c>
      <c r="C7319" s="10">
        <f ca="1">NPV(B7319,Project_FCF!C18:J18)+Project_FCF!B18</f>
        <v>1047.9419314643553</v>
      </c>
      <c r="D7319" s="4"/>
      <c r="E7319" s="4"/>
    </row>
    <row r="7320" spans="1:5" x14ac:dyDescent="0.3">
      <c r="A7320" s="9">
        <v>7312</v>
      </c>
      <c r="B7320" s="10">
        <f t="shared" ca="1" si="114"/>
        <v>7.1593205727958825E-2</v>
      </c>
      <c r="C7320" s="10">
        <f ca="1">NPV(B7320,Project_FCF!C18:J18)+Project_FCF!B18</f>
        <v>1011.516824989807</v>
      </c>
      <c r="D7320" s="4"/>
      <c r="E7320" s="4"/>
    </row>
    <row r="7321" spans="1:5" x14ac:dyDescent="0.3">
      <c r="A7321" s="9">
        <v>7313</v>
      </c>
      <c r="B7321" s="10">
        <f t="shared" ca="1" si="114"/>
        <v>8.7121838834269022E-2</v>
      </c>
      <c r="C7321" s="10">
        <f ca="1">NPV(B7321,Project_FCF!C18:J18)+Project_FCF!B18</f>
        <v>880.07062370854419</v>
      </c>
      <c r="D7321" s="4"/>
      <c r="E7321" s="4"/>
    </row>
    <row r="7322" spans="1:5" x14ac:dyDescent="0.3">
      <c r="A7322" s="9">
        <v>7314</v>
      </c>
      <c r="B7322" s="10">
        <f t="shared" ca="1" si="114"/>
        <v>0.10000481999534139</v>
      </c>
      <c r="C7322" s="10">
        <f ca="1">NPV(B7322,Project_FCF!C18:J18)+Project_FCF!B18</f>
        <v>782.60080519769713</v>
      </c>
      <c r="D7322" s="4"/>
      <c r="E7322" s="4"/>
    </row>
    <row r="7323" spans="1:5" x14ac:dyDescent="0.3">
      <c r="A7323" s="9">
        <v>7315</v>
      </c>
      <c r="B7323" s="10">
        <f t="shared" ca="1" si="114"/>
        <v>7.4057194895426004E-2</v>
      </c>
      <c r="C7323" s="10">
        <f ca="1">NPV(B7323,Project_FCF!C18:J18)+Project_FCF!B18</f>
        <v>989.55967646337081</v>
      </c>
      <c r="D7323" s="4"/>
      <c r="E7323" s="4"/>
    </row>
    <row r="7324" spans="1:5" x14ac:dyDescent="0.3">
      <c r="A7324" s="9">
        <v>7316</v>
      </c>
      <c r="B7324" s="10">
        <f t="shared" ca="1" si="114"/>
        <v>6.7194655334621906E-2</v>
      </c>
      <c r="C7324" s="10">
        <f ca="1">NPV(B7324,Project_FCF!C18:J18)+Project_FCF!B18</f>
        <v>1051.8084606169125</v>
      </c>
      <c r="D7324" s="4"/>
      <c r="E7324" s="4"/>
    </row>
    <row r="7325" spans="1:5" x14ac:dyDescent="0.3">
      <c r="A7325" s="9">
        <v>7317</v>
      </c>
      <c r="B7325" s="10">
        <f t="shared" ca="1" si="114"/>
        <v>0.10152147524403146</v>
      </c>
      <c r="C7325" s="10">
        <f ca="1">NPV(B7325,Project_FCF!C18:J18)+Project_FCF!B18</f>
        <v>771.75758675832526</v>
      </c>
      <c r="D7325" s="4"/>
      <c r="E7325" s="4"/>
    </row>
    <row r="7326" spans="1:5" x14ac:dyDescent="0.3">
      <c r="A7326" s="9">
        <v>7318</v>
      </c>
      <c r="B7326" s="10">
        <f t="shared" ca="1" si="114"/>
        <v>0.10160821499030065</v>
      </c>
      <c r="C7326" s="10">
        <f ca="1">NPV(B7326,Project_FCF!C18:J18)+Project_FCF!B18</f>
        <v>771.14129820364678</v>
      </c>
      <c r="D7326" s="4"/>
      <c r="E7326" s="4"/>
    </row>
    <row r="7327" spans="1:5" x14ac:dyDescent="0.3">
      <c r="A7327" s="9">
        <v>7319</v>
      </c>
      <c r="B7327" s="10">
        <f t="shared" ca="1" si="114"/>
        <v>9.2098540190359707E-2</v>
      </c>
      <c r="C7327" s="10">
        <f ca="1">NPV(B7327,Project_FCF!C18:J18)+Project_FCF!B18</f>
        <v>841.24822631080997</v>
      </c>
      <c r="D7327" s="4"/>
      <c r="E7327" s="4"/>
    </row>
    <row r="7328" spans="1:5" x14ac:dyDescent="0.3">
      <c r="A7328" s="9">
        <v>7320</v>
      </c>
      <c r="B7328" s="10">
        <f t="shared" ca="1" si="114"/>
        <v>0.102299409604902</v>
      </c>
      <c r="C7328" s="10">
        <f ca="1">NPV(B7328,Project_FCF!C18:J18)+Project_FCF!B18</f>
        <v>766.24512790942026</v>
      </c>
      <c r="D7328" s="4"/>
      <c r="E7328" s="4"/>
    </row>
    <row r="7329" spans="1:5" x14ac:dyDescent="0.3">
      <c r="A7329" s="9">
        <v>7321</v>
      </c>
      <c r="B7329" s="10">
        <f t="shared" ca="1" si="114"/>
        <v>9.9255658306961064E-2</v>
      </c>
      <c r="C7329" s="10">
        <f ca="1">NPV(B7329,Project_FCF!C18:J18)+Project_FCF!B18</f>
        <v>788.00421333281156</v>
      </c>
      <c r="D7329" s="4"/>
      <c r="E7329" s="4"/>
    </row>
    <row r="7330" spans="1:5" x14ac:dyDescent="0.3">
      <c r="A7330" s="9">
        <v>7322</v>
      </c>
      <c r="B7330" s="10">
        <f t="shared" ca="1" si="114"/>
        <v>7.3412666603779403E-2</v>
      </c>
      <c r="C7330" s="10">
        <f ca="1">NPV(B7330,Project_FCF!C18:J18)+Project_FCF!B18</f>
        <v>995.2614602653266</v>
      </c>
      <c r="D7330" s="4"/>
      <c r="E7330" s="4"/>
    </row>
    <row r="7331" spans="1:5" x14ac:dyDescent="0.3">
      <c r="A7331" s="9">
        <v>7323</v>
      </c>
      <c r="B7331" s="10">
        <f t="shared" ca="1" si="114"/>
        <v>9.4404075714029576E-2</v>
      </c>
      <c r="C7331" s="10">
        <f ca="1">NPV(B7331,Project_FCF!C18:J18)+Project_FCF!B18</f>
        <v>823.77055346741895</v>
      </c>
      <c r="D7331" s="4"/>
      <c r="E7331" s="4"/>
    </row>
    <row r="7332" spans="1:5" x14ac:dyDescent="0.3">
      <c r="A7332" s="9">
        <v>7324</v>
      </c>
      <c r="B7332" s="10">
        <f t="shared" ca="1" si="114"/>
        <v>0.10071541194246994</v>
      </c>
      <c r="C7332" s="10">
        <f ca="1">NPV(B7332,Project_FCF!C18:J18)+Project_FCF!B18</f>
        <v>777.5045766936089</v>
      </c>
      <c r="D7332" s="4"/>
      <c r="E7332" s="4"/>
    </row>
    <row r="7333" spans="1:5" x14ac:dyDescent="0.3">
      <c r="A7333" s="9">
        <v>7325</v>
      </c>
      <c r="B7333" s="10">
        <f t="shared" ca="1" si="114"/>
        <v>9.5837430152415415E-2</v>
      </c>
      <c r="C7333" s="10">
        <f ca="1">NPV(B7333,Project_FCF!C18:J18)+Project_FCF!B18</f>
        <v>813.06247352074956</v>
      </c>
      <c r="D7333" s="4"/>
      <c r="E7333" s="4"/>
    </row>
    <row r="7334" spans="1:5" x14ac:dyDescent="0.3">
      <c r="A7334" s="9">
        <v>7326</v>
      </c>
      <c r="B7334" s="10">
        <f t="shared" ca="1" si="114"/>
        <v>0.10202987772307778</v>
      </c>
      <c r="C7334" s="10">
        <f ca="1">NPV(B7334,Project_FCF!C18:J18)+Project_FCF!B18</f>
        <v>768.1512722432899</v>
      </c>
      <c r="D7334" s="4"/>
      <c r="E7334" s="4"/>
    </row>
    <row r="7335" spans="1:5" x14ac:dyDescent="0.3">
      <c r="A7335" s="9">
        <v>7327</v>
      </c>
      <c r="B7335" s="10">
        <f t="shared" ca="1" si="114"/>
        <v>7.0192575428755372E-2</v>
      </c>
      <c r="C7335" s="10">
        <f ca="1">NPV(B7335,Project_FCF!C18:J18)+Project_FCF!B18</f>
        <v>1024.1927495430198</v>
      </c>
      <c r="D7335" s="4"/>
      <c r="E7335" s="4"/>
    </row>
    <row r="7336" spans="1:5" x14ac:dyDescent="0.3">
      <c r="A7336" s="9">
        <v>7328</v>
      </c>
      <c r="B7336" s="10">
        <f t="shared" ca="1" si="114"/>
        <v>9.3562562065148569E-2</v>
      </c>
      <c r="C7336" s="10">
        <f ca="1">NPV(B7336,Project_FCF!C18:J18)+Project_FCF!B18</f>
        <v>830.11332832309654</v>
      </c>
      <c r="D7336" s="4"/>
      <c r="E7336" s="4"/>
    </row>
    <row r="7337" spans="1:5" x14ac:dyDescent="0.3">
      <c r="A7337" s="9">
        <v>7329</v>
      </c>
      <c r="B7337" s="10">
        <f t="shared" ca="1" si="114"/>
        <v>8.5845354861793302E-2</v>
      </c>
      <c r="C7337" s="10">
        <f ca="1">NPV(B7337,Project_FCF!C18:J18)+Project_FCF!B18</f>
        <v>890.27572267092296</v>
      </c>
      <c r="D7337" s="4"/>
      <c r="E7337" s="4"/>
    </row>
    <row r="7338" spans="1:5" x14ac:dyDescent="0.3">
      <c r="A7338" s="9">
        <v>7330</v>
      </c>
      <c r="B7338" s="10">
        <f t="shared" ca="1" si="114"/>
        <v>7.7945944351860169E-2</v>
      </c>
      <c r="C7338" s="10">
        <f ca="1">NPV(B7338,Project_FCF!C18:J18)+Project_FCF!B18</f>
        <v>955.7737392888987</v>
      </c>
      <c r="D7338" s="4"/>
      <c r="E7338" s="4"/>
    </row>
    <row r="7339" spans="1:5" x14ac:dyDescent="0.3">
      <c r="A7339" s="9">
        <v>7331</v>
      </c>
      <c r="B7339" s="10">
        <f t="shared" ca="1" si="114"/>
        <v>9.7112211955814182E-2</v>
      </c>
      <c r="C7339" s="10">
        <f ca="1">NPV(B7339,Project_FCF!C18:J18)+Project_FCF!B18</f>
        <v>803.63919159316788</v>
      </c>
      <c r="D7339" s="4"/>
      <c r="E7339" s="4"/>
    </row>
    <row r="7340" spans="1:5" x14ac:dyDescent="0.3">
      <c r="A7340" s="9">
        <v>7332</v>
      </c>
      <c r="B7340" s="10">
        <f t="shared" ca="1" si="114"/>
        <v>7.4824365368451634E-2</v>
      </c>
      <c r="C7340" s="10">
        <f ca="1">NPV(B7340,Project_FCF!C18:J18)+Project_FCF!B18</f>
        <v>982.81112608426565</v>
      </c>
      <c r="D7340" s="4"/>
      <c r="E7340" s="4"/>
    </row>
    <row r="7341" spans="1:5" x14ac:dyDescent="0.3">
      <c r="A7341" s="9">
        <v>7333</v>
      </c>
      <c r="B7341" s="10">
        <f t="shared" ca="1" si="114"/>
        <v>9.5069237667968182E-2</v>
      </c>
      <c r="C7341" s="10">
        <f ca="1">NPV(B7341,Project_FCF!C18:J18)+Project_FCF!B18</f>
        <v>818.78645132735414</v>
      </c>
      <c r="D7341" s="4"/>
      <c r="E7341" s="4"/>
    </row>
    <row r="7342" spans="1:5" x14ac:dyDescent="0.3">
      <c r="A7342" s="9">
        <v>7334</v>
      </c>
      <c r="B7342" s="10">
        <f t="shared" ca="1" si="114"/>
        <v>7.8447916791424085E-2</v>
      </c>
      <c r="C7342" s="10">
        <f ca="1">NPV(B7342,Project_FCF!C18:J18)+Project_FCF!B18</f>
        <v>951.48835137213655</v>
      </c>
      <c r="D7342" s="4"/>
      <c r="E7342" s="4"/>
    </row>
    <row r="7343" spans="1:5" x14ac:dyDescent="0.3">
      <c r="A7343" s="9">
        <v>7335</v>
      </c>
      <c r="B7343" s="10">
        <f t="shared" ca="1" si="114"/>
        <v>9.0017525317323016E-2</v>
      </c>
      <c r="C7343" s="10">
        <f ca="1">NPV(B7343,Project_FCF!C18:J18)+Project_FCF!B18</f>
        <v>857.2973644506485</v>
      </c>
      <c r="D7343" s="4"/>
      <c r="E7343" s="4"/>
    </row>
    <row r="7344" spans="1:5" x14ac:dyDescent="0.3">
      <c r="A7344" s="9">
        <v>7336</v>
      </c>
      <c r="B7344" s="10">
        <f t="shared" ca="1" si="114"/>
        <v>8.6276577466932319E-2</v>
      </c>
      <c r="C7344" s="10">
        <f ca="1">NPV(B7344,Project_FCF!C18:J18)+Project_FCF!B18</f>
        <v>886.81673211053044</v>
      </c>
      <c r="D7344" s="4"/>
      <c r="E7344" s="4"/>
    </row>
    <row r="7345" spans="1:5" x14ac:dyDescent="0.3">
      <c r="A7345" s="9">
        <v>7337</v>
      </c>
      <c r="B7345" s="10">
        <f t="shared" ca="1" si="114"/>
        <v>7.7839301016852255E-2</v>
      </c>
      <c r="C7345" s="10">
        <f ca="1">NPV(B7345,Project_FCF!C18:J18)+Project_FCF!B18</f>
        <v>956.68637096634438</v>
      </c>
      <c r="D7345" s="4"/>
      <c r="E7345" s="4"/>
    </row>
    <row r="7346" spans="1:5" x14ac:dyDescent="0.3">
      <c r="A7346" s="9">
        <v>7338</v>
      </c>
      <c r="B7346" s="10">
        <f t="shared" ca="1" si="114"/>
        <v>7.4390015663885506E-2</v>
      </c>
      <c r="C7346" s="10">
        <f ca="1">NPV(B7346,Project_FCF!C18:J18)+Project_FCF!B18</f>
        <v>986.62687858609092</v>
      </c>
      <c r="D7346" s="4"/>
      <c r="E7346" s="4"/>
    </row>
    <row r="7347" spans="1:5" x14ac:dyDescent="0.3">
      <c r="A7347" s="9">
        <v>7339</v>
      </c>
      <c r="B7347" s="10">
        <f t="shared" ca="1" si="114"/>
        <v>8.6393827128577363E-2</v>
      </c>
      <c r="C7347" s="10">
        <f ca="1">NPV(B7347,Project_FCF!C18:J18)+Project_FCF!B18</f>
        <v>885.87826365499245</v>
      </c>
      <c r="D7347" s="4"/>
      <c r="E7347" s="4"/>
    </row>
    <row r="7348" spans="1:5" x14ac:dyDescent="0.3">
      <c r="A7348" s="9">
        <v>7340</v>
      </c>
      <c r="B7348" s="10">
        <f t="shared" ca="1" si="114"/>
        <v>6.754411717449274E-2</v>
      </c>
      <c r="C7348" s="10">
        <f ca="1">NPV(B7348,Project_FCF!C18:J18)+Project_FCF!B18</f>
        <v>1048.5549536552671</v>
      </c>
      <c r="D7348" s="4"/>
      <c r="E7348" s="4"/>
    </row>
    <row r="7349" spans="1:5" x14ac:dyDescent="0.3">
      <c r="A7349" s="9">
        <v>7341</v>
      </c>
      <c r="B7349" s="10">
        <f t="shared" ca="1" si="114"/>
        <v>6.6894247583581909E-2</v>
      </c>
      <c r="C7349" s="10">
        <f ca="1">NPV(B7349,Project_FCF!C18:J18)+Project_FCF!B18</f>
        <v>1054.6126000039501</v>
      </c>
      <c r="D7349" s="4"/>
      <c r="E7349" s="4"/>
    </row>
    <row r="7350" spans="1:5" x14ac:dyDescent="0.3">
      <c r="A7350" s="9">
        <v>7342</v>
      </c>
      <c r="B7350" s="10">
        <f t="shared" ca="1" si="114"/>
        <v>8.9862366216530543E-2</v>
      </c>
      <c r="C7350" s="10">
        <f ca="1">NPV(B7350,Project_FCF!C18:J18)+Project_FCF!B18</f>
        <v>858.50451421139041</v>
      </c>
      <c r="D7350" s="4"/>
      <c r="E7350" s="4"/>
    </row>
    <row r="7351" spans="1:5" x14ac:dyDescent="0.3">
      <c r="A7351" s="9">
        <v>7343</v>
      </c>
      <c r="B7351" s="10">
        <f t="shared" ca="1" si="114"/>
        <v>7.8358388365603077E-2</v>
      </c>
      <c r="C7351" s="10">
        <f ca="1">NPV(B7351,Project_FCF!C18:J18)+Project_FCF!B18</f>
        <v>952.25141064045283</v>
      </c>
      <c r="D7351" s="4"/>
      <c r="E7351" s="4"/>
    </row>
    <row r="7352" spans="1:5" x14ac:dyDescent="0.3">
      <c r="A7352" s="9">
        <v>7344</v>
      </c>
      <c r="B7352" s="10">
        <f t="shared" ca="1" si="114"/>
        <v>7.1557548804811605E-2</v>
      </c>
      <c r="C7352" s="10">
        <f ca="1">NPV(B7352,Project_FCF!C18:J18)+Project_FCF!B18</f>
        <v>1011.8377626963616</v>
      </c>
      <c r="D7352" s="4"/>
      <c r="E7352" s="4"/>
    </row>
    <row r="7353" spans="1:5" x14ac:dyDescent="0.3">
      <c r="A7353" s="9">
        <v>7345</v>
      </c>
      <c r="B7353" s="10">
        <f t="shared" ca="1" si="114"/>
        <v>6.4789513745518071E-2</v>
      </c>
      <c r="C7353" s="10">
        <f ca="1">NPV(B7353,Project_FCF!C18:J18)+Project_FCF!B18</f>
        <v>1074.4507512094294</v>
      </c>
      <c r="D7353" s="4"/>
      <c r="E7353" s="4"/>
    </row>
    <row r="7354" spans="1:5" x14ac:dyDescent="0.3">
      <c r="A7354" s="9">
        <v>7346</v>
      </c>
      <c r="B7354" s="10">
        <f t="shared" ca="1" si="114"/>
        <v>9.3860965108133437E-2</v>
      </c>
      <c r="C7354" s="10">
        <f ca="1">NPV(B7354,Project_FCF!C18:J18)+Project_FCF!B18</f>
        <v>827.85938347028423</v>
      </c>
      <c r="D7354" s="4"/>
      <c r="E7354" s="4"/>
    </row>
    <row r="7355" spans="1:5" x14ac:dyDescent="0.3">
      <c r="A7355" s="9">
        <v>7347</v>
      </c>
      <c r="B7355" s="10">
        <f t="shared" ca="1" si="114"/>
        <v>9.8763110365433907E-2</v>
      </c>
      <c r="C7355" s="10">
        <f ca="1">NPV(B7355,Project_FCF!C18:J18)+Project_FCF!B18</f>
        <v>791.57396007676266</v>
      </c>
      <c r="D7355" s="4"/>
      <c r="E7355" s="4"/>
    </row>
    <row r="7356" spans="1:5" x14ac:dyDescent="0.3">
      <c r="A7356" s="9">
        <v>7348</v>
      </c>
      <c r="B7356" s="10">
        <f t="shared" ca="1" si="114"/>
        <v>7.816398039428113E-2</v>
      </c>
      <c r="C7356" s="10">
        <f ca="1">NPV(B7356,Project_FCF!C18:J18)+Project_FCF!B18</f>
        <v>953.91024110470585</v>
      </c>
      <c r="D7356" s="4"/>
      <c r="E7356" s="4"/>
    </row>
    <row r="7357" spans="1:5" x14ac:dyDescent="0.3">
      <c r="A7357" s="9">
        <v>7349</v>
      </c>
      <c r="B7357" s="10">
        <f t="shared" ca="1" si="114"/>
        <v>7.1725178164151332E-2</v>
      </c>
      <c r="C7357" s="10">
        <f ca="1">NPV(B7357,Project_FCF!C18:J18)+Project_FCF!B18</f>
        <v>1010.3297767041117</v>
      </c>
      <c r="D7357" s="4"/>
      <c r="E7357" s="4"/>
    </row>
    <row r="7358" spans="1:5" x14ac:dyDescent="0.3">
      <c r="A7358" s="9">
        <v>7350</v>
      </c>
      <c r="B7358" s="10">
        <f t="shared" ca="1" si="114"/>
        <v>8.4055214602729328E-2</v>
      </c>
      <c r="C7358" s="10">
        <f ca="1">NPV(B7358,Project_FCF!C18:J18)+Project_FCF!B18</f>
        <v>904.76167144569808</v>
      </c>
      <c r="D7358" s="4"/>
      <c r="E7358" s="4"/>
    </row>
    <row r="7359" spans="1:5" x14ac:dyDescent="0.3">
      <c r="A7359" s="9">
        <v>7351</v>
      </c>
      <c r="B7359" s="10">
        <f t="shared" ca="1" si="114"/>
        <v>7.508784985272321E-2</v>
      </c>
      <c r="C7359" s="10">
        <f ca="1">NPV(B7359,Project_FCF!C18:J18)+Project_FCF!B18</f>
        <v>980.50286356778315</v>
      </c>
      <c r="D7359" s="4"/>
      <c r="E7359" s="4"/>
    </row>
    <row r="7360" spans="1:5" x14ac:dyDescent="0.3">
      <c r="A7360" s="9">
        <v>7352</v>
      </c>
      <c r="B7360" s="10">
        <f t="shared" ca="1" si="114"/>
        <v>7.8354406691110198E-2</v>
      </c>
      <c r="C7360" s="10">
        <f ca="1">NPV(B7360,Project_FCF!C18:J18)+Project_FCF!B18</f>
        <v>952.28535945548242</v>
      </c>
      <c r="D7360" s="4"/>
      <c r="E7360" s="4"/>
    </row>
    <row r="7361" spans="1:5" x14ac:dyDescent="0.3">
      <c r="A7361" s="9">
        <v>7353</v>
      </c>
      <c r="B7361" s="10">
        <f t="shared" ca="1" si="114"/>
        <v>8.0248991808601053E-2</v>
      </c>
      <c r="C7361" s="10">
        <f ca="1">NPV(B7361,Project_FCF!C18:J18)+Project_FCF!B18</f>
        <v>936.25242844109903</v>
      </c>
      <c r="D7361" s="4"/>
      <c r="E7361" s="4"/>
    </row>
    <row r="7362" spans="1:5" x14ac:dyDescent="0.3">
      <c r="A7362" s="9">
        <v>7354</v>
      </c>
      <c r="B7362" s="10">
        <f t="shared" ca="1" si="114"/>
        <v>7.3786216966772594E-2</v>
      </c>
      <c r="C7362" s="10">
        <f ca="1">NPV(B7362,Project_FCF!C18:J18)+Project_FCF!B18</f>
        <v>991.95328790222857</v>
      </c>
      <c r="D7362" s="4"/>
      <c r="E7362" s="4"/>
    </row>
    <row r="7363" spans="1:5" x14ac:dyDescent="0.3">
      <c r="A7363" s="9">
        <v>7355</v>
      </c>
      <c r="B7363" s="10">
        <f t="shared" ca="1" si="114"/>
        <v>7.7396571042449541E-2</v>
      </c>
      <c r="C7363" s="10">
        <f ca="1">NPV(B7363,Project_FCF!C18:J18)+Project_FCF!B18</f>
        <v>960.48345987128005</v>
      </c>
      <c r="D7363" s="4"/>
      <c r="E7363" s="4"/>
    </row>
    <row r="7364" spans="1:5" x14ac:dyDescent="0.3">
      <c r="A7364" s="9">
        <v>7356</v>
      </c>
      <c r="B7364" s="10">
        <f t="shared" ca="1" si="114"/>
        <v>0.10249394308897225</v>
      </c>
      <c r="C7364" s="10">
        <f ca="1">NPV(B7364,Project_FCF!C18:J18)+Project_FCF!B18</f>
        <v>764.87184909797634</v>
      </c>
      <c r="D7364" s="4"/>
      <c r="E7364" s="4"/>
    </row>
    <row r="7365" spans="1:5" x14ac:dyDescent="0.3">
      <c r="A7365" s="9">
        <v>7357</v>
      </c>
      <c r="B7365" s="10">
        <f t="shared" ca="1" si="114"/>
        <v>9.5460177267923482E-2</v>
      </c>
      <c r="C7365" s="10">
        <f ca="1">NPV(B7365,Project_FCF!C18:J18)+Project_FCF!B18</f>
        <v>815.86917970918444</v>
      </c>
      <c r="D7365" s="4"/>
      <c r="E7365" s="4"/>
    </row>
    <row r="7366" spans="1:5" x14ac:dyDescent="0.3">
      <c r="A7366" s="9">
        <v>7358</v>
      </c>
      <c r="B7366" s="10">
        <f t="shared" ca="1" si="114"/>
        <v>8.2664876741460835E-2</v>
      </c>
      <c r="C7366" s="10">
        <f ca="1">NPV(B7366,Project_FCF!C18:J18)+Project_FCF!B18</f>
        <v>916.15469521805085</v>
      </c>
      <c r="D7366" s="4"/>
      <c r="E7366" s="4"/>
    </row>
    <row r="7367" spans="1:5" x14ac:dyDescent="0.3">
      <c r="A7367" s="9">
        <v>7359</v>
      </c>
      <c r="B7367" s="10">
        <f t="shared" ca="1" si="114"/>
        <v>8.0764890776957837E-2</v>
      </c>
      <c r="C7367" s="10">
        <f ca="1">NPV(B7367,Project_FCF!C18:J18)+Project_FCF!B18</f>
        <v>931.92827058221951</v>
      </c>
      <c r="D7367" s="4"/>
      <c r="E7367" s="4"/>
    </row>
    <row r="7368" spans="1:5" x14ac:dyDescent="0.3">
      <c r="A7368" s="9">
        <v>7360</v>
      </c>
      <c r="B7368" s="10">
        <f t="shared" ca="1" si="114"/>
        <v>6.4692383474845308E-2</v>
      </c>
      <c r="C7368" s="10">
        <f ca="1">NPV(B7368,Project_FCF!C18:J18)+Project_FCF!B18</f>
        <v>1075.3744098743348</v>
      </c>
      <c r="D7368" s="4"/>
      <c r="E7368" s="4"/>
    </row>
    <row r="7369" spans="1:5" x14ac:dyDescent="0.3">
      <c r="A7369" s="9">
        <v>7361</v>
      </c>
      <c r="B7369" s="10">
        <f t="shared" ref="B7369:B7432" ca="1" si="115">$B$4+RAND()*($B$5-$B$4)</f>
        <v>6.4653656355513248E-2</v>
      </c>
      <c r="C7369" s="10">
        <f ca="1">NPV(B7369,Project_FCF!C18:J18)+Project_FCF!B18</f>
        <v>1075.7428868343757</v>
      </c>
      <c r="D7369" s="4"/>
      <c r="E7369" s="4"/>
    </row>
    <row r="7370" spans="1:5" x14ac:dyDescent="0.3">
      <c r="A7370" s="9">
        <v>7362</v>
      </c>
      <c r="B7370" s="10">
        <f t="shared" ca="1" si="115"/>
        <v>7.144702931842567E-2</v>
      </c>
      <c r="C7370" s="10">
        <f ca="1">NPV(B7370,Project_FCF!C18:J18)+Project_FCF!B18</f>
        <v>1012.8330997823898</v>
      </c>
      <c r="D7370" s="4"/>
      <c r="E7370" s="4"/>
    </row>
    <row r="7371" spans="1:5" x14ac:dyDescent="0.3">
      <c r="A7371" s="9">
        <v>7363</v>
      </c>
      <c r="B7371" s="10">
        <f t="shared" ca="1" si="115"/>
        <v>7.4298960312845247E-2</v>
      </c>
      <c r="C7371" s="10">
        <f ca="1">NPV(B7371,Project_FCF!C18:J18)+Project_FCF!B18</f>
        <v>987.42847819276267</v>
      </c>
      <c r="D7371" s="4"/>
      <c r="E7371" s="4"/>
    </row>
    <row r="7372" spans="1:5" x14ac:dyDescent="0.3">
      <c r="A7372" s="9">
        <v>7364</v>
      </c>
      <c r="B7372" s="10">
        <f t="shared" ca="1" si="115"/>
        <v>9.4201355840170531E-2</v>
      </c>
      <c r="C7372" s="10">
        <f ca="1">NPV(B7372,Project_FCF!C18:J18)+Project_FCF!B18</f>
        <v>825.29470701826017</v>
      </c>
      <c r="D7372" s="4"/>
      <c r="E7372" s="4"/>
    </row>
    <row r="7373" spans="1:5" x14ac:dyDescent="0.3">
      <c r="A7373" s="9">
        <v>7365</v>
      </c>
      <c r="B7373" s="10">
        <f t="shared" ca="1" si="115"/>
        <v>7.2505682040945429E-2</v>
      </c>
      <c r="C7373" s="10">
        <f ca="1">NPV(B7373,Project_FCF!C18:J18)+Project_FCF!B18</f>
        <v>1003.3350081434128</v>
      </c>
      <c r="D7373" s="4"/>
      <c r="E7373" s="4"/>
    </row>
    <row r="7374" spans="1:5" x14ac:dyDescent="0.3">
      <c r="A7374" s="9">
        <v>7366</v>
      </c>
      <c r="B7374" s="10">
        <f t="shared" ca="1" si="115"/>
        <v>0.10017304615406793</v>
      </c>
      <c r="C7374" s="10">
        <f ca="1">NPV(B7374,Project_FCF!C18:J18)+Project_FCF!B18</f>
        <v>781.39177642935806</v>
      </c>
      <c r="D7374" s="4"/>
      <c r="E7374" s="4"/>
    </row>
    <row r="7375" spans="1:5" x14ac:dyDescent="0.3">
      <c r="A7375" s="9">
        <v>7367</v>
      </c>
      <c r="B7375" s="10">
        <f t="shared" ca="1" si="115"/>
        <v>9.751032758902714E-2</v>
      </c>
      <c r="C7375" s="10">
        <f ca="1">NPV(B7375,Project_FCF!C18:J18)+Project_FCF!B18</f>
        <v>800.71543645730185</v>
      </c>
      <c r="D7375" s="4"/>
      <c r="E7375" s="4"/>
    </row>
    <row r="7376" spans="1:5" x14ac:dyDescent="0.3">
      <c r="A7376" s="9">
        <v>7368</v>
      </c>
      <c r="B7376" s="10">
        <f t="shared" ca="1" si="115"/>
        <v>6.7141377312247327E-2</v>
      </c>
      <c r="C7376" s="10">
        <f ca="1">NPV(B7376,Project_FCF!C18:J18)+Project_FCF!B18</f>
        <v>1052.3052864876809</v>
      </c>
      <c r="D7376" s="4"/>
      <c r="E7376" s="4"/>
    </row>
    <row r="7377" spans="1:5" x14ac:dyDescent="0.3">
      <c r="A7377" s="9">
        <v>7369</v>
      </c>
      <c r="B7377" s="10">
        <f t="shared" ca="1" si="115"/>
        <v>9.9383680426518295E-2</v>
      </c>
      <c r="C7377" s="10">
        <f ca="1">NPV(B7377,Project_FCF!C18:J18)+Project_FCF!B18</f>
        <v>787.07860897035607</v>
      </c>
      <c r="D7377" s="4"/>
      <c r="E7377" s="4"/>
    </row>
    <row r="7378" spans="1:5" x14ac:dyDescent="0.3">
      <c r="A7378" s="9">
        <v>7370</v>
      </c>
      <c r="B7378" s="10">
        <f t="shared" ca="1" si="115"/>
        <v>8.2330133406929462E-2</v>
      </c>
      <c r="C7378" s="10">
        <f ca="1">NPV(B7378,Project_FCF!C18:J18)+Project_FCF!B18</f>
        <v>918.91650583483442</v>
      </c>
      <c r="D7378" s="4"/>
      <c r="E7378" s="4"/>
    </row>
    <row r="7379" spans="1:5" x14ac:dyDescent="0.3">
      <c r="A7379" s="9">
        <v>7371</v>
      </c>
      <c r="B7379" s="10">
        <f t="shared" ca="1" si="115"/>
        <v>0.10022612275650647</v>
      </c>
      <c r="C7379" s="10">
        <f ca="1">NPV(B7379,Project_FCF!C18:J18)+Project_FCF!B18</f>
        <v>781.01064674812733</v>
      </c>
      <c r="D7379" s="4"/>
      <c r="E7379" s="4"/>
    </row>
    <row r="7380" spans="1:5" x14ac:dyDescent="0.3">
      <c r="A7380" s="9">
        <v>7372</v>
      </c>
      <c r="B7380" s="10">
        <f t="shared" ca="1" si="115"/>
        <v>9.4124513793470643E-2</v>
      </c>
      <c r="C7380" s="10">
        <f ca="1">NPV(B7380,Project_FCF!C18:J18)+Project_FCF!B18</f>
        <v>825.87307737025321</v>
      </c>
      <c r="D7380" s="4"/>
      <c r="E7380" s="4"/>
    </row>
    <row r="7381" spans="1:5" x14ac:dyDescent="0.3">
      <c r="A7381" s="9">
        <v>7373</v>
      </c>
      <c r="B7381" s="10">
        <f t="shared" ca="1" si="115"/>
        <v>0.10004969327793323</v>
      </c>
      <c r="C7381" s="10">
        <f ca="1">NPV(B7381,Project_FCF!C18:J18)+Project_FCF!B18</f>
        <v>782.27814969617702</v>
      </c>
      <c r="D7381" s="4"/>
      <c r="E7381" s="4"/>
    </row>
    <row r="7382" spans="1:5" x14ac:dyDescent="0.3">
      <c r="A7382" s="9">
        <v>7374</v>
      </c>
      <c r="B7382" s="10">
        <f t="shared" ca="1" si="115"/>
        <v>7.579810342200001E-2</v>
      </c>
      <c r="C7382" s="10">
        <f ca="1">NPV(B7382,Project_FCF!C18:J18)+Project_FCF!B18</f>
        <v>974.30480011117993</v>
      </c>
      <c r="D7382" s="4"/>
      <c r="E7382" s="4"/>
    </row>
    <row r="7383" spans="1:5" x14ac:dyDescent="0.3">
      <c r="A7383" s="9">
        <v>7375</v>
      </c>
      <c r="B7383" s="10">
        <f t="shared" ca="1" si="115"/>
        <v>8.0034894274710749E-2</v>
      </c>
      <c r="C7383" s="10">
        <f ca="1">NPV(B7383,Project_FCF!C18:J18)+Project_FCF!B18</f>
        <v>938.0521560622517</v>
      </c>
      <c r="D7383" s="4"/>
      <c r="E7383" s="4"/>
    </row>
    <row r="7384" spans="1:5" x14ac:dyDescent="0.3">
      <c r="A7384" s="9">
        <v>7376</v>
      </c>
      <c r="B7384" s="10">
        <f t="shared" ca="1" si="115"/>
        <v>8.8817456986960197E-2</v>
      </c>
      <c r="C7384" s="10">
        <f ca="1">NPV(B7384,Project_FCF!C18:J18)+Project_FCF!B18</f>
        <v>866.67244272004768</v>
      </c>
      <c r="D7384" s="4"/>
      <c r="E7384" s="4"/>
    </row>
    <row r="7385" spans="1:5" x14ac:dyDescent="0.3">
      <c r="A7385" s="9">
        <v>7377</v>
      </c>
      <c r="B7385" s="10">
        <f t="shared" ca="1" si="115"/>
        <v>0.10045049127468109</v>
      </c>
      <c r="C7385" s="10">
        <f ca="1">NPV(B7385,Project_FCF!C18:J18)+Project_FCF!B18</f>
        <v>779.40124841126112</v>
      </c>
      <c r="D7385" s="4"/>
      <c r="E7385" s="4"/>
    </row>
    <row r="7386" spans="1:5" x14ac:dyDescent="0.3">
      <c r="A7386" s="9">
        <v>7378</v>
      </c>
      <c r="B7386" s="10">
        <f t="shared" ca="1" si="115"/>
        <v>6.4757778708924574E-2</v>
      </c>
      <c r="C7386" s="10">
        <f ca="1">NPV(B7386,Project_FCF!C18:J18)+Project_FCF!B18</f>
        <v>1074.7524553209082</v>
      </c>
      <c r="D7386" s="4"/>
      <c r="E7386" s="4"/>
    </row>
    <row r="7387" spans="1:5" x14ac:dyDescent="0.3">
      <c r="A7387" s="9">
        <v>7379</v>
      </c>
      <c r="B7387" s="10">
        <f t="shared" ca="1" si="115"/>
        <v>6.9454568698810615E-2</v>
      </c>
      <c r="C7387" s="10">
        <f ca="1">NPV(B7387,Project_FCF!C18:J18)+Project_FCF!B18</f>
        <v>1030.9293668823727</v>
      </c>
      <c r="D7387" s="4"/>
      <c r="E7387" s="4"/>
    </row>
    <row r="7388" spans="1:5" x14ac:dyDescent="0.3">
      <c r="A7388" s="9">
        <v>7380</v>
      </c>
      <c r="B7388" s="10">
        <f t="shared" ca="1" si="115"/>
        <v>7.502390423236889E-2</v>
      </c>
      <c r="C7388" s="10">
        <f ca="1">NPV(B7388,Project_FCF!C18:J18)+Project_FCF!B18</f>
        <v>981.06261455345384</v>
      </c>
      <c r="D7388" s="4"/>
      <c r="E7388" s="4"/>
    </row>
    <row r="7389" spans="1:5" x14ac:dyDescent="0.3">
      <c r="A7389" s="9">
        <v>7381</v>
      </c>
      <c r="B7389" s="10">
        <f t="shared" ca="1" si="115"/>
        <v>9.6965134884464191E-2</v>
      </c>
      <c r="C7389" s="10">
        <f ca="1">NPV(B7389,Project_FCF!C18:J18)+Project_FCF!B18</f>
        <v>804.72162070336799</v>
      </c>
      <c r="D7389" s="4"/>
      <c r="E7389" s="4"/>
    </row>
    <row r="7390" spans="1:5" x14ac:dyDescent="0.3">
      <c r="A7390" s="9">
        <v>7382</v>
      </c>
      <c r="B7390" s="10">
        <f t="shared" ca="1" si="115"/>
        <v>8.457388211421972E-2</v>
      </c>
      <c r="C7390" s="10">
        <f ca="1">NPV(B7390,Project_FCF!C18:J18)+Project_FCF!B18</f>
        <v>900.54347352980199</v>
      </c>
      <c r="D7390" s="4"/>
      <c r="E7390" s="4"/>
    </row>
    <row r="7391" spans="1:5" x14ac:dyDescent="0.3">
      <c r="A7391" s="9">
        <v>7383</v>
      </c>
      <c r="B7391" s="10">
        <f t="shared" ca="1" si="115"/>
        <v>9.2349565822659394E-2</v>
      </c>
      <c r="C7391" s="10">
        <f ca="1">NPV(B7391,Project_FCF!C18:J18)+Project_FCF!B18</f>
        <v>839.32992060589186</v>
      </c>
      <c r="D7391" s="4"/>
      <c r="E7391" s="4"/>
    </row>
    <row r="7392" spans="1:5" x14ac:dyDescent="0.3">
      <c r="A7392" s="9">
        <v>7384</v>
      </c>
      <c r="B7392" s="10">
        <f t="shared" ca="1" si="115"/>
        <v>8.7817184857179625E-2</v>
      </c>
      <c r="C7392" s="10">
        <f ca="1">NPV(B7392,Project_FCF!C18:J18)+Project_FCF!B18</f>
        <v>874.55459666681304</v>
      </c>
      <c r="D7392" s="4"/>
      <c r="E7392" s="4"/>
    </row>
    <row r="7393" spans="1:5" x14ac:dyDescent="0.3">
      <c r="A7393" s="9">
        <v>7385</v>
      </c>
      <c r="B7393" s="10">
        <f t="shared" ca="1" si="115"/>
        <v>8.8158892641604342E-2</v>
      </c>
      <c r="C7393" s="10">
        <f ca="1">NPV(B7393,Project_FCF!C18:J18)+Project_FCF!B18</f>
        <v>871.85495422217377</v>
      </c>
      <c r="D7393" s="4"/>
      <c r="E7393" s="4"/>
    </row>
    <row r="7394" spans="1:5" x14ac:dyDescent="0.3">
      <c r="A7394" s="9">
        <v>7386</v>
      </c>
      <c r="B7394" s="10">
        <f t="shared" ca="1" si="115"/>
        <v>6.6676817765148014E-2</v>
      </c>
      <c r="C7394" s="10">
        <f ca="1">NPV(B7394,Project_FCF!C18:J18)+Project_FCF!B18</f>
        <v>1056.6464242432612</v>
      </c>
      <c r="D7394" s="4"/>
      <c r="E7394" s="4"/>
    </row>
    <row r="7395" spans="1:5" x14ac:dyDescent="0.3">
      <c r="A7395" s="9">
        <v>7387</v>
      </c>
      <c r="B7395" s="10">
        <f t="shared" ca="1" si="115"/>
        <v>6.6506568779607311E-2</v>
      </c>
      <c r="C7395" s="10">
        <f ca="1">NPV(B7395,Project_FCF!C18:J18)+Project_FCF!B18</f>
        <v>1058.2414114380892</v>
      </c>
      <c r="D7395" s="4"/>
      <c r="E7395" s="4"/>
    </row>
    <row r="7396" spans="1:5" x14ac:dyDescent="0.3">
      <c r="A7396" s="9">
        <v>7388</v>
      </c>
      <c r="B7396" s="10">
        <f t="shared" ca="1" si="115"/>
        <v>7.5503117038727835E-2</v>
      </c>
      <c r="C7396" s="10">
        <f ca="1">NPV(B7396,Project_FCF!C18:J18)+Project_FCF!B18</f>
        <v>976.87474823209982</v>
      </c>
      <c r="D7396" s="4"/>
      <c r="E7396" s="4"/>
    </row>
    <row r="7397" spans="1:5" x14ac:dyDescent="0.3">
      <c r="A7397" s="9">
        <v>7389</v>
      </c>
      <c r="B7397" s="10">
        <f t="shared" ca="1" si="115"/>
        <v>6.5717793074370701E-2</v>
      </c>
      <c r="C7397" s="10">
        <f ca="1">NPV(B7397,Project_FCF!C18:J18)+Project_FCF!B18</f>
        <v>1065.6597345512648</v>
      </c>
      <c r="D7397" s="4"/>
      <c r="E7397" s="4"/>
    </row>
    <row r="7398" spans="1:5" x14ac:dyDescent="0.3">
      <c r="A7398" s="9">
        <v>7390</v>
      </c>
      <c r="B7398" s="10">
        <f t="shared" ca="1" si="115"/>
        <v>7.4654597200850964E-2</v>
      </c>
      <c r="C7398" s="10">
        <f ca="1">NPV(B7398,Project_FCF!C18:J18)+Project_FCF!B18</f>
        <v>984.30095967255988</v>
      </c>
      <c r="D7398" s="4"/>
      <c r="E7398" s="4"/>
    </row>
    <row r="7399" spans="1:5" x14ac:dyDescent="0.3">
      <c r="A7399" s="9">
        <v>7391</v>
      </c>
      <c r="B7399" s="10">
        <f t="shared" ca="1" si="115"/>
        <v>8.2215210046759524E-2</v>
      </c>
      <c r="C7399" s="10">
        <f ca="1">NPV(B7399,Project_FCF!C18:J18)+Project_FCF!B18</f>
        <v>919.86637467212131</v>
      </c>
      <c r="D7399" s="4"/>
      <c r="E7399" s="4"/>
    </row>
    <row r="7400" spans="1:5" x14ac:dyDescent="0.3">
      <c r="A7400" s="9">
        <v>7392</v>
      </c>
      <c r="B7400" s="10">
        <f t="shared" ca="1" si="115"/>
        <v>6.4894110821372461E-2</v>
      </c>
      <c r="C7400" s="10">
        <f ca="1">NPV(B7400,Project_FCF!C18:J18)+Project_FCF!B18</f>
        <v>1073.4568968868625</v>
      </c>
      <c r="D7400" s="4"/>
      <c r="E7400" s="4"/>
    </row>
    <row r="7401" spans="1:5" x14ac:dyDescent="0.3">
      <c r="A7401" s="9">
        <v>7393</v>
      </c>
      <c r="B7401" s="10">
        <f t="shared" ca="1" si="115"/>
        <v>7.1865493121988519E-2</v>
      </c>
      <c r="C7401" s="10">
        <f ca="1">NPV(B7401,Project_FCF!C18:J18)+Project_FCF!B18</f>
        <v>1009.0690664652022</v>
      </c>
      <c r="D7401" s="4"/>
      <c r="E7401" s="4"/>
    </row>
    <row r="7402" spans="1:5" x14ac:dyDescent="0.3">
      <c r="A7402" s="9">
        <v>7394</v>
      </c>
      <c r="B7402" s="10">
        <f t="shared" ca="1" si="115"/>
        <v>9.5872255355173019E-2</v>
      </c>
      <c r="C7402" s="10">
        <f ca="1">NPV(B7402,Project_FCF!C18:J18)+Project_FCF!B18</f>
        <v>812.80379568181274</v>
      </c>
      <c r="D7402" s="4"/>
      <c r="E7402" s="4"/>
    </row>
    <row r="7403" spans="1:5" x14ac:dyDescent="0.3">
      <c r="A7403" s="9">
        <v>7395</v>
      </c>
      <c r="B7403" s="10">
        <f t="shared" ca="1" si="115"/>
        <v>6.5871899892116031E-2</v>
      </c>
      <c r="C7403" s="10">
        <f ca="1">NPV(B7403,Project_FCF!C18:J18)+Project_FCF!B18</f>
        <v>1064.2066705745212</v>
      </c>
      <c r="D7403" s="4"/>
      <c r="E7403" s="4"/>
    </row>
    <row r="7404" spans="1:5" x14ac:dyDescent="0.3">
      <c r="A7404" s="9">
        <v>7396</v>
      </c>
      <c r="B7404" s="10">
        <f t="shared" ca="1" si="115"/>
        <v>8.6264724679158161E-2</v>
      </c>
      <c r="C7404" s="10">
        <f ca="1">NPV(B7404,Project_FCF!C18:J18)+Project_FCF!B18</f>
        <v>886.91165035667655</v>
      </c>
      <c r="D7404" s="4"/>
      <c r="E7404" s="4"/>
    </row>
    <row r="7405" spans="1:5" x14ac:dyDescent="0.3">
      <c r="A7405" s="9">
        <v>7397</v>
      </c>
      <c r="B7405" s="10">
        <f t="shared" ca="1" si="115"/>
        <v>9.9341756566493161E-2</v>
      </c>
      <c r="C7405" s="10">
        <f ca="1">NPV(B7405,Project_FCF!C18:J18)+Project_FCF!B18</f>
        <v>787.38161845208333</v>
      </c>
      <c r="D7405" s="4"/>
      <c r="E7405" s="4"/>
    </row>
    <row r="7406" spans="1:5" x14ac:dyDescent="0.3">
      <c r="A7406" s="9">
        <v>7398</v>
      </c>
      <c r="B7406" s="10">
        <f t="shared" ca="1" si="115"/>
        <v>0.10101629278215783</v>
      </c>
      <c r="C7406" s="10">
        <f ca="1">NPV(B7406,Project_FCF!C18:J18)+Project_FCF!B18</f>
        <v>775.35517903816663</v>
      </c>
      <c r="D7406" s="4"/>
      <c r="E7406" s="4"/>
    </row>
    <row r="7407" spans="1:5" x14ac:dyDescent="0.3">
      <c r="A7407" s="9">
        <v>7399</v>
      </c>
      <c r="B7407" s="10">
        <f t="shared" ca="1" si="115"/>
        <v>7.8064806832709069E-2</v>
      </c>
      <c r="C7407" s="10">
        <f ca="1">NPV(B7407,Project_FCF!C18:J18)+Project_FCF!B18</f>
        <v>954.75745120362308</v>
      </c>
      <c r="D7407" s="4"/>
      <c r="E7407" s="4"/>
    </row>
    <row r="7408" spans="1:5" x14ac:dyDescent="0.3">
      <c r="A7408" s="9">
        <v>7400</v>
      </c>
      <c r="B7408" s="10">
        <f t="shared" ca="1" si="115"/>
        <v>0.10380211990946914</v>
      </c>
      <c r="C7408" s="10">
        <f ca="1">NPV(B7408,Project_FCF!C18:J18)+Project_FCF!B18</f>
        <v>755.69054347963174</v>
      </c>
      <c r="D7408" s="4"/>
      <c r="E7408" s="4"/>
    </row>
    <row r="7409" spans="1:5" x14ac:dyDescent="0.3">
      <c r="A7409" s="9">
        <v>7401</v>
      </c>
      <c r="B7409" s="10">
        <f t="shared" ca="1" si="115"/>
        <v>6.5852251377049434E-2</v>
      </c>
      <c r="C7409" s="10">
        <f ca="1">NPV(B7409,Project_FCF!C18:J18)+Project_FCF!B18</f>
        <v>1064.3918348006835</v>
      </c>
      <c r="D7409" s="4"/>
      <c r="E7409" s="4"/>
    </row>
    <row r="7410" spans="1:5" x14ac:dyDescent="0.3">
      <c r="A7410" s="9">
        <v>7402</v>
      </c>
      <c r="B7410" s="10">
        <f t="shared" ca="1" si="115"/>
        <v>9.6359933305624867E-2</v>
      </c>
      <c r="C7410" s="10">
        <f ca="1">NPV(B7410,Project_FCF!C18:J18)+Project_FCF!B18</f>
        <v>809.18875356083299</v>
      </c>
      <c r="D7410" s="4"/>
      <c r="E7410" s="4"/>
    </row>
    <row r="7411" spans="1:5" x14ac:dyDescent="0.3">
      <c r="A7411" s="9">
        <v>7403</v>
      </c>
      <c r="B7411" s="10">
        <f t="shared" ca="1" si="115"/>
        <v>9.0383722273003675E-2</v>
      </c>
      <c r="C7411" s="10">
        <f ca="1">NPV(B7411,Project_FCF!C18:J18)+Project_FCF!B18</f>
        <v>854.4541513791828</v>
      </c>
      <c r="D7411" s="4"/>
      <c r="E7411" s="4"/>
    </row>
    <row r="7412" spans="1:5" x14ac:dyDescent="0.3">
      <c r="A7412" s="9">
        <v>7404</v>
      </c>
      <c r="B7412" s="10">
        <f t="shared" ca="1" si="115"/>
        <v>9.7386289593811376E-2</v>
      </c>
      <c r="C7412" s="10">
        <f ca="1">NPV(B7412,Project_FCF!C18:J18)+Project_FCF!B18</f>
        <v>801.62539681462158</v>
      </c>
      <c r="D7412" s="4"/>
      <c r="E7412" s="4"/>
    </row>
    <row r="7413" spans="1:5" x14ac:dyDescent="0.3">
      <c r="A7413" s="9">
        <v>7405</v>
      </c>
      <c r="B7413" s="10">
        <f t="shared" ca="1" si="115"/>
        <v>6.6758297339064354E-2</v>
      </c>
      <c r="C7413" s="10">
        <f ca="1">NPV(B7413,Project_FCF!C18:J18)+Project_FCF!B18</f>
        <v>1055.8838521888138</v>
      </c>
      <c r="D7413" s="4"/>
      <c r="E7413" s="4"/>
    </row>
    <row r="7414" spans="1:5" x14ac:dyDescent="0.3">
      <c r="A7414" s="9">
        <v>7406</v>
      </c>
      <c r="B7414" s="10">
        <f t="shared" ca="1" si="115"/>
        <v>7.0559302576478342E-2</v>
      </c>
      <c r="C7414" s="10">
        <f ca="1">NPV(B7414,Project_FCF!C18:J18)+Project_FCF!B18</f>
        <v>1020.8600346968067</v>
      </c>
      <c r="D7414" s="4"/>
      <c r="E7414" s="4"/>
    </row>
    <row r="7415" spans="1:5" x14ac:dyDescent="0.3">
      <c r="A7415" s="9">
        <v>7407</v>
      </c>
      <c r="B7415" s="10">
        <f t="shared" ca="1" si="115"/>
        <v>6.6848815650251692E-2</v>
      </c>
      <c r="C7415" s="10">
        <f ca="1">NPV(B7415,Project_FCF!C18:J18)+Project_FCF!B18</f>
        <v>1055.0372729068044</v>
      </c>
      <c r="D7415" s="4"/>
      <c r="E7415" s="4"/>
    </row>
    <row r="7416" spans="1:5" x14ac:dyDescent="0.3">
      <c r="A7416" s="9">
        <v>7408</v>
      </c>
      <c r="B7416" s="10">
        <f t="shared" ca="1" si="115"/>
        <v>9.8447817128577711E-2</v>
      </c>
      <c r="C7416" s="10">
        <f ca="1">NPV(B7416,Project_FCF!C18:J18)+Project_FCF!B18</f>
        <v>793.86624430351003</v>
      </c>
      <c r="D7416" s="4"/>
      <c r="E7416" s="4"/>
    </row>
    <row r="7417" spans="1:5" x14ac:dyDescent="0.3">
      <c r="A7417" s="9">
        <v>7409</v>
      </c>
      <c r="B7417" s="10">
        <f t="shared" ca="1" si="115"/>
        <v>7.2770497489299646E-2</v>
      </c>
      <c r="C7417" s="10">
        <f ca="1">NPV(B7417,Project_FCF!C18:J18)+Project_FCF!B18</f>
        <v>1000.9716851738604</v>
      </c>
      <c r="D7417" s="4"/>
      <c r="E7417" s="4"/>
    </row>
    <row r="7418" spans="1:5" x14ac:dyDescent="0.3">
      <c r="A7418" s="9">
        <v>7410</v>
      </c>
      <c r="B7418" s="10">
        <f t="shared" ca="1" si="115"/>
        <v>7.4414524888413547E-2</v>
      </c>
      <c r="C7418" s="10">
        <f ca="1">NPV(B7418,Project_FCF!C18:J18)+Project_FCF!B18</f>
        <v>986.41121289934858</v>
      </c>
      <c r="D7418" s="4"/>
      <c r="E7418" s="4"/>
    </row>
    <row r="7419" spans="1:5" x14ac:dyDescent="0.3">
      <c r="A7419" s="9">
        <v>7411</v>
      </c>
      <c r="B7419" s="10">
        <f t="shared" ca="1" si="115"/>
        <v>6.9809698637044434E-2</v>
      </c>
      <c r="C7419" s="10">
        <f ca="1">NPV(B7419,Project_FCF!C18:J18)+Project_FCF!B18</f>
        <v>1027.6827126427961</v>
      </c>
      <c r="D7419" s="4"/>
      <c r="E7419" s="4"/>
    </row>
    <row r="7420" spans="1:5" x14ac:dyDescent="0.3">
      <c r="A7420" s="9">
        <v>7412</v>
      </c>
      <c r="B7420" s="10">
        <f t="shared" ca="1" si="115"/>
        <v>8.4172987800472471E-2</v>
      </c>
      <c r="C7420" s="10">
        <f ca="1">NPV(B7420,Project_FCF!C18:J18)+Project_FCF!B18</f>
        <v>903.80233205710056</v>
      </c>
      <c r="D7420" s="4"/>
      <c r="E7420" s="4"/>
    </row>
    <row r="7421" spans="1:5" x14ac:dyDescent="0.3">
      <c r="A7421" s="9">
        <v>7413</v>
      </c>
      <c r="B7421" s="10">
        <f t="shared" ca="1" si="115"/>
        <v>6.7149880107736051E-2</v>
      </c>
      <c r="C7421" s="10">
        <f ca="1">NPV(B7421,Project_FCF!C18:J18)+Project_FCF!B18</f>
        <v>1052.2259822954818</v>
      </c>
      <c r="D7421" s="4"/>
      <c r="E7421" s="4"/>
    </row>
    <row r="7422" spans="1:5" x14ac:dyDescent="0.3">
      <c r="A7422" s="9">
        <v>7414</v>
      </c>
      <c r="B7422" s="10">
        <f t="shared" ca="1" si="115"/>
        <v>9.6832692315329746E-2</v>
      </c>
      <c r="C7422" s="10">
        <f ca="1">NPV(B7422,Project_FCF!C18:J18)+Project_FCF!B18</f>
        <v>805.69740843685577</v>
      </c>
      <c r="D7422" s="4"/>
      <c r="E7422" s="4"/>
    </row>
    <row r="7423" spans="1:5" x14ac:dyDescent="0.3">
      <c r="A7423" s="9">
        <v>7415</v>
      </c>
      <c r="B7423" s="10">
        <f t="shared" ca="1" si="115"/>
        <v>9.3637338298710543E-2</v>
      </c>
      <c r="C7423" s="10">
        <f ca="1">NPV(B7423,Project_FCF!C18:J18)+Project_FCF!B18</f>
        <v>829.54802242534606</v>
      </c>
      <c r="D7423" s="4"/>
      <c r="E7423" s="4"/>
    </row>
    <row r="7424" spans="1:5" x14ac:dyDescent="0.3">
      <c r="A7424" s="9">
        <v>7416</v>
      </c>
      <c r="B7424" s="10">
        <f t="shared" ca="1" si="115"/>
        <v>9.6726841396876775E-2</v>
      </c>
      <c r="C7424" s="10">
        <f ca="1">NPV(B7424,Project_FCF!C18:J18)+Project_FCF!B18</f>
        <v>806.47800369207584</v>
      </c>
      <c r="D7424" s="4"/>
      <c r="E7424" s="4"/>
    </row>
    <row r="7425" spans="1:5" x14ac:dyDescent="0.3">
      <c r="A7425" s="9">
        <v>7417</v>
      </c>
      <c r="B7425" s="10">
        <f t="shared" ca="1" si="115"/>
        <v>7.0311173863201376E-2</v>
      </c>
      <c r="C7425" s="10">
        <f ca="1">NPV(B7425,Project_FCF!C18:J18)+Project_FCF!B18</f>
        <v>1023.1138863877436</v>
      </c>
      <c r="D7425" s="4"/>
      <c r="E7425" s="4"/>
    </row>
    <row r="7426" spans="1:5" x14ac:dyDescent="0.3">
      <c r="A7426" s="9">
        <v>7418</v>
      </c>
      <c r="B7426" s="10">
        <f t="shared" ca="1" si="115"/>
        <v>8.0089037190433199E-2</v>
      </c>
      <c r="C7426" s="10">
        <f ca="1">NPV(B7426,Project_FCF!C18:J18)+Project_FCF!B18</f>
        <v>937.59673560854185</v>
      </c>
      <c r="D7426" s="4"/>
      <c r="E7426" s="4"/>
    </row>
    <row r="7427" spans="1:5" x14ac:dyDescent="0.3">
      <c r="A7427" s="9">
        <v>7419</v>
      </c>
      <c r="B7427" s="10">
        <f t="shared" ca="1" si="115"/>
        <v>0.10126665486139481</v>
      </c>
      <c r="C7427" s="10">
        <f ca="1">NPV(B7427,Project_FCF!C18:J18)+Project_FCF!B18</f>
        <v>773.57049446324936</v>
      </c>
      <c r="D7427" s="4"/>
      <c r="E7427" s="4"/>
    </row>
    <row r="7428" spans="1:5" x14ac:dyDescent="0.3">
      <c r="A7428" s="9">
        <v>7420</v>
      </c>
      <c r="B7428" s="10">
        <f t="shared" ca="1" si="115"/>
        <v>7.3724664383524874E-2</v>
      </c>
      <c r="C7428" s="10">
        <f ca="1">NPV(B7428,Project_FCF!C18:J18)+Project_FCF!B18</f>
        <v>992.49771944123904</v>
      </c>
      <c r="D7428" s="4"/>
      <c r="E7428" s="4"/>
    </row>
    <row r="7429" spans="1:5" x14ac:dyDescent="0.3">
      <c r="A7429" s="9">
        <v>7421</v>
      </c>
      <c r="B7429" s="10">
        <f t="shared" ca="1" si="115"/>
        <v>6.411802294940068E-2</v>
      </c>
      <c r="C7429" s="10">
        <f ca="1">NPV(B7429,Project_FCF!C18:J18)+Project_FCF!B18</f>
        <v>1080.8511186593596</v>
      </c>
      <c r="D7429" s="4"/>
      <c r="E7429" s="4"/>
    </row>
    <row r="7430" spans="1:5" x14ac:dyDescent="0.3">
      <c r="A7430" s="9">
        <v>7422</v>
      </c>
      <c r="B7430" s="10">
        <f t="shared" ca="1" si="115"/>
        <v>9.0782717455727358E-2</v>
      </c>
      <c r="C7430" s="10">
        <f ca="1">NPV(B7430,Project_FCF!C18:J18)+Project_FCF!B18</f>
        <v>851.36558097635771</v>
      </c>
      <c r="D7430" s="4"/>
      <c r="E7430" s="4"/>
    </row>
    <row r="7431" spans="1:5" x14ac:dyDescent="0.3">
      <c r="A7431" s="9">
        <v>7423</v>
      </c>
      <c r="B7431" s="10">
        <f t="shared" ca="1" si="115"/>
        <v>9.2506668396910824E-2</v>
      </c>
      <c r="C7431" s="10">
        <f ca="1">NPV(B7431,Project_FCF!C18:J18)+Project_FCF!B18</f>
        <v>838.13128136471755</v>
      </c>
      <c r="D7431" s="4"/>
      <c r="E7431" s="4"/>
    </row>
    <row r="7432" spans="1:5" x14ac:dyDescent="0.3">
      <c r="A7432" s="9">
        <v>7424</v>
      </c>
      <c r="B7432" s="10">
        <f t="shared" ca="1" si="115"/>
        <v>9.368818389397085E-2</v>
      </c>
      <c r="C7432" s="10">
        <f ca="1">NPV(B7432,Project_FCF!C18:J18)+Project_FCF!B18</f>
        <v>829.16382027221448</v>
      </c>
      <c r="D7432" s="4"/>
      <c r="E7432" s="4"/>
    </row>
    <row r="7433" spans="1:5" x14ac:dyDescent="0.3">
      <c r="A7433" s="9">
        <v>7425</v>
      </c>
      <c r="B7433" s="10">
        <f t="shared" ref="B7433:B7496" ca="1" si="116">$B$4+RAND()*($B$5-$B$4)</f>
        <v>7.847788542673842E-2</v>
      </c>
      <c r="C7433" s="10">
        <f ca="1">NPV(B7433,Project_FCF!C18:J18)+Project_FCF!B18</f>
        <v>951.23304724100171</v>
      </c>
      <c r="D7433" s="4"/>
      <c r="E7433" s="4"/>
    </row>
    <row r="7434" spans="1:5" x14ac:dyDescent="0.3">
      <c r="A7434" s="9">
        <v>7426</v>
      </c>
      <c r="B7434" s="10">
        <f t="shared" ca="1" si="116"/>
        <v>6.7396900157787334E-2</v>
      </c>
      <c r="C7434" s="10">
        <f ca="1">NPV(B7434,Project_FCF!C18:J18)+Project_FCF!B18</f>
        <v>1049.9244353969768</v>
      </c>
      <c r="D7434" s="4"/>
      <c r="E7434" s="4"/>
    </row>
    <row r="7435" spans="1:5" x14ac:dyDescent="0.3">
      <c r="A7435" s="9">
        <v>7427</v>
      </c>
      <c r="B7435" s="10">
        <f t="shared" ca="1" si="116"/>
        <v>6.5652580920615974E-2</v>
      </c>
      <c r="C7435" s="10">
        <f ca="1">NPV(B7435,Project_FCF!C18:J18)+Project_FCF!B18</f>
        <v>1066.2751601733635</v>
      </c>
      <c r="D7435" s="4"/>
      <c r="E7435" s="4"/>
    </row>
    <row r="7436" spans="1:5" x14ac:dyDescent="0.3">
      <c r="A7436" s="9">
        <v>7428</v>
      </c>
      <c r="B7436" s="10">
        <f t="shared" ca="1" si="116"/>
        <v>6.9308617773617423E-2</v>
      </c>
      <c r="C7436" s="10">
        <f ca="1">NPV(B7436,Project_FCF!C18:J18)+Project_FCF!B18</f>
        <v>1032.2663612666906</v>
      </c>
      <c r="D7436" s="4"/>
      <c r="E7436" s="4"/>
    </row>
    <row r="7437" spans="1:5" x14ac:dyDescent="0.3">
      <c r="A7437" s="9">
        <v>7429</v>
      </c>
      <c r="B7437" s="10">
        <f t="shared" ca="1" si="116"/>
        <v>7.9125407985643881E-2</v>
      </c>
      <c r="C7437" s="10">
        <f ca="1">NPV(B7437,Project_FCF!C18:J18)+Project_FCF!B18</f>
        <v>945.73160993755755</v>
      </c>
      <c r="D7437" s="4"/>
      <c r="E7437" s="4"/>
    </row>
    <row r="7438" spans="1:5" x14ac:dyDescent="0.3">
      <c r="A7438" s="9">
        <v>7430</v>
      </c>
      <c r="B7438" s="10">
        <f t="shared" ca="1" si="116"/>
        <v>8.1648842134149524E-2</v>
      </c>
      <c r="C7438" s="10">
        <f ca="1">NPV(B7438,Project_FCF!C18:J18)+Project_FCF!B18</f>
        <v>924.56019700893876</v>
      </c>
      <c r="D7438" s="4"/>
      <c r="E7438" s="4"/>
    </row>
    <row r="7439" spans="1:5" x14ac:dyDescent="0.3">
      <c r="A7439" s="9">
        <v>7431</v>
      </c>
      <c r="B7439" s="10">
        <f t="shared" ca="1" si="116"/>
        <v>9.9679743488604616E-2</v>
      </c>
      <c r="C7439" s="10">
        <f ca="1">NPV(B7439,Project_FCF!C18:J18)+Project_FCF!B18</f>
        <v>784.94158913235719</v>
      </c>
      <c r="D7439" s="4"/>
      <c r="E7439" s="4"/>
    </row>
    <row r="7440" spans="1:5" x14ac:dyDescent="0.3">
      <c r="A7440" s="9">
        <v>7432</v>
      </c>
      <c r="B7440" s="10">
        <f t="shared" ca="1" si="116"/>
        <v>9.9918590243673777E-2</v>
      </c>
      <c r="C7440" s="10">
        <f ca="1">NPV(B7440,Project_FCF!C18:J18)+Project_FCF!B18</f>
        <v>783.22114497587768</v>
      </c>
      <c r="D7440" s="4"/>
      <c r="E7440" s="4"/>
    </row>
    <row r="7441" spans="1:5" x14ac:dyDescent="0.3">
      <c r="A7441" s="9">
        <v>7433</v>
      </c>
      <c r="B7441" s="10">
        <f t="shared" ca="1" si="116"/>
        <v>8.0433708260365527E-2</v>
      </c>
      <c r="C7441" s="10">
        <f ca="1">NPV(B7441,Project_FCF!C18:J18)+Project_FCF!B18</f>
        <v>934.70213804068794</v>
      </c>
      <c r="D7441" s="4"/>
      <c r="E7441" s="4"/>
    </row>
    <row r="7442" spans="1:5" x14ac:dyDescent="0.3">
      <c r="A7442" s="9">
        <v>7434</v>
      </c>
      <c r="B7442" s="10">
        <f t="shared" ca="1" si="116"/>
        <v>8.3552085034596407E-2</v>
      </c>
      <c r="C7442" s="10">
        <f ca="1">NPV(B7442,Project_FCF!C18:J18)+Project_FCF!B18</f>
        <v>908.87006633335636</v>
      </c>
      <c r="D7442" s="4"/>
      <c r="E7442" s="4"/>
    </row>
    <row r="7443" spans="1:5" x14ac:dyDescent="0.3">
      <c r="A7443" s="9">
        <v>7435</v>
      </c>
      <c r="B7443" s="10">
        <f t="shared" ca="1" si="116"/>
        <v>9.7628271985590043E-2</v>
      </c>
      <c r="C7443" s="10">
        <f ca="1">NPV(B7443,Project_FCF!C18:J18)+Project_FCF!B18</f>
        <v>799.85099503682159</v>
      </c>
      <c r="D7443" s="4"/>
      <c r="E7443" s="4"/>
    </row>
    <row r="7444" spans="1:5" x14ac:dyDescent="0.3">
      <c r="A7444" s="9">
        <v>7436</v>
      </c>
      <c r="B7444" s="10">
        <f t="shared" ca="1" si="116"/>
        <v>8.907162876458613E-2</v>
      </c>
      <c r="C7444" s="10">
        <f ca="1">NPV(B7444,Project_FCF!C18:J18)+Project_FCF!B18</f>
        <v>864.67943203278355</v>
      </c>
      <c r="D7444" s="4"/>
      <c r="E7444" s="4"/>
    </row>
    <row r="7445" spans="1:5" x14ac:dyDescent="0.3">
      <c r="A7445" s="9">
        <v>7437</v>
      </c>
      <c r="B7445" s="10">
        <f t="shared" ca="1" si="116"/>
        <v>9.9945323828371971E-2</v>
      </c>
      <c r="C7445" s="10">
        <f ca="1">NPV(B7445,Project_FCF!C18:J18)+Project_FCF!B18</f>
        <v>783.02877818644038</v>
      </c>
      <c r="D7445" s="4"/>
      <c r="E7445" s="4"/>
    </row>
    <row r="7446" spans="1:5" x14ac:dyDescent="0.3">
      <c r="A7446" s="9">
        <v>7438</v>
      </c>
      <c r="B7446" s="10">
        <f t="shared" ca="1" si="116"/>
        <v>7.7550109565411404E-2</v>
      </c>
      <c r="C7446" s="10">
        <f ca="1">NPV(B7446,Project_FCF!C18:J18)+Project_FCF!B18</f>
        <v>959.16511494377073</v>
      </c>
      <c r="D7446" s="4"/>
      <c r="E7446" s="4"/>
    </row>
    <row r="7447" spans="1:5" x14ac:dyDescent="0.3">
      <c r="A7447" s="9">
        <v>7439</v>
      </c>
      <c r="B7447" s="10">
        <f t="shared" ca="1" si="116"/>
        <v>8.0553718290525766E-2</v>
      </c>
      <c r="C7447" s="10">
        <f ca="1">NPV(B7447,Project_FCF!C18:J18)+Project_FCF!B18</f>
        <v>933.69613405601399</v>
      </c>
      <c r="D7447" s="4"/>
      <c r="E7447" s="4"/>
    </row>
    <row r="7448" spans="1:5" x14ac:dyDescent="0.3">
      <c r="A7448" s="9">
        <v>7440</v>
      </c>
      <c r="B7448" s="10">
        <f t="shared" ca="1" si="116"/>
        <v>9.8923719017571604E-2</v>
      </c>
      <c r="C7448" s="10">
        <f ca="1">NPV(B7448,Project_FCF!C18:J18)+Project_FCF!B18</f>
        <v>790.40844363539554</v>
      </c>
      <c r="D7448" s="4"/>
      <c r="E7448" s="4"/>
    </row>
    <row r="7449" spans="1:5" x14ac:dyDescent="0.3">
      <c r="A7449" s="9">
        <v>7441</v>
      </c>
      <c r="B7449" s="10">
        <f t="shared" ca="1" si="116"/>
        <v>7.2556424574410194E-2</v>
      </c>
      <c r="C7449" s="10">
        <f ca="1">NPV(B7449,Project_FCF!C18:J18)+Project_FCF!B18</f>
        <v>1002.8817725522688</v>
      </c>
      <c r="D7449" s="4"/>
      <c r="E7449" s="4"/>
    </row>
    <row r="7450" spans="1:5" x14ac:dyDescent="0.3">
      <c r="A7450" s="9">
        <v>7442</v>
      </c>
      <c r="B7450" s="10">
        <f t="shared" ca="1" si="116"/>
        <v>7.8545084271981008E-2</v>
      </c>
      <c r="C7450" s="10">
        <f ca="1">NPV(B7450,Project_FCF!C18:J18)+Project_FCF!B18</f>
        <v>950.66079851146947</v>
      </c>
      <c r="D7450" s="4"/>
      <c r="E7450" s="4"/>
    </row>
    <row r="7451" spans="1:5" x14ac:dyDescent="0.3">
      <c r="A7451" s="9">
        <v>7443</v>
      </c>
      <c r="B7451" s="10">
        <f t="shared" ca="1" si="116"/>
        <v>9.2204132118477888E-2</v>
      </c>
      <c r="C7451" s="10">
        <f ca="1">NPV(B7451,Project_FCF!C18:J18)+Project_FCF!B18</f>
        <v>840.4408464275964</v>
      </c>
      <c r="D7451" s="4"/>
      <c r="E7451" s="4"/>
    </row>
    <row r="7452" spans="1:5" x14ac:dyDescent="0.3">
      <c r="A7452" s="9">
        <v>7444</v>
      </c>
      <c r="B7452" s="10">
        <f t="shared" ca="1" si="116"/>
        <v>8.3909362021813469E-2</v>
      </c>
      <c r="C7452" s="10">
        <f ca="1">NPV(B7452,Project_FCF!C18:J18)+Project_FCF!B18</f>
        <v>905.95097466571065</v>
      </c>
      <c r="D7452" s="4"/>
      <c r="E7452" s="4"/>
    </row>
    <row r="7453" spans="1:5" x14ac:dyDescent="0.3">
      <c r="A7453" s="9">
        <v>7445</v>
      </c>
      <c r="B7453" s="10">
        <f t="shared" ca="1" si="116"/>
        <v>7.4564527210819617E-2</v>
      </c>
      <c r="C7453" s="10">
        <f ca="1">NPV(B7453,Project_FCF!C18:J18)+Project_FCF!B18</f>
        <v>985.09220710942736</v>
      </c>
      <c r="D7453" s="4"/>
      <c r="E7453" s="4"/>
    </row>
    <row r="7454" spans="1:5" x14ac:dyDescent="0.3">
      <c r="A7454" s="9">
        <v>7446</v>
      </c>
      <c r="B7454" s="10">
        <f t="shared" ca="1" si="116"/>
        <v>8.6863046213424402E-2</v>
      </c>
      <c r="C7454" s="10">
        <f ca="1">NPV(B7454,Project_FCF!C18:J18)+Project_FCF!B18</f>
        <v>882.1312983002374</v>
      </c>
      <c r="D7454" s="4"/>
      <c r="E7454" s="4"/>
    </row>
    <row r="7455" spans="1:5" x14ac:dyDescent="0.3">
      <c r="A7455" s="9">
        <v>7447</v>
      </c>
      <c r="B7455" s="10">
        <f t="shared" ca="1" si="116"/>
        <v>7.3885093048057474E-2</v>
      </c>
      <c r="C7455" s="10">
        <f ca="1">NPV(B7455,Project_FCF!C18:J18)+Project_FCF!B18</f>
        <v>991.07929140725923</v>
      </c>
      <c r="D7455" s="4"/>
      <c r="E7455" s="4"/>
    </row>
    <row r="7456" spans="1:5" x14ac:dyDescent="0.3">
      <c r="A7456" s="9">
        <v>7448</v>
      </c>
      <c r="B7456" s="10">
        <f t="shared" ca="1" si="116"/>
        <v>7.602650887380312E-2</v>
      </c>
      <c r="C7456" s="10">
        <f ca="1">NPV(B7456,Project_FCF!C18:J18)+Project_FCF!B18</f>
        <v>972.31906186857373</v>
      </c>
      <c r="D7456" s="4"/>
      <c r="E7456" s="4"/>
    </row>
    <row r="7457" spans="1:5" x14ac:dyDescent="0.3">
      <c r="A7457" s="9">
        <v>7449</v>
      </c>
      <c r="B7457" s="10">
        <f t="shared" ca="1" si="116"/>
        <v>6.6592570387648667E-2</v>
      </c>
      <c r="C7457" s="10">
        <f ca="1">NPV(B7457,Project_FCF!C18:J18)+Project_FCF!B18</f>
        <v>1057.4354270132519</v>
      </c>
      <c r="D7457" s="4"/>
      <c r="E7457" s="4"/>
    </row>
    <row r="7458" spans="1:5" x14ac:dyDescent="0.3">
      <c r="A7458" s="9">
        <v>7450</v>
      </c>
      <c r="B7458" s="10">
        <f t="shared" ca="1" si="116"/>
        <v>6.9306823678882801E-2</v>
      </c>
      <c r="C7458" s="10">
        <f ca="1">NPV(B7458,Project_FCF!C18:J18)+Project_FCF!B18</f>
        <v>1032.2828059629087</v>
      </c>
      <c r="D7458" s="4"/>
      <c r="E7458" s="4"/>
    </row>
    <row r="7459" spans="1:5" x14ac:dyDescent="0.3">
      <c r="A7459" s="9">
        <v>7451</v>
      </c>
      <c r="B7459" s="10">
        <f t="shared" ca="1" si="116"/>
        <v>7.3514032576495678E-2</v>
      </c>
      <c r="C7459" s="10">
        <f ca="1">NPV(B7459,Project_FCF!C18:J18)+Project_FCF!B18</f>
        <v>994.36278306742747</v>
      </c>
      <c r="D7459" s="4"/>
      <c r="E7459" s="4"/>
    </row>
    <row r="7460" spans="1:5" x14ac:dyDescent="0.3">
      <c r="A7460" s="9">
        <v>7452</v>
      </c>
      <c r="B7460" s="10">
        <f t="shared" ca="1" si="116"/>
        <v>8.6908223468481829E-2</v>
      </c>
      <c r="C7460" s="10">
        <f ca="1">NPV(B7460,Project_FCF!C18:J18)+Project_FCF!B18</f>
        <v>881.77126479214121</v>
      </c>
      <c r="D7460" s="4"/>
      <c r="E7460" s="4"/>
    </row>
    <row r="7461" spans="1:5" x14ac:dyDescent="0.3">
      <c r="A7461" s="9">
        <v>7453</v>
      </c>
      <c r="B7461" s="10">
        <f t="shared" ca="1" si="116"/>
        <v>8.6485148494273384E-2</v>
      </c>
      <c r="C7461" s="10">
        <f ca="1">NPV(B7461,Project_FCF!C18:J18)+Project_FCF!B18</f>
        <v>885.14792673688612</v>
      </c>
      <c r="D7461" s="4"/>
      <c r="E7461" s="4"/>
    </row>
    <row r="7462" spans="1:5" x14ac:dyDescent="0.3">
      <c r="A7462" s="9">
        <v>7454</v>
      </c>
      <c r="B7462" s="10">
        <f t="shared" ca="1" si="116"/>
        <v>7.7598173766027123E-2</v>
      </c>
      <c r="C7462" s="10">
        <f ca="1">NPV(B7462,Project_FCF!C18:J18)+Project_FCF!B18</f>
        <v>958.75274712680243</v>
      </c>
      <c r="D7462" s="4"/>
      <c r="E7462" s="4"/>
    </row>
    <row r="7463" spans="1:5" x14ac:dyDescent="0.3">
      <c r="A7463" s="9">
        <v>7455</v>
      </c>
      <c r="B7463" s="10">
        <f t="shared" ca="1" si="116"/>
        <v>9.2709669472046216E-2</v>
      </c>
      <c r="C7463" s="10">
        <f ca="1">NPV(B7463,Project_FCF!C18:J18)+Project_FCF!B18</f>
        <v>836.58463548190593</v>
      </c>
      <c r="D7463" s="4"/>
      <c r="E7463" s="4"/>
    </row>
    <row r="7464" spans="1:5" x14ac:dyDescent="0.3">
      <c r="A7464" s="9">
        <v>7456</v>
      </c>
      <c r="B7464" s="10">
        <f t="shared" ca="1" si="116"/>
        <v>6.7166678544470892E-2</v>
      </c>
      <c r="C7464" s="10">
        <f ca="1">NPV(B7464,Project_FCF!C18:J18)+Project_FCF!B18</f>
        <v>1052.0693219680541</v>
      </c>
      <c r="D7464" s="4"/>
      <c r="E7464" s="4"/>
    </row>
    <row r="7465" spans="1:5" x14ac:dyDescent="0.3">
      <c r="A7465" s="9">
        <v>7457</v>
      </c>
      <c r="B7465" s="10">
        <f t="shared" ca="1" si="116"/>
        <v>9.788447606697942E-2</v>
      </c>
      <c r="C7465" s="10">
        <f ca="1">NPV(B7465,Project_FCF!C18:J18)+Project_FCF!B18</f>
        <v>797.97595155071554</v>
      </c>
      <c r="D7465" s="4"/>
      <c r="E7465" s="4"/>
    </row>
    <row r="7466" spans="1:5" x14ac:dyDescent="0.3">
      <c r="A7466" s="9">
        <v>7458</v>
      </c>
      <c r="B7466" s="10">
        <f t="shared" ca="1" si="116"/>
        <v>0.10391035341550375</v>
      </c>
      <c r="C7466" s="10">
        <f ca="1">NPV(B7466,Project_FCF!C18:J18)+Project_FCF!B18</f>
        <v>754.9350751328609</v>
      </c>
      <c r="D7466" s="4"/>
      <c r="E7466" s="4"/>
    </row>
    <row r="7467" spans="1:5" x14ac:dyDescent="0.3">
      <c r="A7467" s="9">
        <v>7459</v>
      </c>
      <c r="B7467" s="10">
        <f t="shared" ca="1" si="116"/>
        <v>8.1022468799592268E-2</v>
      </c>
      <c r="C7467" s="10">
        <f ca="1">NPV(B7467,Project_FCF!C18:J18)+Project_FCF!B18</f>
        <v>929.77592259468133</v>
      </c>
      <c r="D7467" s="4"/>
      <c r="E7467" s="4"/>
    </row>
    <row r="7468" spans="1:5" x14ac:dyDescent="0.3">
      <c r="A7468" s="9">
        <v>7460</v>
      </c>
      <c r="B7468" s="10">
        <f t="shared" ca="1" si="116"/>
        <v>9.9443761249933121E-2</v>
      </c>
      <c r="C7468" s="10">
        <f ca="1">NPV(B7468,Project_FCF!C18:J18)+Project_FCF!B18</f>
        <v>786.64454016595141</v>
      </c>
      <c r="D7468" s="4"/>
      <c r="E7468" s="4"/>
    </row>
    <row r="7469" spans="1:5" x14ac:dyDescent="0.3">
      <c r="A7469" s="9">
        <v>7461</v>
      </c>
      <c r="B7469" s="10">
        <f t="shared" ca="1" si="116"/>
        <v>7.3822941459910293E-2</v>
      </c>
      <c r="C7469" s="10">
        <f ca="1">NPV(B7469,Project_FCF!C18:J18)+Project_FCF!B18</f>
        <v>991.62858800116055</v>
      </c>
      <c r="D7469" s="4"/>
      <c r="E7469" s="4"/>
    </row>
    <row r="7470" spans="1:5" x14ac:dyDescent="0.3">
      <c r="A7470" s="9">
        <v>7462</v>
      </c>
      <c r="B7470" s="10">
        <f t="shared" ca="1" si="116"/>
        <v>9.425848995663566E-2</v>
      </c>
      <c r="C7470" s="10">
        <f ca="1">NPV(B7470,Project_FCF!C18:J18)+Project_FCF!B18</f>
        <v>824.8648984334875</v>
      </c>
      <c r="D7470" s="4"/>
      <c r="E7470" s="4"/>
    </row>
    <row r="7471" spans="1:5" x14ac:dyDescent="0.3">
      <c r="A7471" s="9">
        <v>7463</v>
      </c>
      <c r="B7471" s="10">
        <f t="shared" ca="1" si="116"/>
        <v>7.2916964883703098E-2</v>
      </c>
      <c r="C7471" s="10">
        <f ca="1">NPV(B7471,Project_FCF!C18:J18)+Project_FCF!B18</f>
        <v>999.66669959435467</v>
      </c>
      <c r="D7471" s="4"/>
      <c r="E7471" s="4"/>
    </row>
    <row r="7472" spans="1:5" x14ac:dyDescent="0.3">
      <c r="A7472" s="9">
        <v>7464</v>
      </c>
      <c r="B7472" s="10">
        <f t="shared" ca="1" si="116"/>
        <v>0.1004688977922851</v>
      </c>
      <c r="C7472" s="10">
        <f ca="1">NPV(B7472,Project_FCF!C18:J18)+Project_FCF!B18</f>
        <v>779.26934268176683</v>
      </c>
      <c r="D7472" s="4"/>
      <c r="E7472" s="4"/>
    </row>
    <row r="7473" spans="1:5" x14ac:dyDescent="0.3">
      <c r="A7473" s="9">
        <v>7465</v>
      </c>
      <c r="B7473" s="10">
        <f t="shared" ca="1" si="116"/>
        <v>9.7190745884872837E-2</v>
      </c>
      <c r="C7473" s="10">
        <f ca="1">NPV(B7473,Project_FCF!C18:J18)+Project_FCF!B18</f>
        <v>803.06172102851656</v>
      </c>
      <c r="D7473" s="4"/>
      <c r="E7473" s="4"/>
    </row>
    <row r="7474" spans="1:5" x14ac:dyDescent="0.3">
      <c r="A7474" s="9">
        <v>7466</v>
      </c>
      <c r="B7474" s="10">
        <f t="shared" ca="1" si="116"/>
        <v>0.10051572122562188</v>
      </c>
      <c r="C7474" s="10">
        <f ca="1">NPV(B7474,Project_FCF!C18:J18)+Project_FCF!B18</f>
        <v>778.93387919242991</v>
      </c>
      <c r="D7474" s="4"/>
      <c r="E7474" s="4"/>
    </row>
    <row r="7475" spans="1:5" x14ac:dyDescent="0.3">
      <c r="A7475" s="9">
        <v>7467</v>
      </c>
      <c r="B7475" s="10">
        <f t="shared" ca="1" si="116"/>
        <v>8.9958571671782686E-2</v>
      </c>
      <c r="C7475" s="10">
        <f ca="1">NPV(B7475,Project_FCF!C18:J18)+Project_FCF!B18</f>
        <v>857.75585501912656</v>
      </c>
      <c r="D7475" s="4"/>
      <c r="E7475" s="4"/>
    </row>
    <row r="7476" spans="1:5" x14ac:dyDescent="0.3">
      <c r="A7476" s="9">
        <v>7468</v>
      </c>
      <c r="B7476" s="10">
        <f t="shared" ca="1" si="116"/>
        <v>8.5216336515123517E-2</v>
      </c>
      <c r="C7476" s="10">
        <f ca="1">NPV(B7476,Project_FCF!C18:J18)+Project_FCF!B18</f>
        <v>895.34246093498496</v>
      </c>
      <c r="D7476" s="4"/>
      <c r="E7476" s="4"/>
    </row>
    <row r="7477" spans="1:5" x14ac:dyDescent="0.3">
      <c r="A7477" s="9">
        <v>7469</v>
      </c>
      <c r="B7477" s="10">
        <f t="shared" ca="1" si="116"/>
        <v>7.363262639297577E-2</v>
      </c>
      <c r="C7477" s="10">
        <f ca="1">NPV(B7477,Project_FCF!C18:J18)+Project_FCF!B18</f>
        <v>993.31229397885545</v>
      </c>
      <c r="D7477" s="4"/>
      <c r="E7477" s="4"/>
    </row>
    <row r="7478" spans="1:5" x14ac:dyDescent="0.3">
      <c r="A7478" s="9">
        <v>7470</v>
      </c>
      <c r="B7478" s="10">
        <f t="shared" ca="1" si="116"/>
        <v>8.4204055777076264E-2</v>
      </c>
      <c r="C7478" s="10">
        <f ca="1">NPV(B7478,Project_FCF!C18:J18)+Project_FCF!B18</f>
        <v>903.54941202784744</v>
      </c>
      <c r="D7478" s="4"/>
      <c r="E7478" s="4"/>
    </row>
    <row r="7479" spans="1:5" x14ac:dyDescent="0.3">
      <c r="A7479" s="9">
        <v>7471</v>
      </c>
      <c r="B7479" s="10">
        <f t="shared" ca="1" si="116"/>
        <v>9.4155740946034086E-2</v>
      </c>
      <c r="C7479" s="10">
        <f ca="1">NPV(B7479,Project_FCF!C18:J18)+Project_FCF!B18</f>
        <v>825.63799668569368</v>
      </c>
      <c r="D7479" s="4"/>
      <c r="E7479" s="4"/>
    </row>
    <row r="7480" spans="1:5" x14ac:dyDescent="0.3">
      <c r="A7480" s="9">
        <v>7472</v>
      </c>
      <c r="B7480" s="10">
        <f t="shared" ca="1" si="116"/>
        <v>8.1993465954710576E-2</v>
      </c>
      <c r="C7480" s="10">
        <f ca="1">NPV(B7480,Project_FCF!C18:J18)+Project_FCF!B18</f>
        <v>921.7015884941186</v>
      </c>
      <c r="D7480" s="4"/>
      <c r="E7480" s="4"/>
    </row>
    <row r="7481" spans="1:5" x14ac:dyDescent="0.3">
      <c r="A7481" s="9">
        <v>7473</v>
      </c>
      <c r="B7481" s="10">
        <f t="shared" ca="1" si="116"/>
        <v>6.532790786531828E-2</v>
      </c>
      <c r="C7481" s="10">
        <f ca="1">NPV(B7481,Project_FCF!C18:J18)+Project_FCF!B18</f>
        <v>1069.3440159020333</v>
      </c>
      <c r="D7481" s="4"/>
      <c r="E7481" s="4"/>
    </row>
    <row r="7482" spans="1:5" x14ac:dyDescent="0.3">
      <c r="A7482" s="9">
        <v>7474</v>
      </c>
      <c r="B7482" s="10">
        <f t="shared" ca="1" si="116"/>
        <v>6.8490202806659087E-2</v>
      </c>
      <c r="C7482" s="10">
        <f ca="1">NPV(B7482,Project_FCF!C18:J18)+Project_FCF!B18</f>
        <v>1039.7926370302146</v>
      </c>
      <c r="D7482" s="4"/>
      <c r="E7482" s="4"/>
    </row>
    <row r="7483" spans="1:5" x14ac:dyDescent="0.3">
      <c r="A7483" s="9">
        <v>7475</v>
      </c>
      <c r="B7483" s="10">
        <f t="shared" ca="1" si="116"/>
        <v>8.5596228001775132E-2</v>
      </c>
      <c r="C7483" s="10">
        <f ca="1">NPV(B7483,Project_FCF!C18:J18)+Project_FCF!B18</f>
        <v>892.27942918108715</v>
      </c>
      <c r="D7483" s="4"/>
      <c r="E7483" s="4"/>
    </row>
    <row r="7484" spans="1:5" x14ac:dyDescent="0.3">
      <c r="A7484" s="9">
        <v>7476</v>
      </c>
      <c r="B7484" s="10">
        <f t="shared" ca="1" si="116"/>
        <v>8.9387845645530067E-2</v>
      </c>
      <c r="C7484" s="10">
        <f ca="1">NPV(B7484,Project_FCF!C18:J18)+Project_FCF!B18</f>
        <v>862.2054681480754</v>
      </c>
      <c r="D7484" s="4"/>
      <c r="E7484" s="4"/>
    </row>
    <row r="7485" spans="1:5" x14ac:dyDescent="0.3">
      <c r="A7485" s="9">
        <v>7477</v>
      </c>
      <c r="B7485" s="10">
        <f t="shared" ca="1" si="116"/>
        <v>7.1606584658143388E-2</v>
      </c>
      <c r="C7485" s="10">
        <f ca="1">NPV(B7485,Project_FCF!C18:J18)+Project_FCF!B18</f>
        <v>1011.3964287512476</v>
      </c>
      <c r="D7485" s="4"/>
      <c r="E7485" s="4"/>
    </row>
    <row r="7486" spans="1:5" x14ac:dyDescent="0.3">
      <c r="A7486" s="9">
        <v>7478</v>
      </c>
      <c r="B7486" s="10">
        <f t="shared" ca="1" si="116"/>
        <v>7.0857764446744478E-2</v>
      </c>
      <c r="C7486" s="10">
        <f ca="1">NPV(B7486,Project_FCF!C18:J18)+Project_FCF!B18</f>
        <v>1018.1549254639806</v>
      </c>
      <c r="D7486" s="4"/>
      <c r="E7486" s="4"/>
    </row>
    <row r="7487" spans="1:5" x14ac:dyDescent="0.3">
      <c r="A7487" s="9">
        <v>7479</v>
      </c>
      <c r="B7487" s="10">
        <f t="shared" ca="1" si="116"/>
        <v>0.10374702354735951</v>
      </c>
      <c r="C7487" s="10">
        <f ca="1">NPV(B7487,Project_FCF!C18:J18)+Project_FCF!B18</f>
        <v>756.07535845587495</v>
      </c>
      <c r="D7487" s="4"/>
      <c r="E7487" s="4"/>
    </row>
    <row r="7488" spans="1:5" x14ac:dyDescent="0.3">
      <c r="A7488" s="9">
        <v>7480</v>
      </c>
      <c r="B7488" s="10">
        <f t="shared" ca="1" si="116"/>
        <v>9.0657853307397715E-2</v>
      </c>
      <c r="C7488" s="10">
        <f ca="1">NPV(B7488,Project_FCF!C18:J18)+Project_FCF!B18</f>
        <v>852.33109835546179</v>
      </c>
      <c r="D7488" s="4"/>
      <c r="E7488" s="4"/>
    </row>
    <row r="7489" spans="1:5" x14ac:dyDescent="0.3">
      <c r="A7489" s="9">
        <v>7481</v>
      </c>
      <c r="B7489" s="10">
        <f t="shared" ca="1" si="116"/>
        <v>8.1215495771254864E-2</v>
      </c>
      <c r="C7489" s="10">
        <f ca="1">NPV(B7489,Project_FCF!C18:J18)+Project_FCF!B18</f>
        <v>928.16585032146008</v>
      </c>
      <c r="D7489" s="4"/>
      <c r="E7489" s="4"/>
    </row>
    <row r="7490" spans="1:5" x14ac:dyDescent="0.3">
      <c r="A7490" s="9">
        <v>7482</v>
      </c>
      <c r="B7490" s="10">
        <f t="shared" ca="1" si="116"/>
        <v>9.1339010838483836E-2</v>
      </c>
      <c r="C7490" s="10">
        <f ca="1">NPV(B7490,Project_FCF!C18:J18)+Project_FCF!B18</f>
        <v>847.07549816370897</v>
      </c>
      <c r="D7490" s="4"/>
      <c r="E7490" s="4"/>
    </row>
    <row r="7491" spans="1:5" x14ac:dyDescent="0.3">
      <c r="A7491" s="9">
        <v>7483</v>
      </c>
      <c r="B7491" s="10">
        <f t="shared" ca="1" si="116"/>
        <v>9.5926060873808033E-2</v>
      </c>
      <c r="C7491" s="10">
        <f ca="1">NPV(B7491,Project_FCF!C18:J18)+Project_FCF!B18</f>
        <v>812.40427234640401</v>
      </c>
      <c r="D7491" s="4"/>
      <c r="E7491" s="4"/>
    </row>
    <row r="7492" spans="1:5" x14ac:dyDescent="0.3">
      <c r="A7492" s="9">
        <v>7484</v>
      </c>
      <c r="B7492" s="10">
        <f t="shared" ca="1" si="116"/>
        <v>8.8213172111024474E-2</v>
      </c>
      <c r="C7492" s="10">
        <f ca="1">NPV(B7492,Project_FCF!C18:J18)+Project_FCF!B18</f>
        <v>871.4267904972321</v>
      </c>
      <c r="D7492" s="4"/>
      <c r="E7492" s="4"/>
    </row>
    <row r="7493" spans="1:5" x14ac:dyDescent="0.3">
      <c r="A7493" s="9">
        <v>7485</v>
      </c>
      <c r="B7493" s="10">
        <f t="shared" ca="1" si="116"/>
        <v>7.8662680540770177E-2</v>
      </c>
      <c r="C7493" s="10">
        <f ca="1">NPV(B7493,Project_FCF!C18:J18)+Project_FCF!B18</f>
        <v>949.66011353550493</v>
      </c>
      <c r="D7493" s="4"/>
      <c r="E7493" s="4"/>
    </row>
    <row r="7494" spans="1:5" x14ac:dyDescent="0.3">
      <c r="A7494" s="9">
        <v>7486</v>
      </c>
      <c r="B7494" s="10">
        <f t="shared" ca="1" si="116"/>
        <v>9.1283533557003443E-2</v>
      </c>
      <c r="C7494" s="10">
        <f ca="1">NPV(B7494,Project_FCF!C18:J18)+Project_FCF!B18</f>
        <v>847.502493640598</v>
      </c>
      <c r="D7494" s="4"/>
      <c r="E7494" s="4"/>
    </row>
    <row r="7495" spans="1:5" x14ac:dyDescent="0.3">
      <c r="A7495" s="9">
        <v>7487</v>
      </c>
      <c r="B7495" s="10">
        <f t="shared" ca="1" si="116"/>
        <v>6.9064949956475358E-2</v>
      </c>
      <c r="C7495" s="10">
        <f ca="1">NPV(B7495,Project_FCF!C18:J18)+Project_FCF!B18</f>
        <v>1034.5019957201662</v>
      </c>
      <c r="D7495" s="4"/>
      <c r="E7495" s="4"/>
    </row>
    <row r="7496" spans="1:5" x14ac:dyDescent="0.3">
      <c r="A7496" s="9">
        <v>7488</v>
      </c>
      <c r="B7496" s="10">
        <f t="shared" ca="1" si="116"/>
        <v>6.4958972203728108E-2</v>
      </c>
      <c r="C7496" s="10">
        <f ca="1">NPV(B7496,Project_FCF!C18:J18)+Project_FCF!B18</f>
        <v>1072.8410223234089</v>
      </c>
      <c r="D7496" s="4"/>
      <c r="E7496" s="4"/>
    </row>
    <row r="7497" spans="1:5" x14ac:dyDescent="0.3">
      <c r="A7497" s="9">
        <v>7489</v>
      </c>
      <c r="B7497" s="10">
        <f t="shared" ref="B7497:B7560" ca="1" si="117">$B$4+RAND()*($B$5-$B$4)</f>
        <v>8.9459218412191815E-2</v>
      </c>
      <c r="C7497" s="10">
        <f ca="1">NPV(B7497,Project_FCF!C18:J18)+Project_FCF!B18</f>
        <v>861.64792432515264</v>
      </c>
      <c r="D7497" s="4"/>
      <c r="E7497" s="4"/>
    </row>
    <row r="7498" spans="1:5" x14ac:dyDescent="0.3">
      <c r="A7498" s="9">
        <v>7490</v>
      </c>
      <c r="B7498" s="10">
        <f t="shared" ca="1" si="117"/>
        <v>9.6330450123987943E-2</v>
      </c>
      <c r="C7498" s="10">
        <f ca="1">NPV(B7498,Project_FCF!C18:J18)+Project_FCF!B18</f>
        <v>809.40691494142607</v>
      </c>
      <c r="D7498" s="4"/>
      <c r="E7498" s="4"/>
    </row>
    <row r="7499" spans="1:5" x14ac:dyDescent="0.3">
      <c r="A7499" s="9">
        <v>7491</v>
      </c>
      <c r="B7499" s="10">
        <f t="shared" ca="1" si="117"/>
        <v>7.0384132483106071E-2</v>
      </c>
      <c r="C7499" s="10">
        <f ca="1">NPV(B7499,Project_FCF!C18:J18)+Project_FCF!B18</f>
        <v>1022.4507083588951</v>
      </c>
      <c r="D7499" s="4"/>
      <c r="E7499" s="4"/>
    </row>
    <row r="7500" spans="1:5" x14ac:dyDescent="0.3">
      <c r="A7500" s="9">
        <v>7492</v>
      </c>
      <c r="B7500" s="10">
        <f t="shared" ca="1" si="117"/>
        <v>6.9356174252187597E-2</v>
      </c>
      <c r="C7500" s="10">
        <f ca="1">NPV(B7500,Project_FCF!C18:J18)+Project_FCF!B18</f>
        <v>1031.8305443662637</v>
      </c>
      <c r="D7500" s="4"/>
      <c r="E7500" s="4"/>
    </row>
    <row r="7501" spans="1:5" x14ac:dyDescent="0.3">
      <c r="A7501" s="9">
        <v>7493</v>
      </c>
      <c r="B7501" s="10">
        <f t="shared" ca="1" si="117"/>
        <v>7.3708356979694356E-2</v>
      </c>
      <c r="C7501" s="10">
        <f ca="1">NPV(B7501,Project_FCF!C18:J18)+Project_FCF!B18</f>
        <v>992.64200305507279</v>
      </c>
      <c r="D7501" s="4"/>
      <c r="E7501" s="4"/>
    </row>
    <row r="7502" spans="1:5" x14ac:dyDescent="0.3">
      <c r="A7502" s="9">
        <v>7494</v>
      </c>
      <c r="B7502" s="10">
        <f t="shared" ca="1" si="117"/>
        <v>0.10197945121090607</v>
      </c>
      <c r="C7502" s="10">
        <f ca="1">NPV(B7502,Project_FCF!C18:J18)+Project_FCF!B18</f>
        <v>768.50833391832384</v>
      </c>
      <c r="D7502" s="4"/>
      <c r="E7502" s="4"/>
    </row>
    <row r="7503" spans="1:5" x14ac:dyDescent="0.3">
      <c r="A7503" s="9">
        <v>7495</v>
      </c>
      <c r="B7503" s="10">
        <f t="shared" ca="1" si="117"/>
        <v>6.8069527712471906E-2</v>
      </c>
      <c r="C7503" s="10">
        <f ca="1">NPV(B7503,Project_FCF!C18:J18)+Project_FCF!B18</f>
        <v>1043.6805489805186</v>
      </c>
      <c r="D7503" s="4"/>
      <c r="E7503" s="4"/>
    </row>
    <row r="7504" spans="1:5" x14ac:dyDescent="0.3">
      <c r="A7504" s="9">
        <v>7496</v>
      </c>
      <c r="B7504" s="10">
        <f t="shared" ca="1" si="117"/>
        <v>8.2275328468246631E-2</v>
      </c>
      <c r="C7504" s="10">
        <f ca="1">NPV(B7504,Project_FCF!C18:J18)+Project_FCF!B18</f>
        <v>919.3693737819849</v>
      </c>
      <c r="D7504" s="4"/>
      <c r="E7504" s="4"/>
    </row>
    <row r="7505" spans="1:5" x14ac:dyDescent="0.3">
      <c r="A7505" s="9">
        <v>7497</v>
      </c>
      <c r="B7505" s="10">
        <f t="shared" ca="1" si="117"/>
        <v>7.1739792158427892E-2</v>
      </c>
      <c r="C7505" s="10">
        <f ca="1">NPV(B7505,Project_FCF!C18:J18)+Project_FCF!B18</f>
        <v>1010.198405869884</v>
      </c>
      <c r="D7505" s="4"/>
      <c r="E7505" s="4"/>
    </row>
    <row r="7506" spans="1:5" x14ac:dyDescent="0.3">
      <c r="A7506" s="9">
        <v>7498</v>
      </c>
      <c r="B7506" s="10">
        <f t="shared" ca="1" si="117"/>
        <v>8.1674397704561114E-2</v>
      </c>
      <c r="C7506" s="10">
        <f ca="1">NPV(B7506,Project_FCF!C18:J18)+Project_FCF!B18</f>
        <v>924.34794879385004</v>
      </c>
      <c r="D7506" s="4"/>
      <c r="E7506" s="4"/>
    </row>
    <row r="7507" spans="1:5" x14ac:dyDescent="0.3">
      <c r="A7507" s="9">
        <v>7499</v>
      </c>
      <c r="B7507" s="10">
        <f t="shared" ca="1" si="117"/>
        <v>6.9724644629965984E-2</v>
      </c>
      <c r="C7507" s="10">
        <f ca="1">NPV(B7507,Project_FCF!C18:J18)+Project_FCF!B18</f>
        <v>1028.4594466817275</v>
      </c>
      <c r="D7507" s="4"/>
      <c r="E7507" s="4"/>
    </row>
    <row r="7508" spans="1:5" x14ac:dyDescent="0.3">
      <c r="A7508" s="9">
        <v>7500</v>
      </c>
      <c r="B7508" s="10">
        <f t="shared" ca="1" si="117"/>
        <v>9.9036089655669485E-2</v>
      </c>
      <c r="C7508" s="10">
        <f ca="1">NPV(B7508,Project_FCF!C18:J18)+Project_FCF!B18</f>
        <v>789.5938498951266</v>
      </c>
      <c r="D7508" s="4"/>
      <c r="E7508" s="4"/>
    </row>
    <row r="7509" spans="1:5" x14ac:dyDescent="0.3">
      <c r="A7509" s="9">
        <v>7501</v>
      </c>
      <c r="B7509" s="10">
        <f t="shared" ca="1" si="117"/>
        <v>9.393884209536757E-2</v>
      </c>
      <c r="C7509" s="10">
        <f ca="1">NPV(B7509,Project_FCF!C18:J18)+Project_FCF!B18</f>
        <v>827.27201614019009</v>
      </c>
      <c r="D7509" s="4"/>
      <c r="E7509" s="4"/>
    </row>
    <row r="7510" spans="1:5" x14ac:dyDescent="0.3">
      <c r="A7510" s="9">
        <v>7502</v>
      </c>
      <c r="B7510" s="10">
        <f t="shared" ca="1" si="117"/>
        <v>8.680483617387437E-2</v>
      </c>
      <c r="C7510" s="10">
        <f ca="1">NPV(B7510,Project_FCF!C18:J18)+Project_FCF!B18</f>
        <v>882.59538375588795</v>
      </c>
      <c r="D7510" s="4"/>
      <c r="E7510" s="4"/>
    </row>
    <row r="7511" spans="1:5" x14ac:dyDescent="0.3">
      <c r="A7511" s="9">
        <v>7503</v>
      </c>
      <c r="B7511" s="10">
        <f t="shared" ca="1" si="117"/>
        <v>9.681896761230642E-2</v>
      </c>
      <c r="C7511" s="10">
        <f ca="1">NPV(B7511,Project_FCF!C18:J18)+Project_FCF!B18</f>
        <v>805.79858459995899</v>
      </c>
      <c r="D7511" s="4"/>
      <c r="E7511" s="4"/>
    </row>
    <row r="7512" spans="1:5" x14ac:dyDescent="0.3">
      <c r="A7512" s="9">
        <v>7504</v>
      </c>
      <c r="B7512" s="10">
        <f t="shared" ca="1" si="117"/>
        <v>9.7484332435119642E-2</v>
      </c>
      <c r="C7512" s="10">
        <f ca="1">NPV(B7512,Project_FCF!C18:J18)+Project_FCF!B18</f>
        <v>800.90606775168294</v>
      </c>
      <c r="D7512" s="4"/>
      <c r="E7512" s="4"/>
    </row>
    <row r="7513" spans="1:5" x14ac:dyDescent="0.3">
      <c r="A7513" s="9">
        <v>7505</v>
      </c>
      <c r="B7513" s="10">
        <f t="shared" ca="1" si="117"/>
        <v>9.036673871790743E-2</v>
      </c>
      <c r="C7513" s="10">
        <f ca="1">NPV(B7513,Project_FCF!C18:J18)+Project_FCF!B18</f>
        <v>854.58583372153635</v>
      </c>
      <c r="D7513" s="4"/>
      <c r="E7513" s="4"/>
    </row>
    <row r="7514" spans="1:5" x14ac:dyDescent="0.3">
      <c r="A7514" s="9">
        <v>7506</v>
      </c>
      <c r="B7514" s="10">
        <f t="shared" ca="1" si="117"/>
        <v>8.7023827737901377E-2</v>
      </c>
      <c r="C7514" s="10">
        <f ca="1">NPV(B7514,Project_FCF!C18:J18)+Project_FCF!B18</f>
        <v>880.85055711976338</v>
      </c>
      <c r="D7514" s="4"/>
      <c r="E7514" s="4"/>
    </row>
    <row r="7515" spans="1:5" x14ac:dyDescent="0.3">
      <c r="A7515" s="9">
        <v>7507</v>
      </c>
      <c r="B7515" s="10">
        <f t="shared" ca="1" si="117"/>
        <v>7.4902505391746227E-2</v>
      </c>
      <c r="C7515" s="10">
        <f ca="1">NPV(B7515,Project_FCF!C18:J18)+Project_FCF!B18</f>
        <v>982.12607172868616</v>
      </c>
      <c r="D7515" s="4"/>
      <c r="E7515" s="4"/>
    </row>
    <row r="7516" spans="1:5" x14ac:dyDescent="0.3">
      <c r="A7516" s="9">
        <v>7508</v>
      </c>
      <c r="B7516" s="10">
        <f t="shared" ca="1" si="117"/>
        <v>9.5657610132967141E-2</v>
      </c>
      <c r="C7516" s="10">
        <f ca="1">NPV(B7516,Project_FCF!C18:J18)+Project_FCF!B18</f>
        <v>814.39927691310618</v>
      </c>
      <c r="D7516" s="4"/>
      <c r="E7516" s="4"/>
    </row>
    <row r="7517" spans="1:5" x14ac:dyDescent="0.3">
      <c r="A7517" s="9">
        <v>7509</v>
      </c>
      <c r="B7517" s="10">
        <f t="shared" ca="1" si="117"/>
        <v>0.10011630632201537</v>
      </c>
      <c r="C7517" s="10">
        <f ca="1">NPV(B7517,Project_FCF!C18:J18)+Project_FCF!B18</f>
        <v>781.79938470962861</v>
      </c>
      <c r="D7517" s="4"/>
      <c r="E7517" s="4"/>
    </row>
    <row r="7518" spans="1:5" x14ac:dyDescent="0.3">
      <c r="A7518" s="9">
        <v>7510</v>
      </c>
      <c r="B7518" s="10">
        <f t="shared" ca="1" si="117"/>
        <v>9.2710186539912476E-2</v>
      </c>
      <c r="C7518" s="10">
        <f ca="1">NPV(B7518,Project_FCF!C18:J18)+Project_FCF!B18</f>
        <v>836.58069913062877</v>
      </c>
      <c r="D7518" s="4"/>
      <c r="E7518" s="4"/>
    </row>
    <row r="7519" spans="1:5" x14ac:dyDescent="0.3">
      <c r="A7519" s="9">
        <v>7511</v>
      </c>
      <c r="B7519" s="10">
        <f t="shared" ca="1" si="117"/>
        <v>7.2908506456175401E-2</v>
      </c>
      <c r="C7519" s="10">
        <f ca="1">NPV(B7519,Project_FCF!C18:J18)+Project_FCF!B18</f>
        <v>999.74202031984896</v>
      </c>
      <c r="D7519" s="4"/>
      <c r="E7519" s="4"/>
    </row>
    <row r="7520" spans="1:5" x14ac:dyDescent="0.3">
      <c r="A7520" s="9">
        <v>7512</v>
      </c>
      <c r="B7520" s="10">
        <f t="shared" ca="1" si="117"/>
        <v>8.0101922687944749E-2</v>
      </c>
      <c r="C7520" s="10">
        <f ca="1">NPV(B7520,Project_FCF!C18:J18)+Project_FCF!B18</f>
        <v>937.48837872869285</v>
      </c>
      <c r="D7520" s="4"/>
      <c r="E7520" s="4"/>
    </row>
    <row r="7521" spans="1:5" x14ac:dyDescent="0.3">
      <c r="A7521" s="9">
        <v>7513</v>
      </c>
      <c r="B7521" s="10">
        <f t="shared" ca="1" si="117"/>
        <v>7.7208405858894436E-2</v>
      </c>
      <c r="C7521" s="10">
        <f ca="1">NPV(B7521,Project_FCF!C18:J18)+Project_FCF!B18</f>
        <v>962.10132369843609</v>
      </c>
      <c r="D7521" s="4"/>
      <c r="E7521" s="4"/>
    </row>
    <row r="7522" spans="1:5" x14ac:dyDescent="0.3">
      <c r="A7522" s="9">
        <v>7514</v>
      </c>
      <c r="B7522" s="10">
        <f t="shared" ca="1" si="117"/>
        <v>9.81387283451121E-2</v>
      </c>
      <c r="C7522" s="10">
        <f ca="1">NPV(B7522,Project_FCF!C18:J18)+Project_FCF!B18</f>
        <v>796.11888819541628</v>
      </c>
      <c r="D7522" s="4"/>
      <c r="E7522" s="4"/>
    </row>
    <row r="7523" spans="1:5" x14ac:dyDescent="0.3">
      <c r="A7523" s="9">
        <v>7515</v>
      </c>
      <c r="B7523" s="10">
        <f t="shared" ca="1" si="117"/>
        <v>9.0294547208667142E-2</v>
      </c>
      <c r="C7523" s="10">
        <f ca="1">NPV(B7523,Project_FCF!C18:J18)+Project_FCF!B18</f>
        <v>855.14576810905305</v>
      </c>
      <c r="D7523" s="4"/>
      <c r="E7523" s="4"/>
    </row>
    <row r="7524" spans="1:5" x14ac:dyDescent="0.3">
      <c r="A7524" s="9">
        <v>7516</v>
      </c>
      <c r="B7524" s="10">
        <f t="shared" ca="1" si="117"/>
        <v>6.645630930528261E-2</v>
      </c>
      <c r="C7524" s="10">
        <f ca="1">NPV(B7524,Project_FCF!C18:J18)+Project_FCF!B18</f>
        <v>1058.7126887076861</v>
      </c>
      <c r="D7524" s="4"/>
      <c r="E7524" s="4"/>
    </row>
    <row r="7525" spans="1:5" x14ac:dyDescent="0.3">
      <c r="A7525" s="9">
        <v>7517</v>
      </c>
      <c r="B7525" s="10">
        <f t="shared" ca="1" si="117"/>
        <v>8.3654163907314338E-2</v>
      </c>
      <c r="C7525" s="10">
        <f ca="1">NPV(B7525,Project_FCF!C18:J18)+Project_FCF!B18</f>
        <v>908.03520033733298</v>
      </c>
      <c r="D7525" s="4"/>
      <c r="E7525" s="4"/>
    </row>
    <row r="7526" spans="1:5" x14ac:dyDescent="0.3">
      <c r="A7526" s="9">
        <v>7518</v>
      </c>
      <c r="B7526" s="10">
        <f t="shared" ca="1" si="117"/>
        <v>7.0263231520292277E-2</v>
      </c>
      <c r="C7526" s="10">
        <f ca="1">NPV(B7526,Project_FCF!C18:J18)+Project_FCF!B18</f>
        <v>1023.5498833762613</v>
      </c>
      <c r="D7526" s="4"/>
      <c r="E7526" s="4"/>
    </row>
    <row r="7527" spans="1:5" x14ac:dyDescent="0.3">
      <c r="A7527" s="9">
        <v>7519</v>
      </c>
      <c r="B7527" s="10">
        <f t="shared" ca="1" si="117"/>
        <v>0.10092732920462032</v>
      </c>
      <c r="C7527" s="10">
        <f ca="1">NPV(B7527,Project_FCF!C18:J18)+Project_FCF!B18</f>
        <v>775.99018396180873</v>
      </c>
      <c r="D7527" s="4"/>
      <c r="E7527" s="4"/>
    </row>
    <row r="7528" spans="1:5" x14ac:dyDescent="0.3">
      <c r="A7528" s="9">
        <v>7520</v>
      </c>
      <c r="B7528" s="10">
        <f t="shared" ca="1" si="117"/>
        <v>8.8613301377982706E-2</v>
      </c>
      <c r="C7528" s="10">
        <f ca="1">NPV(B7528,Project_FCF!C18:J18)+Project_FCF!B18</f>
        <v>868.27615510550186</v>
      </c>
      <c r="D7528" s="4"/>
      <c r="E7528" s="4"/>
    </row>
    <row r="7529" spans="1:5" x14ac:dyDescent="0.3">
      <c r="A7529" s="9">
        <v>7521</v>
      </c>
      <c r="B7529" s="10">
        <f t="shared" ca="1" si="117"/>
        <v>6.6643162019068627E-2</v>
      </c>
      <c r="C7529" s="10">
        <f ca="1">NPV(B7529,Project_FCF!C18:J18)+Project_FCF!B18</f>
        <v>1056.9615564714736</v>
      </c>
      <c r="D7529" s="4"/>
      <c r="E7529" s="4"/>
    </row>
    <row r="7530" spans="1:5" x14ac:dyDescent="0.3">
      <c r="A7530" s="9">
        <v>7522</v>
      </c>
      <c r="B7530" s="10">
        <f t="shared" ca="1" si="117"/>
        <v>8.6163544845119747E-2</v>
      </c>
      <c r="C7530" s="10">
        <f ca="1">NPV(B7530,Project_FCF!C18:J18)+Project_FCF!B18</f>
        <v>887.72226938207541</v>
      </c>
      <c r="D7530" s="4"/>
      <c r="E7530" s="4"/>
    </row>
    <row r="7531" spans="1:5" x14ac:dyDescent="0.3">
      <c r="A7531" s="9">
        <v>7523</v>
      </c>
      <c r="B7531" s="10">
        <f t="shared" ca="1" si="117"/>
        <v>7.0917195837261818E-2</v>
      </c>
      <c r="C7531" s="10">
        <f ca="1">NPV(B7531,Project_FCF!C18:J18)+Project_FCF!B18</f>
        <v>1017.6170418948759</v>
      </c>
      <c r="D7531" s="4"/>
      <c r="E7531" s="4"/>
    </row>
    <row r="7532" spans="1:5" x14ac:dyDescent="0.3">
      <c r="A7532" s="9">
        <v>7524</v>
      </c>
      <c r="B7532" s="10">
        <f t="shared" ca="1" si="117"/>
        <v>8.3525462792557459E-2</v>
      </c>
      <c r="C7532" s="10">
        <f ca="1">NPV(B7532,Project_FCF!C18:J18)+Project_FCF!B18</f>
        <v>909.08791084492259</v>
      </c>
      <c r="D7532" s="4"/>
      <c r="E7532" s="4"/>
    </row>
    <row r="7533" spans="1:5" x14ac:dyDescent="0.3">
      <c r="A7533" s="9">
        <v>7525</v>
      </c>
      <c r="B7533" s="10">
        <f t="shared" ca="1" si="117"/>
        <v>7.7981268432065529E-2</v>
      </c>
      <c r="C7533" s="10">
        <f ca="1">NPV(B7533,Project_FCF!C18:J18)+Project_FCF!B18</f>
        <v>955.47161386178414</v>
      </c>
      <c r="D7533" s="4"/>
      <c r="E7533" s="4"/>
    </row>
    <row r="7534" spans="1:5" x14ac:dyDescent="0.3">
      <c r="A7534" s="9">
        <v>7526</v>
      </c>
      <c r="B7534" s="10">
        <f t="shared" ca="1" si="117"/>
        <v>8.2171357626944663E-2</v>
      </c>
      <c r="C7534" s="10">
        <f ca="1">NPV(B7534,Project_FCF!C18:J18)+Project_FCF!B18</f>
        <v>920.22905336053373</v>
      </c>
      <c r="D7534" s="4"/>
      <c r="E7534" s="4"/>
    </row>
    <row r="7535" spans="1:5" x14ac:dyDescent="0.3">
      <c r="A7535" s="9">
        <v>7527</v>
      </c>
      <c r="B7535" s="10">
        <f t="shared" ca="1" si="117"/>
        <v>8.5054429210051602E-2</v>
      </c>
      <c r="C7535" s="10">
        <f ca="1">NPV(B7535,Project_FCF!C18:J18)+Project_FCF!B18</f>
        <v>896.65070053007366</v>
      </c>
      <c r="D7535" s="4"/>
      <c r="E7535" s="4"/>
    </row>
    <row r="7536" spans="1:5" x14ac:dyDescent="0.3">
      <c r="A7536" s="9">
        <v>7528</v>
      </c>
      <c r="B7536" s="10">
        <f t="shared" ca="1" si="117"/>
        <v>7.7676198622761899E-2</v>
      </c>
      <c r="C7536" s="10">
        <f ca="1">NPV(B7536,Project_FCF!C18:J18)+Project_FCF!B18</f>
        <v>958.08366719858668</v>
      </c>
      <c r="D7536" s="4"/>
      <c r="E7536" s="4"/>
    </row>
    <row r="7537" spans="1:5" x14ac:dyDescent="0.3">
      <c r="A7537" s="9">
        <v>7529</v>
      </c>
      <c r="B7537" s="10">
        <f t="shared" ca="1" si="117"/>
        <v>6.4961135598802136E-2</v>
      </c>
      <c r="C7537" s="10">
        <f ca="1">NPV(B7537,Project_FCF!C18:J18)+Project_FCF!B18</f>
        <v>1072.820485919797</v>
      </c>
      <c r="D7537" s="4"/>
      <c r="E7537" s="4"/>
    </row>
    <row r="7538" spans="1:5" x14ac:dyDescent="0.3">
      <c r="A7538" s="9">
        <v>7530</v>
      </c>
      <c r="B7538" s="10">
        <f t="shared" ca="1" si="117"/>
        <v>6.861657600811856E-2</v>
      </c>
      <c r="C7538" s="10">
        <f ca="1">NPV(B7538,Project_FCF!C18:J18)+Project_FCF!B18</f>
        <v>1038.6272532953783</v>
      </c>
      <c r="D7538" s="4"/>
      <c r="E7538" s="4"/>
    </row>
    <row r="7539" spans="1:5" x14ac:dyDescent="0.3">
      <c r="A7539" s="9">
        <v>7531</v>
      </c>
      <c r="B7539" s="10">
        <f t="shared" ca="1" si="117"/>
        <v>9.1867479306635122E-2</v>
      </c>
      <c r="C7539" s="10">
        <f ca="1">NPV(B7539,Project_FCF!C18:J18)+Project_FCF!B18</f>
        <v>843.0173032809023</v>
      </c>
      <c r="D7539" s="4"/>
      <c r="E7539" s="4"/>
    </row>
    <row r="7540" spans="1:5" x14ac:dyDescent="0.3">
      <c r="A7540" s="9">
        <v>7532</v>
      </c>
      <c r="B7540" s="10">
        <f t="shared" ca="1" si="117"/>
        <v>8.4787720691613777E-2</v>
      </c>
      <c r="C7540" s="10">
        <f ca="1">NPV(B7540,Project_FCF!C18:J18)+Project_FCF!B18</f>
        <v>898.80940385250506</v>
      </c>
      <c r="D7540" s="4"/>
      <c r="E7540" s="4"/>
    </row>
    <row r="7541" spans="1:5" x14ac:dyDescent="0.3">
      <c r="A7541" s="9">
        <v>7533</v>
      </c>
      <c r="B7541" s="10">
        <f t="shared" ca="1" si="117"/>
        <v>9.4450647372317675E-2</v>
      </c>
      <c r="C7541" s="10">
        <f ca="1">NPV(B7541,Project_FCF!C18:J18)+Project_FCF!B18</f>
        <v>823.42074463937684</v>
      </c>
      <c r="D7541" s="4"/>
      <c r="E7541" s="4"/>
    </row>
    <row r="7542" spans="1:5" x14ac:dyDescent="0.3">
      <c r="A7542" s="9">
        <v>7534</v>
      </c>
      <c r="B7542" s="10">
        <f t="shared" ca="1" si="117"/>
        <v>6.9405881999699687E-2</v>
      </c>
      <c r="C7542" s="10">
        <f ca="1">NPV(B7542,Project_FCF!C18:J18)+Project_FCF!B18</f>
        <v>1031.3751907799551</v>
      </c>
      <c r="D7542" s="4"/>
      <c r="E7542" s="4"/>
    </row>
    <row r="7543" spans="1:5" x14ac:dyDescent="0.3">
      <c r="A7543" s="9">
        <v>7535</v>
      </c>
      <c r="B7543" s="10">
        <f t="shared" ca="1" si="117"/>
        <v>9.6571120710268868E-2</v>
      </c>
      <c r="C7543" s="10">
        <f ca="1">NPV(B7543,Project_FCF!C18:J18)+Project_FCF!B18</f>
        <v>807.62753448280182</v>
      </c>
      <c r="D7543" s="4"/>
      <c r="E7543" s="4"/>
    </row>
    <row r="7544" spans="1:5" x14ac:dyDescent="0.3">
      <c r="A7544" s="9">
        <v>7536</v>
      </c>
      <c r="B7544" s="10">
        <f t="shared" ca="1" si="117"/>
        <v>7.3434307856053607E-2</v>
      </c>
      <c r="C7544" s="10">
        <f ca="1">NPV(B7544,Project_FCF!C18:J18)+Project_FCF!B18</f>
        <v>995.06953489584293</v>
      </c>
      <c r="D7544" s="4"/>
      <c r="E7544" s="4"/>
    </row>
    <row r="7545" spans="1:5" x14ac:dyDescent="0.3">
      <c r="A7545" s="9">
        <v>7537</v>
      </c>
      <c r="B7545" s="10">
        <f t="shared" ca="1" si="117"/>
        <v>7.0180959236691445E-2</v>
      </c>
      <c r="C7545" s="10">
        <f ca="1">NPV(B7545,Project_FCF!C18:J18)+Project_FCF!B18</f>
        <v>1024.2984746537406</v>
      </c>
      <c r="D7545" s="4"/>
      <c r="E7545" s="4"/>
    </row>
    <row r="7546" spans="1:5" x14ac:dyDescent="0.3">
      <c r="A7546" s="9">
        <v>7538</v>
      </c>
      <c r="B7546" s="10">
        <f t="shared" ca="1" si="117"/>
        <v>7.9766235385335463E-2</v>
      </c>
      <c r="C7546" s="10">
        <f ca="1">NPV(B7546,Project_FCF!C18:J18)+Project_FCF!B18</f>
        <v>940.31486617813857</v>
      </c>
      <c r="D7546" s="4"/>
      <c r="E7546" s="4"/>
    </row>
    <row r="7547" spans="1:5" x14ac:dyDescent="0.3">
      <c r="A7547" s="9">
        <v>7539</v>
      </c>
      <c r="B7547" s="10">
        <f t="shared" ca="1" si="117"/>
        <v>9.0204158334566922E-2</v>
      </c>
      <c r="C7547" s="10">
        <f ca="1">NPV(B7547,Project_FCF!C18:J18)+Project_FCF!B18</f>
        <v>855.84729330303207</v>
      </c>
      <c r="D7547" s="4"/>
      <c r="E7547" s="4"/>
    </row>
    <row r="7548" spans="1:5" x14ac:dyDescent="0.3">
      <c r="A7548" s="9">
        <v>7540</v>
      </c>
      <c r="B7548" s="10">
        <f t="shared" ca="1" si="117"/>
        <v>8.1678835619497486E-2</v>
      </c>
      <c r="C7548" s="10">
        <f ca="1">NPV(B7548,Project_FCF!C18:J18)+Project_FCF!B18</f>
        <v>924.31109469410103</v>
      </c>
      <c r="D7548" s="4"/>
      <c r="E7548" s="4"/>
    </row>
    <row r="7549" spans="1:5" x14ac:dyDescent="0.3">
      <c r="A7549" s="9">
        <v>7541</v>
      </c>
      <c r="B7549" s="10">
        <f t="shared" ca="1" si="117"/>
        <v>6.6412687904682216E-2</v>
      </c>
      <c r="C7549" s="10">
        <f ca="1">NPV(B7549,Project_FCF!C18:J18)+Project_FCF!B18</f>
        <v>1059.1218763174986</v>
      </c>
      <c r="D7549" s="4"/>
      <c r="E7549" s="4"/>
    </row>
    <row r="7550" spans="1:5" x14ac:dyDescent="0.3">
      <c r="A7550" s="9">
        <v>7542</v>
      </c>
      <c r="B7550" s="10">
        <f t="shared" ca="1" si="117"/>
        <v>7.7769593011764726E-2</v>
      </c>
      <c r="C7550" s="10">
        <f ca="1">NPV(B7550,Project_FCF!C18:J18)+Project_FCF!B18</f>
        <v>957.28333658419956</v>
      </c>
      <c r="D7550" s="4"/>
      <c r="E7550" s="4"/>
    </row>
    <row r="7551" spans="1:5" x14ac:dyDescent="0.3">
      <c r="A7551" s="9">
        <v>7543</v>
      </c>
      <c r="B7551" s="10">
        <f t="shared" ca="1" si="117"/>
        <v>0.10307095193008445</v>
      </c>
      <c r="C7551" s="10">
        <f ca="1">NPV(B7551,Project_FCF!C18:J18)+Project_FCF!B18</f>
        <v>760.81070172626846</v>
      </c>
      <c r="D7551" s="4"/>
      <c r="E7551" s="4"/>
    </row>
    <row r="7552" spans="1:5" x14ac:dyDescent="0.3">
      <c r="A7552" s="9">
        <v>7544</v>
      </c>
      <c r="B7552" s="10">
        <f t="shared" ca="1" si="117"/>
        <v>6.7269411383462291E-2</v>
      </c>
      <c r="C7552" s="10">
        <f ca="1">NPV(B7552,Project_FCF!C18:J18)+Project_FCF!B18</f>
        <v>1051.1117081177831</v>
      </c>
      <c r="D7552" s="4"/>
      <c r="E7552" s="4"/>
    </row>
    <row r="7553" spans="1:5" x14ac:dyDescent="0.3">
      <c r="A7553" s="9">
        <v>7545</v>
      </c>
      <c r="B7553" s="10">
        <f t="shared" ca="1" si="117"/>
        <v>6.8282089150832684E-2</v>
      </c>
      <c r="C7553" s="10">
        <f ca="1">NPV(B7553,Project_FCF!C18:J18)+Project_FCF!B18</f>
        <v>1041.7143952171396</v>
      </c>
      <c r="D7553" s="4"/>
      <c r="E7553" s="4"/>
    </row>
    <row r="7554" spans="1:5" x14ac:dyDescent="0.3">
      <c r="A7554" s="9">
        <v>7546</v>
      </c>
      <c r="B7554" s="10">
        <f t="shared" ca="1" si="117"/>
        <v>9.8768211319173321E-2</v>
      </c>
      <c r="C7554" s="10">
        <f ca="1">NPV(B7554,Project_FCF!C18:J18)+Project_FCF!B18</f>
        <v>791.53692070620923</v>
      </c>
      <c r="D7554" s="4"/>
      <c r="E7554" s="4"/>
    </row>
    <row r="7555" spans="1:5" x14ac:dyDescent="0.3">
      <c r="A7555" s="9">
        <v>7547</v>
      </c>
      <c r="B7555" s="10">
        <f t="shared" ca="1" si="117"/>
        <v>8.3720325152059433E-2</v>
      </c>
      <c r="C7555" s="10">
        <f ca="1">NPV(B7555,Project_FCF!C18:J18)+Project_FCF!B18</f>
        <v>907.49445153738975</v>
      </c>
      <c r="D7555" s="4"/>
      <c r="E7555" s="4"/>
    </row>
    <row r="7556" spans="1:5" x14ac:dyDescent="0.3">
      <c r="A7556" s="9">
        <v>7548</v>
      </c>
      <c r="B7556" s="10">
        <f t="shared" ca="1" si="117"/>
        <v>8.3504250785378029E-2</v>
      </c>
      <c r="C7556" s="10">
        <f ca="1">NPV(B7556,Project_FCF!C18:J18)+Project_FCF!B18</f>
        <v>909.26151732845892</v>
      </c>
      <c r="D7556" s="4"/>
      <c r="E7556" s="4"/>
    </row>
    <row r="7557" spans="1:5" x14ac:dyDescent="0.3">
      <c r="A7557" s="9">
        <v>7549</v>
      </c>
      <c r="B7557" s="10">
        <f t="shared" ca="1" si="117"/>
        <v>8.9315266972487622E-2</v>
      </c>
      <c r="C7557" s="10">
        <f ca="1">NPV(B7557,Project_FCF!C18:J18)+Project_FCF!B18</f>
        <v>862.77275307413811</v>
      </c>
      <c r="D7557" s="4"/>
      <c r="E7557" s="4"/>
    </row>
    <row r="7558" spans="1:5" x14ac:dyDescent="0.3">
      <c r="A7558" s="9">
        <v>7550</v>
      </c>
      <c r="B7558" s="10">
        <f t="shared" ca="1" si="117"/>
        <v>6.993652029669585E-2</v>
      </c>
      <c r="C7558" s="10">
        <f ca="1">NPV(B7558,Project_FCF!C18:J18)+Project_FCF!B18</f>
        <v>1026.5255310400648</v>
      </c>
      <c r="D7558" s="4"/>
      <c r="E7558" s="4"/>
    </row>
    <row r="7559" spans="1:5" x14ac:dyDescent="0.3">
      <c r="A7559" s="9">
        <v>7551</v>
      </c>
      <c r="B7559" s="10">
        <f t="shared" ca="1" si="117"/>
        <v>0.10078120414523536</v>
      </c>
      <c r="C7559" s="10">
        <f ca="1">NPV(B7559,Project_FCF!C18:J18)+Project_FCF!B18</f>
        <v>777.03414892003752</v>
      </c>
      <c r="D7559" s="4"/>
      <c r="E7559" s="4"/>
    </row>
    <row r="7560" spans="1:5" x14ac:dyDescent="0.3">
      <c r="A7560" s="9">
        <v>7552</v>
      </c>
      <c r="B7560" s="10">
        <f t="shared" ca="1" si="117"/>
        <v>6.8841889649996726E-2</v>
      </c>
      <c r="C7560" s="10">
        <f ca="1">NPV(B7560,Project_FCF!C18:J18)+Project_FCF!B18</f>
        <v>1036.5523999085922</v>
      </c>
      <c r="D7560" s="4"/>
      <c r="E7560" s="4"/>
    </row>
    <row r="7561" spans="1:5" x14ac:dyDescent="0.3">
      <c r="A7561" s="9">
        <v>7553</v>
      </c>
      <c r="B7561" s="10">
        <f t="shared" ref="B7561:B7624" ca="1" si="118">$B$4+RAND()*($B$5-$B$4)</f>
        <v>8.348561936346692E-2</v>
      </c>
      <c r="C7561" s="10">
        <f ca="1">NPV(B7561,Project_FCF!C18:J18)+Project_FCF!B18</f>
        <v>909.41402743652611</v>
      </c>
      <c r="D7561" s="4"/>
      <c r="E7561" s="4"/>
    </row>
    <row r="7562" spans="1:5" x14ac:dyDescent="0.3">
      <c r="A7562" s="9">
        <v>7554</v>
      </c>
      <c r="B7562" s="10">
        <f t="shared" ca="1" si="118"/>
        <v>6.644859733707642E-2</v>
      </c>
      <c r="C7562" s="10">
        <f ca="1">NPV(B7562,Project_FCF!C18:J18)+Project_FCF!B18</f>
        <v>1058.7850198367425</v>
      </c>
      <c r="D7562" s="4"/>
      <c r="E7562" s="4"/>
    </row>
    <row r="7563" spans="1:5" x14ac:dyDescent="0.3">
      <c r="A7563" s="9">
        <v>7555</v>
      </c>
      <c r="B7563" s="10">
        <f t="shared" ca="1" si="118"/>
        <v>9.9224742955226958E-2</v>
      </c>
      <c r="C7563" s="10">
        <f ca="1">NPV(B7563,Project_FCF!C18:J18)+Project_FCF!B18</f>
        <v>788.22787058663471</v>
      </c>
      <c r="D7563" s="4"/>
      <c r="E7563" s="4"/>
    </row>
    <row r="7564" spans="1:5" x14ac:dyDescent="0.3">
      <c r="A7564" s="9">
        <v>7556</v>
      </c>
      <c r="B7564" s="10">
        <f t="shared" ca="1" si="118"/>
        <v>7.7169271070164205E-2</v>
      </c>
      <c r="C7564" s="10">
        <f ca="1">NPV(B7564,Project_FCF!C18:J18)+Project_FCF!B18</f>
        <v>962.43811342013828</v>
      </c>
      <c r="D7564" s="4"/>
      <c r="E7564" s="4"/>
    </row>
    <row r="7565" spans="1:5" x14ac:dyDescent="0.3">
      <c r="A7565" s="9">
        <v>7557</v>
      </c>
      <c r="B7565" s="10">
        <f t="shared" ca="1" si="118"/>
        <v>9.7712797927831246E-2</v>
      </c>
      <c r="C7565" s="10">
        <f ca="1">NPV(B7565,Project_FCF!C18:J18)+Project_FCF!B18</f>
        <v>799.23197359364372</v>
      </c>
      <c r="D7565" s="4"/>
      <c r="E7565" s="4"/>
    </row>
    <row r="7566" spans="1:5" x14ac:dyDescent="0.3">
      <c r="A7566" s="9">
        <v>7558</v>
      </c>
      <c r="B7566" s="10">
        <f t="shared" ca="1" si="118"/>
        <v>7.378427298509338E-2</v>
      </c>
      <c r="C7566" s="10">
        <f ca="1">NPV(B7566,Project_FCF!C18:J18)+Project_FCF!B18</f>
        <v>991.97047828916948</v>
      </c>
      <c r="D7566" s="4"/>
      <c r="E7566" s="4"/>
    </row>
    <row r="7567" spans="1:5" x14ac:dyDescent="0.3">
      <c r="A7567" s="9">
        <v>7559</v>
      </c>
      <c r="B7567" s="10">
        <f t="shared" ca="1" si="118"/>
        <v>8.4460601505919677E-2</v>
      </c>
      <c r="C7567" s="10">
        <f ca="1">NPV(B7567,Project_FCF!C18:J18)+Project_FCF!B18</f>
        <v>901.46328190656095</v>
      </c>
      <c r="D7567" s="4"/>
      <c r="E7567" s="4"/>
    </row>
    <row r="7568" spans="1:5" x14ac:dyDescent="0.3">
      <c r="A7568" s="9">
        <v>7560</v>
      </c>
      <c r="B7568" s="10">
        <f t="shared" ca="1" si="118"/>
        <v>7.920129477995469E-2</v>
      </c>
      <c r="C7568" s="10">
        <f ca="1">NPV(B7568,Project_FCF!C18:J18)+Project_FCF!B18</f>
        <v>945.0887180498969</v>
      </c>
      <c r="D7568" s="4"/>
      <c r="E7568" s="4"/>
    </row>
    <row r="7569" spans="1:5" x14ac:dyDescent="0.3">
      <c r="A7569" s="9">
        <v>7561</v>
      </c>
      <c r="B7569" s="10">
        <f t="shared" ca="1" si="118"/>
        <v>6.8998896910195048E-2</v>
      </c>
      <c r="C7569" s="10">
        <f ca="1">NPV(B7569,Project_FCF!C18:J18)+Project_FCF!B18</f>
        <v>1035.1087822484333</v>
      </c>
      <c r="D7569" s="4"/>
      <c r="E7569" s="4"/>
    </row>
    <row r="7570" spans="1:5" x14ac:dyDescent="0.3">
      <c r="A7570" s="9">
        <v>7562</v>
      </c>
      <c r="B7570" s="10">
        <f t="shared" ca="1" si="118"/>
        <v>9.3355623565799739E-2</v>
      </c>
      <c r="C7570" s="10">
        <f ca="1">NPV(B7570,Project_FCF!C18:J18)+Project_FCF!B18</f>
        <v>831.67950243447717</v>
      </c>
      <c r="D7570" s="4"/>
      <c r="E7570" s="4"/>
    </row>
    <row r="7571" spans="1:5" x14ac:dyDescent="0.3">
      <c r="A7571" s="9">
        <v>7563</v>
      </c>
      <c r="B7571" s="10">
        <f t="shared" ca="1" si="118"/>
        <v>8.0278627577549791E-2</v>
      </c>
      <c r="C7571" s="10">
        <f ca="1">NPV(B7571,Project_FCF!C18:J18)+Project_FCF!B18</f>
        <v>936.00354786434832</v>
      </c>
      <c r="D7571" s="4"/>
      <c r="E7571" s="4"/>
    </row>
    <row r="7572" spans="1:5" x14ac:dyDescent="0.3">
      <c r="A7572" s="9">
        <v>7564</v>
      </c>
      <c r="B7572" s="10">
        <f t="shared" ca="1" si="118"/>
        <v>9.9210143757659353E-2</v>
      </c>
      <c r="C7572" s="10">
        <f ca="1">NPV(B7572,Project_FCF!C18:J18)+Project_FCF!B18</f>
        <v>788.33350724548291</v>
      </c>
      <c r="D7572" s="4"/>
      <c r="E7572" s="4"/>
    </row>
    <row r="7573" spans="1:5" x14ac:dyDescent="0.3">
      <c r="A7573" s="9">
        <v>7565</v>
      </c>
      <c r="B7573" s="10">
        <f t="shared" ca="1" si="118"/>
        <v>8.8284766066103665E-2</v>
      </c>
      <c r="C7573" s="10">
        <f ca="1">NPV(B7573,Project_FCF!C18:J18)+Project_FCF!B18</f>
        <v>870.86232749735495</v>
      </c>
      <c r="D7573" s="4"/>
      <c r="E7573" s="4"/>
    </row>
    <row r="7574" spans="1:5" x14ac:dyDescent="0.3">
      <c r="A7574" s="9">
        <v>7566</v>
      </c>
      <c r="B7574" s="10">
        <f t="shared" ca="1" si="118"/>
        <v>0.1014954498415836</v>
      </c>
      <c r="C7574" s="10">
        <f ca="1">NPV(B7574,Project_FCF!C18:J18)+Project_FCF!B18</f>
        <v>771.94257894679026</v>
      </c>
      <c r="D7574" s="4"/>
      <c r="E7574" s="4"/>
    </row>
    <row r="7575" spans="1:5" x14ac:dyDescent="0.3">
      <c r="A7575" s="9">
        <v>7567</v>
      </c>
      <c r="B7575" s="10">
        <f t="shared" ca="1" si="118"/>
        <v>0.10346020399862607</v>
      </c>
      <c r="C7575" s="10">
        <f ca="1">NPV(B7575,Project_FCF!C18:J18)+Project_FCF!B18</f>
        <v>758.08127388575053</v>
      </c>
      <c r="D7575" s="4"/>
      <c r="E7575" s="4"/>
    </row>
    <row r="7576" spans="1:5" x14ac:dyDescent="0.3">
      <c r="A7576" s="9">
        <v>7568</v>
      </c>
      <c r="B7576" s="10">
        <f t="shared" ca="1" si="118"/>
        <v>6.5778730156773393E-2</v>
      </c>
      <c r="C7576" s="10">
        <f ca="1">NPV(B7576,Project_FCF!C18:J18)+Project_FCF!B18</f>
        <v>1065.0849465287693</v>
      </c>
      <c r="D7576" s="4"/>
      <c r="E7576" s="4"/>
    </row>
    <row r="7577" spans="1:5" x14ac:dyDescent="0.3">
      <c r="A7577" s="9">
        <v>7569</v>
      </c>
      <c r="B7577" s="10">
        <f t="shared" ca="1" si="118"/>
        <v>0.1010497826907385</v>
      </c>
      <c r="C7577" s="10">
        <f ca="1">NPV(B7577,Project_FCF!C18:J18)+Project_FCF!B18</f>
        <v>775.11624810721196</v>
      </c>
      <c r="D7577" s="4"/>
      <c r="E7577" s="4"/>
    </row>
    <row r="7578" spans="1:5" x14ac:dyDescent="0.3">
      <c r="A7578" s="9">
        <v>7570</v>
      </c>
      <c r="B7578" s="10">
        <f t="shared" ca="1" si="118"/>
        <v>8.7721367822636065E-2</v>
      </c>
      <c r="C7578" s="10">
        <f ca="1">NPV(B7578,Project_FCF!C18:J18)+Project_FCF!B18</f>
        <v>875.31289848274741</v>
      </c>
      <c r="D7578" s="4"/>
      <c r="E7578" s="4"/>
    </row>
    <row r="7579" spans="1:5" x14ac:dyDescent="0.3">
      <c r="A7579" s="9">
        <v>7571</v>
      </c>
      <c r="B7579" s="10">
        <f t="shared" ca="1" si="118"/>
        <v>8.3593450602281114E-2</v>
      </c>
      <c r="C7579" s="10">
        <f ca="1">NPV(B7579,Project_FCF!C18:J18)+Project_FCF!B18</f>
        <v>908.53167114082521</v>
      </c>
      <c r="D7579" s="4"/>
      <c r="E7579" s="4"/>
    </row>
    <row r="7580" spans="1:5" x14ac:dyDescent="0.3">
      <c r="A7580" s="9">
        <v>7572</v>
      </c>
      <c r="B7580" s="10">
        <f t="shared" ca="1" si="118"/>
        <v>6.839303057834617E-2</v>
      </c>
      <c r="C7580" s="10">
        <f ca="1">NPV(B7580,Project_FCF!C18:J18)+Project_FCF!B18</f>
        <v>1040.689542173076</v>
      </c>
      <c r="D7580" s="4"/>
      <c r="E7580" s="4"/>
    </row>
    <row r="7581" spans="1:5" x14ac:dyDescent="0.3">
      <c r="A7581" s="9">
        <v>7573</v>
      </c>
      <c r="B7581" s="10">
        <f t="shared" ca="1" si="118"/>
        <v>0.10300264889777591</v>
      </c>
      <c r="C7581" s="10">
        <f ca="1">NPV(B7581,Project_FCF!C18:J18)+Project_FCF!B18</f>
        <v>761.29049046358114</v>
      </c>
      <c r="D7581" s="4"/>
      <c r="E7581" s="4"/>
    </row>
    <row r="7582" spans="1:5" x14ac:dyDescent="0.3">
      <c r="A7582" s="9">
        <v>7574</v>
      </c>
      <c r="B7582" s="10">
        <f t="shared" ca="1" si="118"/>
        <v>9.0530427663475216E-2</v>
      </c>
      <c r="C7582" s="10">
        <f ca="1">NPV(B7582,Project_FCF!C18:J18)+Project_FCF!B18</f>
        <v>853.3173988964495</v>
      </c>
      <c r="D7582" s="4"/>
      <c r="E7582" s="4"/>
    </row>
    <row r="7583" spans="1:5" x14ac:dyDescent="0.3">
      <c r="A7583" s="9">
        <v>7575</v>
      </c>
      <c r="B7583" s="10">
        <f t="shared" ca="1" si="118"/>
        <v>8.3087858553097083E-2</v>
      </c>
      <c r="C7583" s="10">
        <f ca="1">NPV(B7583,Project_FCF!C18:J18)+Project_FCF!B18</f>
        <v>912.67532404575127</v>
      </c>
      <c r="D7583" s="4"/>
      <c r="E7583" s="4"/>
    </row>
    <row r="7584" spans="1:5" x14ac:dyDescent="0.3">
      <c r="A7584" s="9">
        <v>7576</v>
      </c>
      <c r="B7584" s="10">
        <f t="shared" ca="1" si="118"/>
        <v>7.1209987635839703E-2</v>
      </c>
      <c r="C7584" s="10">
        <f ca="1">NPV(B7584,Project_FCF!C18:J18)+Project_FCF!B18</f>
        <v>1014.9708706380859</v>
      </c>
      <c r="D7584" s="4"/>
      <c r="E7584" s="4"/>
    </row>
    <row r="7585" spans="1:5" x14ac:dyDescent="0.3">
      <c r="A7585" s="9">
        <v>7577</v>
      </c>
      <c r="B7585" s="10">
        <f t="shared" ca="1" si="118"/>
        <v>8.5530823040399023E-2</v>
      </c>
      <c r="C7585" s="10">
        <f ca="1">NPV(B7585,Project_FCF!C18:J18)+Project_FCF!B18</f>
        <v>892.80612916596783</v>
      </c>
      <c r="D7585" s="4"/>
      <c r="E7585" s="4"/>
    </row>
    <row r="7586" spans="1:5" x14ac:dyDescent="0.3">
      <c r="A7586" s="9">
        <v>7578</v>
      </c>
      <c r="B7586" s="10">
        <f t="shared" ca="1" si="118"/>
        <v>6.5201016945894544E-2</v>
      </c>
      <c r="C7586" s="10">
        <f ca="1">NPV(B7586,Project_FCF!C18:J18)+Project_FCF!B18</f>
        <v>1070.5455938476655</v>
      </c>
      <c r="D7586" s="4"/>
      <c r="E7586" s="4"/>
    </row>
    <row r="7587" spans="1:5" x14ac:dyDescent="0.3">
      <c r="A7587" s="9">
        <v>7579</v>
      </c>
      <c r="B7587" s="10">
        <f t="shared" ca="1" si="118"/>
        <v>7.7708738824237511E-2</v>
      </c>
      <c r="C7587" s="10">
        <f ca="1">NPV(B7587,Project_FCF!C18:J18)+Project_FCF!B18</f>
        <v>957.80475077694496</v>
      </c>
      <c r="D7587" s="4"/>
      <c r="E7587" s="4"/>
    </row>
    <row r="7588" spans="1:5" x14ac:dyDescent="0.3">
      <c r="A7588" s="9">
        <v>7580</v>
      </c>
      <c r="B7588" s="10">
        <f t="shared" ca="1" si="118"/>
        <v>7.101457529245879E-2</v>
      </c>
      <c r="C7588" s="10">
        <f ca="1">NPV(B7588,Project_FCF!C18:J18)+Project_FCF!B18</f>
        <v>1016.7362635908976</v>
      </c>
      <c r="D7588" s="4"/>
      <c r="E7588" s="4"/>
    </row>
    <row r="7589" spans="1:5" x14ac:dyDescent="0.3">
      <c r="A7589" s="9">
        <v>7581</v>
      </c>
      <c r="B7589" s="10">
        <f t="shared" ca="1" si="118"/>
        <v>6.5066104068815633E-2</v>
      </c>
      <c r="C7589" s="10">
        <f ca="1">NPV(B7589,Project_FCF!C18:J18)+Project_FCF!B18</f>
        <v>1071.8244852662547</v>
      </c>
      <c r="D7589" s="4"/>
      <c r="E7589" s="4"/>
    </row>
    <row r="7590" spans="1:5" x14ac:dyDescent="0.3">
      <c r="A7590" s="9">
        <v>7582</v>
      </c>
      <c r="B7590" s="10">
        <f t="shared" ca="1" si="118"/>
        <v>8.5205253374495776E-2</v>
      </c>
      <c r="C7590" s="10">
        <f ca="1">NPV(B7590,Project_FCF!C18:J18)+Project_FCF!B18</f>
        <v>895.43196133981792</v>
      </c>
      <c r="D7590" s="4"/>
      <c r="E7590" s="4"/>
    </row>
    <row r="7591" spans="1:5" x14ac:dyDescent="0.3">
      <c r="A7591" s="9">
        <v>7583</v>
      </c>
      <c r="B7591" s="10">
        <f t="shared" ca="1" si="118"/>
        <v>9.006722642760337E-2</v>
      </c>
      <c r="C7591" s="10">
        <f ca="1">NPV(B7591,Project_FCF!C18:J18)+Project_FCF!B18</f>
        <v>856.91099705653892</v>
      </c>
      <c r="D7591" s="4"/>
      <c r="E7591" s="4"/>
    </row>
    <row r="7592" spans="1:5" x14ac:dyDescent="0.3">
      <c r="A7592" s="9">
        <v>7584</v>
      </c>
      <c r="B7592" s="10">
        <f t="shared" ca="1" si="118"/>
        <v>0.10067056222869156</v>
      </c>
      <c r="C7592" s="10">
        <f ca="1">NPV(B7592,Project_FCF!C18:J18)+Project_FCF!B18</f>
        <v>777.82539916259589</v>
      </c>
      <c r="D7592" s="4"/>
      <c r="E7592" s="4"/>
    </row>
    <row r="7593" spans="1:5" x14ac:dyDescent="0.3">
      <c r="A7593" s="9">
        <v>7585</v>
      </c>
      <c r="B7593" s="10">
        <f t="shared" ca="1" si="118"/>
        <v>8.8851364966722413E-2</v>
      </c>
      <c r="C7593" s="10">
        <f ca="1">NPV(B7593,Project_FCF!C18:J18)+Project_FCF!B18</f>
        <v>866.40633323382781</v>
      </c>
      <c r="D7593" s="4"/>
      <c r="E7593" s="4"/>
    </row>
    <row r="7594" spans="1:5" x14ac:dyDescent="0.3">
      <c r="A7594" s="9">
        <v>7586</v>
      </c>
      <c r="B7594" s="10">
        <f t="shared" ca="1" si="118"/>
        <v>6.4719155035879189E-2</v>
      </c>
      <c r="C7594" s="10">
        <f ca="1">NPV(B7594,Project_FCF!C18:J18)+Project_FCF!B18</f>
        <v>1075.1197538380482</v>
      </c>
      <c r="D7594" s="4"/>
      <c r="E7594" s="4"/>
    </row>
    <row r="7595" spans="1:5" x14ac:dyDescent="0.3">
      <c r="A7595" s="9">
        <v>7587</v>
      </c>
      <c r="B7595" s="10">
        <f t="shared" ca="1" si="118"/>
        <v>0.10061289147677843</v>
      </c>
      <c r="C7595" s="10">
        <f ca="1">NPV(B7595,Project_FCF!C18:J18)+Project_FCF!B18</f>
        <v>778.23809834433291</v>
      </c>
      <c r="D7595" s="4"/>
      <c r="E7595" s="4"/>
    </row>
    <row r="7596" spans="1:5" x14ac:dyDescent="0.3">
      <c r="A7596" s="9">
        <v>7588</v>
      </c>
      <c r="B7596" s="10">
        <f t="shared" ca="1" si="118"/>
        <v>9.8675721270486766E-2</v>
      </c>
      <c r="C7596" s="10">
        <f ca="1">NPV(B7596,Project_FCF!C18:J18)+Project_FCF!B18</f>
        <v>792.20874377421592</v>
      </c>
      <c r="D7596" s="4"/>
      <c r="E7596" s="4"/>
    </row>
    <row r="7597" spans="1:5" x14ac:dyDescent="0.3">
      <c r="A7597" s="9">
        <v>7589</v>
      </c>
      <c r="B7597" s="10">
        <f t="shared" ca="1" si="118"/>
        <v>9.2769905802623662E-2</v>
      </c>
      <c r="C7597" s="10">
        <f ca="1">NPV(B7597,Project_FCF!C18:J18)+Project_FCF!B18</f>
        <v>836.12617360169565</v>
      </c>
      <c r="D7597" s="4"/>
      <c r="E7597" s="4"/>
    </row>
    <row r="7598" spans="1:5" x14ac:dyDescent="0.3">
      <c r="A7598" s="9">
        <v>7590</v>
      </c>
      <c r="B7598" s="10">
        <f t="shared" ca="1" si="118"/>
        <v>9.2802691130493734E-2</v>
      </c>
      <c r="C7598" s="10">
        <f ca="1">NPV(B7598,Project_FCF!C18:J18)+Project_FCF!B18</f>
        <v>835.87673363982572</v>
      </c>
      <c r="D7598" s="4"/>
      <c r="E7598" s="4"/>
    </row>
    <row r="7599" spans="1:5" x14ac:dyDescent="0.3">
      <c r="A7599" s="9">
        <v>7591</v>
      </c>
      <c r="B7599" s="10">
        <f t="shared" ca="1" si="118"/>
        <v>9.627803729205972E-2</v>
      </c>
      <c r="C7599" s="10">
        <f ca="1">NPV(B7599,Project_FCF!C18:J18)+Project_FCF!B18</f>
        <v>809.79486865513877</v>
      </c>
      <c r="D7599" s="4"/>
      <c r="E7599" s="4"/>
    </row>
    <row r="7600" spans="1:5" x14ac:dyDescent="0.3">
      <c r="A7600" s="9">
        <v>7592</v>
      </c>
      <c r="B7600" s="10">
        <f t="shared" ca="1" si="118"/>
        <v>8.9096843498899153E-2</v>
      </c>
      <c r="C7600" s="10">
        <f ca="1">NPV(B7600,Project_FCF!C18:J18)+Project_FCF!B18</f>
        <v>864.48193549997882</v>
      </c>
      <c r="D7600" s="4"/>
      <c r="E7600" s="4"/>
    </row>
    <row r="7601" spans="1:5" x14ac:dyDescent="0.3">
      <c r="A7601" s="9">
        <v>7593</v>
      </c>
      <c r="B7601" s="10">
        <f t="shared" ca="1" si="118"/>
        <v>8.5114467509998959E-2</v>
      </c>
      <c r="C7601" s="10">
        <f ca="1">NPV(B7601,Project_FCF!C18:J18)+Project_FCF!B18</f>
        <v>896.16538530656953</v>
      </c>
      <c r="D7601" s="4"/>
      <c r="E7601" s="4"/>
    </row>
    <row r="7602" spans="1:5" x14ac:dyDescent="0.3">
      <c r="A7602" s="9">
        <v>7594</v>
      </c>
      <c r="B7602" s="10">
        <f t="shared" ca="1" si="118"/>
        <v>7.72229544577403E-2</v>
      </c>
      <c r="C7602" s="10">
        <f ca="1">NPV(B7602,Project_FCF!C18:J18)+Project_FCF!B18</f>
        <v>961.97614681432287</v>
      </c>
      <c r="D7602" s="4"/>
      <c r="E7602" s="4"/>
    </row>
    <row r="7603" spans="1:5" x14ac:dyDescent="0.3">
      <c r="A7603" s="9">
        <v>7595</v>
      </c>
      <c r="B7603" s="10">
        <f t="shared" ca="1" si="118"/>
        <v>7.6292293516606172E-2</v>
      </c>
      <c r="C7603" s="10">
        <f ca="1">NPV(B7603,Project_FCF!C18:J18)+Project_FCF!B18</f>
        <v>970.01290170931998</v>
      </c>
      <c r="D7603" s="4"/>
      <c r="E7603" s="4"/>
    </row>
    <row r="7604" spans="1:5" x14ac:dyDescent="0.3">
      <c r="A7604" s="9">
        <v>7596</v>
      </c>
      <c r="B7604" s="10">
        <f t="shared" ca="1" si="118"/>
        <v>9.4487690384780137E-2</v>
      </c>
      <c r="C7604" s="10">
        <f ca="1">NPV(B7604,Project_FCF!C18:J18)+Project_FCF!B18</f>
        <v>823.14259826719945</v>
      </c>
      <c r="D7604" s="4"/>
      <c r="E7604" s="4"/>
    </row>
    <row r="7605" spans="1:5" x14ac:dyDescent="0.3">
      <c r="A7605" s="9">
        <v>7597</v>
      </c>
      <c r="B7605" s="10">
        <f t="shared" ca="1" si="118"/>
        <v>9.4880144562996302E-2</v>
      </c>
      <c r="C7605" s="10">
        <f ca="1">NPV(B7605,Project_FCF!C18:J18)+Project_FCF!B18</f>
        <v>820.20070334330148</v>
      </c>
      <c r="D7605" s="4"/>
      <c r="E7605" s="4"/>
    </row>
    <row r="7606" spans="1:5" x14ac:dyDescent="0.3">
      <c r="A7606" s="9">
        <v>7598</v>
      </c>
      <c r="B7606" s="10">
        <f t="shared" ca="1" si="118"/>
        <v>8.5870713528591644E-2</v>
      </c>
      <c r="C7606" s="10">
        <f ca="1">NPV(B7606,Project_FCF!C18:J18)+Project_FCF!B18</f>
        <v>890.07198587135417</v>
      </c>
      <c r="D7606" s="4"/>
      <c r="E7606" s="4"/>
    </row>
    <row r="7607" spans="1:5" x14ac:dyDescent="0.3">
      <c r="A7607" s="9">
        <v>7599</v>
      </c>
      <c r="B7607" s="10">
        <f t="shared" ca="1" si="118"/>
        <v>7.4367481945386837E-2</v>
      </c>
      <c r="C7607" s="10">
        <f ca="1">NPV(B7607,Project_FCF!C18:J18)+Project_FCF!B18</f>
        <v>986.82519834011759</v>
      </c>
      <c r="D7607" s="4"/>
      <c r="E7607" s="4"/>
    </row>
    <row r="7608" spans="1:5" x14ac:dyDescent="0.3">
      <c r="A7608" s="9">
        <v>7600</v>
      </c>
      <c r="B7608" s="10">
        <f t="shared" ca="1" si="118"/>
        <v>6.7915598340375888E-2</v>
      </c>
      <c r="C7608" s="10">
        <f ca="1">NPV(B7608,Project_FCF!C18:J18)+Project_FCF!B18</f>
        <v>1045.106467768114</v>
      </c>
      <c r="D7608" s="4"/>
      <c r="E7608" s="4"/>
    </row>
    <row r="7609" spans="1:5" x14ac:dyDescent="0.3">
      <c r="A7609" s="9">
        <v>7601</v>
      </c>
      <c r="B7609" s="10">
        <f t="shared" ca="1" si="118"/>
        <v>6.8916415013992399E-2</v>
      </c>
      <c r="C7609" s="10">
        <f ca="1">NPV(B7609,Project_FCF!C18:J18)+Project_FCF!B18</f>
        <v>1035.8669424388625</v>
      </c>
      <c r="D7609" s="4"/>
      <c r="E7609" s="4"/>
    </row>
    <row r="7610" spans="1:5" x14ac:dyDescent="0.3">
      <c r="A7610" s="9">
        <v>7602</v>
      </c>
      <c r="B7610" s="10">
        <f t="shared" ca="1" si="118"/>
        <v>7.2326053857389619E-2</v>
      </c>
      <c r="C7610" s="10">
        <f ca="1">NPV(B7610,Project_FCF!C18:J18)+Project_FCF!B18</f>
        <v>1004.9409393968635</v>
      </c>
      <c r="D7610" s="4"/>
      <c r="E7610" s="4"/>
    </row>
    <row r="7611" spans="1:5" x14ac:dyDescent="0.3">
      <c r="A7611" s="9">
        <v>7603</v>
      </c>
      <c r="B7611" s="10">
        <f t="shared" ca="1" si="118"/>
        <v>7.5045395031336865E-2</v>
      </c>
      <c r="C7611" s="10">
        <f ca="1">NPV(B7611,Project_FCF!C18:J18)+Project_FCF!B18</f>
        <v>980.87446194934364</v>
      </c>
      <c r="D7611" s="4"/>
      <c r="E7611" s="4"/>
    </row>
    <row r="7612" spans="1:5" x14ac:dyDescent="0.3">
      <c r="A7612" s="9">
        <v>7604</v>
      </c>
      <c r="B7612" s="10">
        <f t="shared" ca="1" si="118"/>
        <v>9.8229314940818435E-2</v>
      </c>
      <c r="C7612" s="10">
        <f ca="1">NPV(B7612,Project_FCF!C18:J18)+Project_FCF!B18</f>
        <v>795.45812996852897</v>
      </c>
      <c r="D7612" s="4"/>
      <c r="E7612" s="4"/>
    </row>
    <row r="7613" spans="1:5" x14ac:dyDescent="0.3">
      <c r="A7613" s="9">
        <v>7605</v>
      </c>
      <c r="B7613" s="10">
        <f t="shared" ca="1" si="118"/>
        <v>6.5175204545372387E-2</v>
      </c>
      <c r="C7613" s="10">
        <f ca="1">NPV(B7613,Project_FCF!C18:J18)+Project_FCF!B18</f>
        <v>1070.7901718611695</v>
      </c>
      <c r="D7613" s="4"/>
      <c r="E7613" s="4"/>
    </row>
    <row r="7614" spans="1:5" x14ac:dyDescent="0.3">
      <c r="A7614" s="9">
        <v>7606</v>
      </c>
      <c r="B7614" s="10">
        <f t="shared" ca="1" si="118"/>
        <v>9.7871189215823856E-2</v>
      </c>
      <c r="C7614" s="10">
        <f ca="1">NPV(B7614,Project_FCF!C18:J18)+Project_FCF!B18</f>
        <v>798.07310011052255</v>
      </c>
      <c r="D7614" s="4"/>
      <c r="E7614" s="4"/>
    </row>
    <row r="7615" spans="1:5" x14ac:dyDescent="0.3">
      <c r="A7615" s="9">
        <v>7607</v>
      </c>
      <c r="B7615" s="10">
        <f t="shared" ca="1" si="118"/>
        <v>7.2956127564592854E-2</v>
      </c>
      <c r="C7615" s="10">
        <f ca="1">NPV(B7615,Project_FCF!C18:J18)+Project_FCF!B18</f>
        <v>999.31802964881126</v>
      </c>
      <c r="D7615" s="4"/>
      <c r="E7615" s="4"/>
    </row>
    <row r="7616" spans="1:5" x14ac:dyDescent="0.3">
      <c r="A7616" s="9">
        <v>7608</v>
      </c>
      <c r="B7616" s="10">
        <f t="shared" ca="1" si="118"/>
        <v>7.6382530110496963E-2</v>
      </c>
      <c r="C7616" s="10">
        <f ca="1">NPV(B7616,Project_FCF!C18:J18)+Project_FCF!B18</f>
        <v>969.23104767871746</v>
      </c>
      <c r="D7616" s="4"/>
      <c r="E7616" s="4"/>
    </row>
    <row r="7617" spans="1:5" x14ac:dyDescent="0.3">
      <c r="A7617" s="9">
        <v>7609</v>
      </c>
      <c r="B7617" s="10">
        <f t="shared" ca="1" si="118"/>
        <v>8.3495846330272488E-2</v>
      </c>
      <c r="C7617" s="10">
        <f ca="1">NPV(B7617,Project_FCF!C18:J18)+Project_FCF!B18</f>
        <v>909.33031038703029</v>
      </c>
      <c r="D7617" s="4"/>
      <c r="E7617" s="4"/>
    </row>
    <row r="7618" spans="1:5" x14ac:dyDescent="0.3">
      <c r="A7618" s="9">
        <v>7610</v>
      </c>
      <c r="B7618" s="10">
        <f t="shared" ca="1" si="118"/>
        <v>9.9841717262509969E-2</v>
      </c>
      <c r="C7618" s="10">
        <f ca="1">NPV(B7618,Project_FCF!C18:J18)+Project_FCF!B18</f>
        <v>783.77452247520978</v>
      </c>
      <c r="D7618" s="4"/>
      <c r="E7618" s="4"/>
    </row>
    <row r="7619" spans="1:5" x14ac:dyDescent="0.3">
      <c r="A7619" s="9">
        <v>7611</v>
      </c>
      <c r="B7619" s="10">
        <f t="shared" ca="1" si="118"/>
        <v>9.5014069992652675E-2</v>
      </c>
      <c r="C7619" s="10">
        <f ca="1">NPV(B7619,Project_FCF!C18:J18)+Project_FCF!B18</f>
        <v>819.19884169863326</v>
      </c>
      <c r="D7619" s="4"/>
      <c r="E7619" s="4"/>
    </row>
    <row r="7620" spans="1:5" x14ac:dyDescent="0.3">
      <c r="A7620" s="9">
        <v>7612</v>
      </c>
      <c r="B7620" s="10">
        <f t="shared" ca="1" si="118"/>
        <v>9.2791840813716484E-2</v>
      </c>
      <c r="C7620" s="10">
        <f ca="1">NPV(B7620,Project_FCF!C18:J18)+Project_FCF!B18</f>
        <v>835.95927879890996</v>
      </c>
      <c r="D7620" s="4"/>
      <c r="E7620" s="4"/>
    </row>
    <row r="7621" spans="1:5" x14ac:dyDescent="0.3">
      <c r="A7621" s="9">
        <v>7613</v>
      </c>
      <c r="B7621" s="10">
        <f t="shared" ca="1" si="118"/>
        <v>9.1644478217614581E-2</v>
      </c>
      <c r="C7621" s="10">
        <f ca="1">NPV(B7621,Project_FCF!C18:J18)+Project_FCF!B18</f>
        <v>844.72771370909345</v>
      </c>
      <c r="D7621" s="4"/>
      <c r="E7621" s="4"/>
    </row>
    <row r="7622" spans="1:5" x14ac:dyDescent="0.3">
      <c r="A7622" s="9">
        <v>7614</v>
      </c>
      <c r="B7622" s="10">
        <f t="shared" ca="1" si="118"/>
        <v>8.8897288222567497E-2</v>
      </c>
      <c r="C7622" s="10">
        <f ca="1">NPV(B7622,Project_FCF!C18:J18)+Project_FCF!B18</f>
        <v>866.04604112299535</v>
      </c>
      <c r="D7622" s="4"/>
      <c r="E7622" s="4"/>
    </row>
    <row r="7623" spans="1:5" x14ac:dyDescent="0.3">
      <c r="A7623" s="9">
        <v>7615</v>
      </c>
      <c r="B7623" s="10">
        <f t="shared" ca="1" si="118"/>
        <v>9.083635531210392E-2</v>
      </c>
      <c r="C7623" s="10">
        <f ca="1">NPV(B7623,Project_FCF!C18:J18)+Project_FCF!B18</f>
        <v>850.9511144486944</v>
      </c>
      <c r="D7623" s="4"/>
      <c r="E7623" s="4"/>
    </row>
    <row r="7624" spans="1:5" x14ac:dyDescent="0.3">
      <c r="A7624" s="9">
        <v>7616</v>
      </c>
      <c r="B7624" s="10">
        <f t="shared" ca="1" si="118"/>
        <v>0.10334396212930039</v>
      </c>
      <c r="C7624" s="10">
        <f ca="1">NPV(B7624,Project_FCF!C18:J18)+Project_FCF!B18</f>
        <v>758.89549811106372</v>
      </c>
      <c r="D7624" s="4"/>
      <c r="E7624" s="4"/>
    </row>
    <row r="7625" spans="1:5" x14ac:dyDescent="0.3">
      <c r="A7625" s="9">
        <v>7617</v>
      </c>
      <c r="B7625" s="10">
        <f t="shared" ref="B7625:B7688" ca="1" si="119">$B$4+RAND()*($B$5-$B$4)</f>
        <v>8.0672670208480179E-2</v>
      </c>
      <c r="C7625" s="10">
        <f ca="1">NPV(B7625,Project_FCF!C18:J18)+Project_FCF!B18</f>
        <v>932.69994507380329</v>
      </c>
      <c r="D7625" s="4"/>
      <c r="E7625" s="4"/>
    </row>
    <row r="7626" spans="1:5" x14ac:dyDescent="0.3">
      <c r="A7626" s="9">
        <v>7618</v>
      </c>
      <c r="B7626" s="10">
        <f t="shared" ca="1" si="119"/>
        <v>8.7498273275327304E-2</v>
      </c>
      <c r="C7626" s="10">
        <f ca="1">NPV(B7626,Project_FCF!C18:J18)+Project_FCF!B18</f>
        <v>877.08070122479558</v>
      </c>
      <c r="D7626" s="4"/>
      <c r="E7626" s="4"/>
    </row>
    <row r="7627" spans="1:5" x14ac:dyDescent="0.3">
      <c r="A7627" s="9">
        <v>7619</v>
      </c>
      <c r="B7627" s="10">
        <f t="shared" ca="1" si="119"/>
        <v>6.7085255051357873E-2</v>
      </c>
      <c r="C7627" s="10">
        <f ca="1">NPV(B7627,Project_FCF!C18:J18)+Project_FCF!B18</f>
        <v>1052.8288659512052</v>
      </c>
      <c r="D7627" s="4"/>
      <c r="E7627" s="4"/>
    </row>
    <row r="7628" spans="1:5" x14ac:dyDescent="0.3">
      <c r="A7628" s="9">
        <v>7620</v>
      </c>
      <c r="B7628" s="10">
        <f t="shared" ca="1" si="119"/>
        <v>0.10189571360389602</v>
      </c>
      <c r="C7628" s="10">
        <f ca="1">NPV(B7628,Project_FCF!C18:J18)+Project_FCF!B18</f>
        <v>769.10157442339619</v>
      </c>
      <c r="D7628" s="4"/>
      <c r="E7628" s="4"/>
    </row>
    <row r="7629" spans="1:5" x14ac:dyDescent="0.3">
      <c r="A7629" s="9">
        <v>7621</v>
      </c>
      <c r="B7629" s="10">
        <f t="shared" ca="1" si="119"/>
        <v>0.10367011146658839</v>
      </c>
      <c r="C7629" s="10">
        <f ca="1">NPV(B7629,Project_FCF!C18:J18)+Project_FCF!B18</f>
        <v>756.6128176395423</v>
      </c>
      <c r="D7629" s="4"/>
      <c r="E7629" s="4"/>
    </row>
    <row r="7630" spans="1:5" x14ac:dyDescent="0.3">
      <c r="A7630" s="9">
        <v>7622</v>
      </c>
      <c r="B7630" s="10">
        <f t="shared" ca="1" si="119"/>
        <v>9.4974195923573132E-2</v>
      </c>
      <c r="C7630" s="10">
        <f ca="1">NPV(B7630,Project_FCF!C18:J18)+Project_FCF!B18</f>
        <v>819.49701973421452</v>
      </c>
      <c r="D7630" s="4"/>
      <c r="E7630" s="4"/>
    </row>
    <row r="7631" spans="1:5" x14ac:dyDescent="0.3">
      <c r="A7631" s="9">
        <v>7623</v>
      </c>
      <c r="B7631" s="10">
        <f t="shared" ca="1" si="119"/>
        <v>6.5715099878779534E-2</v>
      </c>
      <c r="C7631" s="10">
        <f ca="1">NPV(B7631,Project_FCF!C18:J18)+Project_FCF!B18</f>
        <v>1065.6851445943905</v>
      </c>
      <c r="D7631" s="4"/>
      <c r="E7631" s="4"/>
    </row>
    <row r="7632" spans="1:5" x14ac:dyDescent="0.3">
      <c r="A7632" s="9">
        <v>7624</v>
      </c>
      <c r="B7632" s="10">
        <f t="shared" ca="1" si="119"/>
        <v>7.6934004255504271E-2</v>
      </c>
      <c r="C7632" s="10">
        <f ca="1">NPV(B7632,Project_FCF!C18:J18)+Project_FCF!B18</f>
        <v>964.46500865867051</v>
      </c>
      <c r="D7632" s="4"/>
      <c r="E7632" s="4"/>
    </row>
    <row r="7633" spans="1:5" x14ac:dyDescent="0.3">
      <c r="A7633" s="9">
        <v>7625</v>
      </c>
      <c r="B7633" s="10">
        <f t="shared" ca="1" si="119"/>
        <v>7.516438690737462E-2</v>
      </c>
      <c r="C7633" s="10">
        <f ca="1">NPV(B7633,Project_FCF!C18:J18)+Project_FCF!B18</f>
        <v>979.833268521646</v>
      </c>
      <c r="D7633" s="4"/>
      <c r="E7633" s="4"/>
    </row>
    <row r="7634" spans="1:5" x14ac:dyDescent="0.3">
      <c r="A7634" s="9">
        <v>7626</v>
      </c>
      <c r="B7634" s="10">
        <f t="shared" ca="1" si="119"/>
        <v>9.8976614448694114E-2</v>
      </c>
      <c r="C7634" s="10">
        <f ca="1">NPV(B7634,Project_FCF!C18:J18)+Project_FCF!B18</f>
        <v>790.02490699955911</v>
      </c>
      <c r="D7634" s="4"/>
      <c r="E7634" s="4"/>
    </row>
    <row r="7635" spans="1:5" x14ac:dyDescent="0.3">
      <c r="A7635" s="9">
        <v>7627</v>
      </c>
      <c r="B7635" s="10">
        <f t="shared" ca="1" si="119"/>
        <v>9.7453868517780262E-2</v>
      </c>
      <c r="C7635" s="10">
        <f ca="1">NPV(B7635,Project_FCF!C18:J18)+Project_FCF!B18</f>
        <v>801.12951915868416</v>
      </c>
      <c r="D7635" s="4"/>
      <c r="E7635" s="4"/>
    </row>
    <row r="7636" spans="1:5" x14ac:dyDescent="0.3">
      <c r="A7636" s="9">
        <v>7628</v>
      </c>
      <c r="B7636" s="10">
        <f t="shared" ca="1" si="119"/>
        <v>8.6246803766013236E-2</v>
      </c>
      <c r="C7636" s="10">
        <f ca="1">NPV(B7636,Project_FCF!C18:J18)+Project_FCF!B18</f>
        <v>887.05517957901156</v>
      </c>
      <c r="D7636" s="4"/>
      <c r="E7636" s="4"/>
    </row>
    <row r="7637" spans="1:5" x14ac:dyDescent="0.3">
      <c r="A7637" s="9">
        <v>7629</v>
      </c>
      <c r="B7637" s="10">
        <f t="shared" ca="1" si="119"/>
        <v>8.031484110659573E-2</v>
      </c>
      <c r="C7637" s="10">
        <f ca="1">NPV(B7637,Project_FCF!C18:J18)+Project_FCF!B18</f>
        <v>935.69950688425706</v>
      </c>
      <c r="D7637" s="4"/>
      <c r="E7637" s="4"/>
    </row>
    <row r="7638" spans="1:5" x14ac:dyDescent="0.3">
      <c r="A7638" s="9">
        <v>7630</v>
      </c>
      <c r="B7638" s="10">
        <f t="shared" ca="1" si="119"/>
        <v>6.6145988196396777E-2</v>
      </c>
      <c r="C7638" s="10">
        <f ca="1">NPV(B7638,Project_FCF!C18:J18)+Project_FCF!B18</f>
        <v>1061.6267666229508</v>
      </c>
      <c r="D7638" s="4"/>
      <c r="E7638" s="4"/>
    </row>
    <row r="7639" spans="1:5" x14ac:dyDescent="0.3">
      <c r="A7639" s="9">
        <v>7631</v>
      </c>
      <c r="B7639" s="10">
        <f t="shared" ca="1" si="119"/>
        <v>8.9358458291984535E-2</v>
      </c>
      <c r="C7639" s="10">
        <f ca="1">NPV(B7639,Project_FCF!C18:J18)+Project_FCF!B18</f>
        <v>862.43512476192814</v>
      </c>
      <c r="D7639" s="4"/>
      <c r="E7639" s="4"/>
    </row>
    <row r="7640" spans="1:5" x14ac:dyDescent="0.3">
      <c r="A7640" s="9">
        <v>7632</v>
      </c>
      <c r="B7640" s="10">
        <f t="shared" ca="1" si="119"/>
        <v>8.5524723975617556E-2</v>
      </c>
      <c r="C7640" s="10">
        <f ca="1">NPV(B7640,Project_FCF!C18:J18)+Project_FCF!B18</f>
        <v>892.85525822309705</v>
      </c>
      <c r="D7640" s="4"/>
      <c r="E7640" s="4"/>
    </row>
    <row r="7641" spans="1:5" x14ac:dyDescent="0.3">
      <c r="A7641" s="9">
        <v>7633</v>
      </c>
      <c r="B7641" s="10">
        <f t="shared" ca="1" si="119"/>
        <v>7.1110223756630522E-2</v>
      </c>
      <c r="C7641" s="10">
        <f ca="1">NPV(B7641,Project_FCF!C18:J18)+Project_FCF!B18</f>
        <v>1015.8718111749106</v>
      </c>
      <c r="D7641" s="4"/>
      <c r="E7641" s="4"/>
    </row>
    <row r="7642" spans="1:5" x14ac:dyDescent="0.3">
      <c r="A7642" s="9">
        <v>7634</v>
      </c>
      <c r="B7642" s="10">
        <f t="shared" ca="1" si="119"/>
        <v>6.4070764263088706E-2</v>
      </c>
      <c r="C7642" s="10">
        <f ca="1">NPV(B7642,Project_FCF!C18:J18)+Project_FCF!B18</f>
        <v>1081.3028777613622</v>
      </c>
      <c r="D7642" s="4"/>
      <c r="E7642" s="4"/>
    </row>
    <row r="7643" spans="1:5" x14ac:dyDescent="0.3">
      <c r="A7643" s="9">
        <v>7635</v>
      </c>
      <c r="B7643" s="10">
        <f t="shared" ca="1" si="119"/>
        <v>8.6414005669590538E-2</v>
      </c>
      <c r="C7643" s="10">
        <f ca="1">NPV(B7643,Project_FCF!C18:J18)+Project_FCF!B18</f>
        <v>885.71684175692826</v>
      </c>
      <c r="D7643" s="4"/>
      <c r="E7643" s="4"/>
    </row>
    <row r="7644" spans="1:5" x14ac:dyDescent="0.3">
      <c r="A7644" s="9">
        <v>7636</v>
      </c>
      <c r="B7644" s="10">
        <f t="shared" ca="1" si="119"/>
        <v>6.4662490596074262E-2</v>
      </c>
      <c r="C7644" s="10">
        <f ca="1">NPV(B7644,Project_FCF!C18:J18)+Project_FCF!B18</f>
        <v>1075.6588215305605</v>
      </c>
      <c r="D7644" s="4"/>
      <c r="E7644" s="4"/>
    </row>
    <row r="7645" spans="1:5" x14ac:dyDescent="0.3">
      <c r="A7645" s="9">
        <v>7637</v>
      </c>
      <c r="B7645" s="10">
        <f t="shared" ca="1" si="119"/>
        <v>6.9482570751806763E-2</v>
      </c>
      <c r="C7645" s="10">
        <f ca="1">NPV(B7645,Project_FCF!C18:J18)+Project_FCF!B18</f>
        <v>1030.6730311819329</v>
      </c>
      <c r="D7645" s="4"/>
      <c r="E7645" s="4"/>
    </row>
    <row r="7646" spans="1:5" x14ac:dyDescent="0.3">
      <c r="A7646" s="9">
        <v>7638</v>
      </c>
      <c r="B7646" s="10">
        <f t="shared" ca="1" si="119"/>
        <v>0.1009480040860745</v>
      </c>
      <c r="C7646" s="10">
        <f ca="1">NPV(B7646,Project_FCF!C18:J18)+Project_FCF!B18</f>
        <v>775.84257150814028</v>
      </c>
      <c r="D7646" s="4"/>
      <c r="E7646" s="4"/>
    </row>
    <row r="7647" spans="1:5" x14ac:dyDescent="0.3">
      <c r="A7647" s="9">
        <v>7639</v>
      </c>
      <c r="B7647" s="10">
        <f t="shared" ca="1" si="119"/>
        <v>9.0336020820598675E-2</v>
      </c>
      <c r="C7647" s="10">
        <f ca="1">NPV(B7647,Project_FCF!C18:J18)+Project_FCF!B18</f>
        <v>854.82405018336226</v>
      </c>
      <c r="D7647" s="4"/>
      <c r="E7647" s="4"/>
    </row>
    <row r="7648" spans="1:5" x14ac:dyDescent="0.3">
      <c r="A7648" s="9">
        <v>7640</v>
      </c>
      <c r="B7648" s="10">
        <f t="shared" ca="1" si="119"/>
        <v>6.5704015826410278E-2</v>
      </c>
      <c r="C7648" s="10">
        <f ca="1">NPV(B7648,Project_FCF!C18:J18)+Project_FCF!B18</f>
        <v>1065.7897273811891</v>
      </c>
      <c r="D7648" s="4"/>
      <c r="E7648" s="4"/>
    </row>
    <row r="7649" spans="1:5" x14ac:dyDescent="0.3">
      <c r="A7649" s="9">
        <v>7641</v>
      </c>
      <c r="B7649" s="10">
        <f t="shared" ca="1" si="119"/>
        <v>8.9856271359690015E-2</v>
      </c>
      <c r="C7649" s="10">
        <f ca="1">NPV(B7649,Project_FCF!C18:J18)+Project_FCF!B18</f>
        <v>858.55196271328396</v>
      </c>
      <c r="D7649" s="4"/>
      <c r="E7649" s="4"/>
    </row>
    <row r="7650" spans="1:5" x14ac:dyDescent="0.3">
      <c r="A7650" s="9">
        <v>7642</v>
      </c>
      <c r="B7650" s="10">
        <f t="shared" ca="1" si="119"/>
        <v>9.6361749057109369E-2</v>
      </c>
      <c r="C7650" s="10">
        <f ca="1">NPV(B7650,Project_FCF!C18:J18)+Project_FCF!B18</f>
        <v>809.17531951262208</v>
      </c>
      <c r="D7650" s="4"/>
      <c r="E7650" s="4"/>
    </row>
    <row r="7651" spans="1:5" x14ac:dyDescent="0.3">
      <c r="A7651" s="9">
        <v>7643</v>
      </c>
      <c r="B7651" s="10">
        <f t="shared" ca="1" si="119"/>
        <v>7.107489100935438E-2</v>
      </c>
      <c r="C7651" s="10">
        <f ca="1">NPV(B7651,Project_FCF!C18:J18)+Project_FCF!B18</f>
        <v>1016.1910645152573</v>
      </c>
      <c r="D7651" s="4"/>
      <c r="E7651" s="4"/>
    </row>
    <row r="7652" spans="1:5" x14ac:dyDescent="0.3">
      <c r="A7652" s="9">
        <v>7644</v>
      </c>
      <c r="B7652" s="10">
        <f t="shared" ca="1" si="119"/>
        <v>6.4668869068579257E-2</v>
      </c>
      <c r="C7652" s="10">
        <f ca="1">NPV(B7652,Project_FCF!C18:J18)+Project_FCF!B18</f>
        <v>1075.598128674538</v>
      </c>
      <c r="D7652" s="4"/>
      <c r="E7652" s="4"/>
    </row>
    <row r="7653" spans="1:5" x14ac:dyDescent="0.3">
      <c r="A7653" s="9">
        <v>7645</v>
      </c>
      <c r="B7653" s="10">
        <f t="shared" ca="1" si="119"/>
        <v>8.8569889631706755E-2</v>
      </c>
      <c r="C7653" s="10">
        <f ca="1">NPV(B7653,Project_FCF!C18:J18)+Project_FCF!B18</f>
        <v>868.61750151352294</v>
      </c>
      <c r="D7653" s="4"/>
      <c r="E7653" s="4"/>
    </row>
    <row r="7654" spans="1:5" x14ac:dyDescent="0.3">
      <c r="A7654" s="9">
        <v>7646</v>
      </c>
      <c r="B7654" s="10">
        <f t="shared" ca="1" si="119"/>
        <v>9.4253572398413976E-2</v>
      </c>
      <c r="C7654" s="10">
        <f ca="1">NPV(B7654,Project_FCF!C18:J18)+Project_FCF!B18</f>
        <v>824.9018846922595</v>
      </c>
      <c r="D7654" s="4"/>
      <c r="E7654" s="4"/>
    </row>
    <row r="7655" spans="1:5" x14ac:dyDescent="0.3">
      <c r="A7655" s="9">
        <v>7647</v>
      </c>
      <c r="B7655" s="10">
        <f t="shared" ca="1" si="119"/>
        <v>0.10192242276371173</v>
      </c>
      <c r="C7655" s="10">
        <f ca="1">NPV(B7655,Project_FCF!C18:J18)+Project_FCF!B18</f>
        <v>768.91231107815247</v>
      </c>
      <c r="D7655" s="4"/>
      <c r="E7655" s="4"/>
    </row>
    <row r="7656" spans="1:5" x14ac:dyDescent="0.3">
      <c r="A7656" s="9">
        <v>7648</v>
      </c>
      <c r="B7656" s="10">
        <f t="shared" ca="1" si="119"/>
        <v>7.8775831749194059E-2</v>
      </c>
      <c r="C7656" s="10">
        <f ca="1">NPV(B7656,Project_FCF!C18:J18)+Project_FCF!B18</f>
        <v>948.69813695184848</v>
      </c>
      <c r="D7656" s="4"/>
      <c r="E7656" s="4"/>
    </row>
    <row r="7657" spans="1:5" x14ac:dyDescent="0.3">
      <c r="A7657" s="9">
        <v>7649</v>
      </c>
      <c r="B7657" s="10">
        <f t="shared" ca="1" si="119"/>
        <v>9.4509139868081904E-2</v>
      </c>
      <c r="C7657" s="10">
        <f ca="1">NPV(B7657,Project_FCF!C18:J18)+Project_FCF!B18</f>
        <v>822.98157648402253</v>
      </c>
      <c r="D7657" s="4"/>
      <c r="E7657" s="4"/>
    </row>
    <row r="7658" spans="1:5" x14ac:dyDescent="0.3">
      <c r="A7658" s="9">
        <v>7650</v>
      </c>
      <c r="B7658" s="10">
        <f t="shared" ca="1" si="119"/>
        <v>9.8542281429538747E-2</v>
      </c>
      <c r="C7658" s="10">
        <f ca="1">NPV(B7658,Project_FCF!C18:J18)+Project_FCF!B18</f>
        <v>793.1788678135988</v>
      </c>
      <c r="D7658" s="4"/>
      <c r="E7658" s="4"/>
    </row>
    <row r="7659" spans="1:5" x14ac:dyDescent="0.3">
      <c r="A7659" s="9">
        <v>7651</v>
      </c>
      <c r="B7659" s="10">
        <f t="shared" ca="1" si="119"/>
        <v>9.4807064169595015E-2</v>
      </c>
      <c r="C7659" s="10">
        <f ca="1">NPV(B7659,Project_FCF!C18:J18)+Project_FCF!B18</f>
        <v>820.74784130093917</v>
      </c>
      <c r="D7659" s="4"/>
      <c r="E7659" s="4"/>
    </row>
    <row r="7660" spans="1:5" x14ac:dyDescent="0.3">
      <c r="A7660" s="9">
        <v>7652</v>
      </c>
      <c r="B7660" s="10">
        <f t="shared" ca="1" si="119"/>
        <v>9.2118876170549535E-2</v>
      </c>
      <c r="C7660" s="10">
        <f ca="1">NPV(B7660,Project_FCF!C18:J18)+Project_FCF!B18</f>
        <v>841.09268082520339</v>
      </c>
      <c r="D7660" s="4"/>
      <c r="E7660" s="4"/>
    </row>
    <row r="7661" spans="1:5" x14ac:dyDescent="0.3">
      <c r="A7661" s="9">
        <v>7653</v>
      </c>
      <c r="B7661" s="10">
        <f t="shared" ca="1" si="119"/>
        <v>6.6026401097161486E-2</v>
      </c>
      <c r="C7661" s="10">
        <f ca="1">NPV(B7661,Project_FCF!C18:J18)+Project_FCF!B18</f>
        <v>1062.751699842328</v>
      </c>
      <c r="D7661" s="4"/>
      <c r="E7661" s="4"/>
    </row>
    <row r="7662" spans="1:5" x14ac:dyDescent="0.3">
      <c r="A7662" s="9">
        <v>7654</v>
      </c>
      <c r="B7662" s="10">
        <f t="shared" ca="1" si="119"/>
        <v>8.7515099279768319E-2</v>
      </c>
      <c r="C7662" s="10">
        <f ca="1">NPV(B7662,Project_FCF!C18:J18)+Project_FCF!B18</f>
        <v>876.94726350599194</v>
      </c>
      <c r="D7662" s="4"/>
      <c r="E7662" s="4"/>
    </row>
    <row r="7663" spans="1:5" x14ac:dyDescent="0.3">
      <c r="A7663" s="9">
        <v>7655</v>
      </c>
      <c r="B7663" s="10">
        <f t="shared" ca="1" si="119"/>
        <v>7.6790742331578843E-2</v>
      </c>
      <c r="C7663" s="10">
        <f ca="1">NPV(B7663,Project_FCF!C18:J18)+Project_FCF!B18</f>
        <v>965.7011164616913</v>
      </c>
      <c r="D7663" s="4"/>
      <c r="E7663" s="4"/>
    </row>
    <row r="7664" spans="1:5" x14ac:dyDescent="0.3">
      <c r="A7664" s="9">
        <v>7656</v>
      </c>
      <c r="B7664" s="10">
        <f t="shared" ca="1" si="119"/>
        <v>8.6954282898607418E-2</v>
      </c>
      <c r="C7664" s="10">
        <f ca="1">NPV(B7664,Project_FCF!C18:J18)+Project_FCF!B18</f>
        <v>881.40433289115163</v>
      </c>
      <c r="D7664" s="4"/>
      <c r="E7664" s="4"/>
    </row>
    <row r="7665" spans="1:5" x14ac:dyDescent="0.3">
      <c r="A7665" s="9">
        <v>7657</v>
      </c>
      <c r="B7665" s="10">
        <f t="shared" ca="1" si="119"/>
        <v>9.8157854509783787E-2</v>
      </c>
      <c r="C7665" s="10">
        <f ca="1">NPV(B7665,Project_FCF!C18:J18)+Project_FCF!B18</f>
        <v>795.97933899297777</v>
      </c>
      <c r="D7665" s="4"/>
      <c r="E7665" s="4"/>
    </row>
    <row r="7666" spans="1:5" x14ac:dyDescent="0.3">
      <c r="A7666" s="9">
        <v>7658</v>
      </c>
      <c r="B7666" s="10">
        <f t="shared" ca="1" si="119"/>
        <v>8.7514271109498817E-2</v>
      </c>
      <c r="C7666" s="10">
        <f ca="1">NPV(B7666,Project_FCF!C18:J18)+Project_FCF!B18</f>
        <v>876.9538308517117</v>
      </c>
      <c r="D7666" s="4"/>
      <c r="E7666" s="4"/>
    </row>
    <row r="7667" spans="1:5" x14ac:dyDescent="0.3">
      <c r="A7667" s="9">
        <v>7659</v>
      </c>
      <c r="B7667" s="10">
        <f t="shared" ca="1" si="119"/>
        <v>7.4862022924941707E-2</v>
      </c>
      <c r="C7667" s="10">
        <f ca="1">NPV(B7667,Project_FCF!C18:J18)+Project_FCF!B18</f>
        <v>982.4809285431038</v>
      </c>
      <c r="D7667" s="4"/>
      <c r="E7667" s="4"/>
    </row>
    <row r="7668" spans="1:5" x14ac:dyDescent="0.3">
      <c r="A7668" s="9">
        <v>7660</v>
      </c>
      <c r="B7668" s="10">
        <f t="shared" ca="1" si="119"/>
        <v>9.4760875287917282E-2</v>
      </c>
      <c r="C7668" s="10">
        <f ca="1">NPV(B7668,Project_FCF!C18:J18)+Project_FCF!B18</f>
        <v>821.09380921702041</v>
      </c>
      <c r="D7668" s="4"/>
      <c r="E7668" s="4"/>
    </row>
    <row r="7669" spans="1:5" x14ac:dyDescent="0.3">
      <c r="A7669" s="9">
        <v>7661</v>
      </c>
      <c r="B7669" s="10">
        <f t="shared" ca="1" si="119"/>
        <v>9.2910768169780014E-2</v>
      </c>
      <c r="C7669" s="10">
        <f ca="1">NPV(B7669,Project_FCF!C18:J18)+Project_FCF!B18</f>
        <v>835.05490669469918</v>
      </c>
      <c r="D7669" s="4"/>
      <c r="E7669" s="4"/>
    </row>
    <row r="7670" spans="1:5" x14ac:dyDescent="0.3">
      <c r="A7670" s="9">
        <v>7662</v>
      </c>
      <c r="B7670" s="10">
        <f t="shared" ca="1" si="119"/>
        <v>9.9157409546974745E-2</v>
      </c>
      <c r="C7670" s="10">
        <f ca="1">NPV(B7670,Project_FCF!C18:J18)+Project_FCF!B18</f>
        <v>788.71518061211691</v>
      </c>
      <c r="D7670" s="4"/>
      <c r="E7670" s="4"/>
    </row>
    <row r="7671" spans="1:5" x14ac:dyDescent="0.3">
      <c r="A7671" s="9">
        <v>7663</v>
      </c>
      <c r="B7671" s="10">
        <f t="shared" ca="1" si="119"/>
        <v>7.1208070865798306E-2</v>
      </c>
      <c r="C7671" s="10">
        <f ca="1">NPV(B7671,Project_FCF!C18:J18)+Project_FCF!B18</f>
        <v>1014.9881736784853</v>
      </c>
      <c r="D7671" s="4"/>
      <c r="E7671" s="4"/>
    </row>
    <row r="7672" spans="1:5" x14ac:dyDescent="0.3">
      <c r="A7672" s="9">
        <v>7664</v>
      </c>
      <c r="B7672" s="10">
        <f t="shared" ca="1" si="119"/>
        <v>7.8560504102296133E-2</v>
      </c>
      <c r="C7672" s="10">
        <f ca="1">NPV(B7672,Project_FCF!C18:J18)+Project_FCF!B18</f>
        <v>950.52953019890288</v>
      </c>
      <c r="D7672" s="4"/>
      <c r="E7672" s="4"/>
    </row>
    <row r="7673" spans="1:5" x14ac:dyDescent="0.3">
      <c r="A7673" s="9">
        <v>7665</v>
      </c>
      <c r="B7673" s="10">
        <f t="shared" ca="1" si="119"/>
        <v>8.3199650319355445E-2</v>
      </c>
      <c r="C7673" s="10">
        <f ca="1">NPV(B7673,Project_FCF!C18:J18)+Project_FCF!B18</f>
        <v>911.75769024174133</v>
      </c>
      <c r="D7673" s="4"/>
      <c r="E7673" s="4"/>
    </row>
    <row r="7674" spans="1:5" x14ac:dyDescent="0.3">
      <c r="A7674" s="9">
        <v>7666</v>
      </c>
      <c r="B7674" s="10">
        <f t="shared" ca="1" si="119"/>
        <v>8.3775292085576353E-2</v>
      </c>
      <c r="C7674" s="10">
        <f ca="1">NPV(B7674,Project_FCF!C18:J18)+Project_FCF!B18</f>
        <v>907.04541120868248</v>
      </c>
      <c r="D7674" s="4"/>
      <c r="E7674" s="4"/>
    </row>
    <row r="7675" spans="1:5" x14ac:dyDescent="0.3">
      <c r="A7675" s="9">
        <v>7667</v>
      </c>
      <c r="B7675" s="10">
        <f t="shared" ca="1" si="119"/>
        <v>9.4865634367555574E-2</v>
      </c>
      <c r="C7675" s="10">
        <f ca="1">NPV(B7675,Project_FCF!C18:J18)+Project_FCF!B18</f>
        <v>820.30931334695197</v>
      </c>
      <c r="D7675" s="4"/>
      <c r="E7675" s="4"/>
    </row>
    <row r="7676" spans="1:5" x14ac:dyDescent="0.3">
      <c r="A7676" s="9">
        <v>7668</v>
      </c>
      <c r="B7676" s="10">
        <f t="shared" ca="1" si="119"/>
        <v>8.3976481061389219E-2</v>
      </c>
      <c r="C7676" s="10">
        <f ca="1">NPV(B7676,Project_FCF!C18:J18)+Project_FCF!B18</f>
        <v>905.40350584583939</v>
      </c>
      <c r="D7676" s="4"/>
      <c r="E7676" s="4"/>
    </row>
    <row r="7677" spans="1:5" x14ac:dyDescent="0.3">
      <c r="A7677" s="9">
        <v>7669</v>
      </c>
      <c r="B7677" s="10">
        <f t="shared" ca="1" si="119"/>
        <v>6.8737151688136808E-2</v>
      </c>
      <c r="C7677" s="10">
        <f ca="1">NPV(B7677,Project_FCF!C18:J18)+Project_FCF!B18</f>
        <v>1037.516436416664</v>
      </c>
      <c r="D7677" s="4"/>
      <c r="E7677" s="4"/>
    </row>
    <row r="7678" spans="1:5" x14ac:dyDescent="0.3">
      <c r="A7678" s="9">
        <v>7670</v>
      </c>
      <c r="B7678" s="10">
        <f t="shared" ca="1" si="119"/>
        <v>8.845404696788664E-2</v>
      </c>
      <c r="C7678" s="10">
        <f ca="1">NPV(B7678,Project_FCF!C18:J18)+Project_FCF!B18</f>
        <v>869.52894289991968</v>
      </c>
      <c r="D7678" s="4"/>
      <c r="E7678" s="4"/>
    </row>
    <row r="7679" spans="1:5" x14ac:dyDescent="0.3">
      <c r="A7679" s="9">
        <v>7671</v>
      </c>
      <c r="B7679" s="10">
        <f t="shared" ca="1" si="119"/>
        <v>6.4303288538421127E-2</v>
      </c>
      <c r="C7679" s="10">
        <f ca="1">NPV(B7679,Project_FCF!C18:J18)+Project_FCF!B18</f>
        <v>1079.0817755467679</v>
      </c>
      <c r="D7679" s="4"/>
      <c r="E7679" s="4"/>
    </row>
    <row r="7680" spans="1:5" x14ac:dyDescent="0.3">
      <c r="A7680" s="9">
        <v>7672</v>
      </c>
      <c r="B7680" s="10">
        <f t="shared" ca="1" si="119"/>
        <v>7.9988188414508055E-2</v>
      </c>
      <c r="C7680" s="10">
        <f ca="1">NPV(B7680,Project_FCF!C18:J18)+Project_FCF!B18</f>
        <v>938.44517744994027</v>
      </c>
      <c r="D7680" s="4"/>
      <c r="E7680" s="4"/>
    </row>
    <row r="7681" spans="1:5" x14ac:dyDescent="0.3">
      <c r="A7681" s="9">
        <v>7673</v>
      </c>
      <c r="B7681" s="10">
        <f t="shared" ca="1" si="119"/>
        <v>6.923369194366702E-2</v>
      </c>
      <c r="C7681" s="10">
        <f ca="1">NPV(B7681,Project_FCF!C18:J18)+Project_FCF!B18</f>
        <v>1032.9533342518655</v>
      </c>
      <c r="D7681" s="4"/>
      <c r="E7681" s="4"/>
    </row>
    <row r="7682" spans="1:5" x14ac:dyDescent="0.3">
      <c r="A7682" s="9">
        <v>7674</v>
      </c>
      <c r="B7682" s="10">
        <f t="shared" ca="1" si="119"/>
        <v>9.2800713613609226E-2</v>
      </c>
      <c r="C7682" s="10">
        <f ca="1">NPV(B7682,Project_FCF!C18:J18)+Project_FCF!B18</f>
        <v>835.89177732721919</v>
      </c>
      <c r="D7682" s="4"/>
      <c r="E7682" s="4"/>
    </row>
    <row r="7683" spans="1:5" x14ac:dyDescent="0.3">
      <c r="A7683" s="9">
        <v>7675</v>
      </c>
      <c r="B7683" s="10">
        <f t="shared" ca="1" si="119"/>
        <v>8.7493619997686942E-2</v>
      </c>
      <c r="C7683" s="10">
        <f ca="1">NPV(B7683,Project_FCF!C18:J18)+Project_FCF!B18</f>
        <v>877.11760691381642</v>
      </c>
      <c r="D7683" s="4"/>
      <c r="E7683" s="4"/>
    </row>
    <row r="7684" spans="1:5" x14ac:dyDescent="0.3">
      <c r="A7684" s="9">
        <v>7676</v>
      </c>
      <c r="B7684" s="10">
        <f t="shared" ca="1" si="119"/>
        <v>8.3759872388919659E-2</v>
      </c>
      <c r="C7684" s="10">
        <f ca="1">NPV(B7684,Project_FCF!C18:J18)+Project_FCF!B18</f>
        <v>907.17135934296675</v>
      </c>
      <c r="D7684" s="4"/>
      <c r="E7684" s="4"/>
    </row>
    <row r="7685" spans="1:5" x14ac:dyDescent="0.3">
      <c r="A7685" s="9">
        <v>7677</v>
      </c>
      <c r="B7685" s="10">
        <f t="shared" ca="1" si="119"/>
        <v>8.2339009012913522E-2</v>
      </c>
      <c r="C7685" s="10">
        <f ca="1">NPV(B7685,Project_FCF!C18:J18)+Project_FCF!B18</f>
        <v>918.84318281390847</v>
      </c>
      <c r="D7685" s="4"/>
      <c r="E7685" s="4"/>
    </row>
    <row r="7686" spans="1:5" x14ac:dyDescent="0.3">
      <c r="A7686" s="9">
        <v>7678</v>
      </c>
      <c r="B7686" s="10">
        <f t="shared" ca="1" si="119"/>
        <v>9.2171156961028636E-2</v>
      </c>
      <c r="C7686" s="10">
        <f ca="1">NPV(B7686,Project_FCF!C18:J18)+Project_FCF!B18</f>
        <v>840.69291022609582</v>
      </c>
      <c r="D7686" s="4"/>
      <c r="E7686" s="4"/>
    </row>
    <row r="7687" spans="1:5" x14ac:dyDescent="0.3">
      <c r="A7687" s="9">
        <v>7679</v>
      </c>
      <c r="B7687" s="10">
        <f t="shared" ca="1" si="119"/>
        <v>9.4669430241255029E-2</v>
      </c>
      <c r="C7687" s="10">
        <f ca="1">NPV(B7687,Project_FCF!C18:J18)+Project_FCF!B18</f>
        <v>821.77912726512386</v>
      </c>
      <c r="D7687" s="4"/>
      <c r="E7687" s="4"/>
    </row>
    <row r="7688" spans="1:5" x14ac:dyDescent="0.3">
      <c r="A7688" s="9">
        <v>7680</v>
      </c>
      <c r="B7688" s="10">
        <f t="shared" ca="1" si="119"/>
        <v>9.0178014515201327E-2</v>
      </c>
      <c r="C7688" s="10">
        <f ca="1">NPV(B7688,Project_FCF!C18:J18)+Project_FCF!B18</f>
        <v>856.05029332115464</v>
      </c>
      <c r="D7688" s="4"/>
      <c r="E7688" s="4"/>
    </row>
    <row r="7689" spans="1:5" x14ac:dyDescent="0.3">
      <c r="A7689" s="9">
        <v>7681</v>
      </c>
      <c r="B7689" s="10">
        <f t="shared" ref="B7689:B7752" ca="1" si="120">$B$4+RAND()*($B$5-$B$4)</f>
        <v>0.10312570448512469</v>
      </c>
      <c r="C7689" s="10">
        <f ca="1">NPV(B7689,Project_FCF!C18:J18)+Project_FCF!B18</f>
        <v>760.42628040421073</v>
      </c>
      <c r="D7689" s="4"/>
      <c r="E7689" s="4"/>
    </row>
    <row r="7690" spans="1:5" x14ac:dyDescent="0.3">
      <c r="A7690" s="9">
        <v>7682</v>
      </c>
      <c r="B7690" s="10">
        <f t="shared" ca="1" si="120"/>
        <v>8.460653743056995E-2</v>
      </c>
      <c r="C7690" s="10">
        <f ca="1">NPV(B7690,Project_FCF!C18:J18)+Project_FCF!B18</f>
        <v>900.27847392450894</v>
      </c>
      <c r="D7690" s="4"/>
      <c r="E7690" s="4"/>
    </row>
    <row r="7691" spans="1:5" x14ac:dyDescent="0.3">
      <c r="A7691" s="9">
        <v>7683</v>
      </c>
      <c r="B7691" s="10">
        <f t="shared" ca="1" si="120"/>
        <v>6.4560726082324937E-2</v>
      </c>
      <c r="C7691" s="10">
        <f ca="1">NPV(B7691,Project_FCF!C18:J18)+Project_FCF!B18</f>
        <v>1076.6275608343128</v>
      </c>
      <c r="D7691" s="4"/>
      <c r="E7691" s="4"/>
    </row>
    <row r="7692" spans="1:5" x14ac:dyDescent="0.3">
      <c r="A7692" s="9">
        <v>7684</v>
      </c>
      <c r="B7692" s="10">
        <f t="shared" ca="1" si="120"/>
        <v>9.2779235310358796E-2</v>
      </c>
      <c r="C7692" s="10">
        <f ca="1">NPV(B7692,Project_FCF!C18:J18)+Project_FCF!B18</f>
        <v>836.05518557186201</v>
      </c>
      <c r="D7692" s="4"/>
      <c r="E7692" s="4"/>
    </row>
    <row r="7693" spans="1:5" x14ac:dyDescent="0.3">
      <c r="A7693" s="9">
        <v>7685</v>
      </c>
      <c r="B7693" s="10">
        <f t="shared" ca="1" si="120"/>
        <v>9.809711791578743E-2</v>
      </c>
      <c r="C7693" s="10">
        <f ca="1">NPV(B7693,Project_FCF!C18:J18)+Project_FCF!B18</f>
        <v>796.42255993282652</v>
      </c>
      <c r="D7693" s="4"/>
      <c r="E7693" s="4"/>
    </row>
    <row r="7694" spans="1:5" x14ac:dyDescent="0.3">
      <c r="A7694" s="9">
        <v>7686</v>
      </c>
      <c r="B7694" s="10">
        <f t="shared" ca="1" si="120"/>
        <v>9.7092938486405836E-2</v>
      </c>
      <c r="C7694" s="10">
        <f ca="1">NPV(B7694,Project_FCF!C18:J18)+Project_FCF!B18</f>
        <v>803.78096605042833</v>
      </c>
      <c r="D7694" s="4"/>
      <c r="E7694" s="4"/>
    </row>
    <row r="7695" spans="1:5" x14ac:dyDescent="0.3">
      <c r="A7695" s="9">
        <v>7687</v>
      </c>
      <c r="B7695" s="10">
        <f t="shared" ca="1" si="120"/>
        <v>7.4290279079264276E-2</v>
      </c>
      <c r="C7695" s="10">
        <f ca="1">NPV(B7695,Project_FCF!C18:J18)+Project_FCF!B18</f>
        <v>987.50493330469317</v>
      </c>
      <c r="D7695" s="4"/>
      <c r="E7695" s="4"/>
    </row>
    <row r="7696" spans="1:5" x14ac:dyDescent="0.3">
      <c r="A7696" s="9">
        <v>7688</v>
      </c>
      <c r="B7696" s="10">
        <f t="shared" ca="1" si="120"/>
        <v>7.3978337901845465E-2</v>
      </c>
      <c r="C7696" s="10">
        <f ca="1">NPV(B7696,Project_FCF!C18:J18)+Project_FCF!B18</f>
        <v>990.25570387087669</v>
      </c>
      <c r="D7696" s="4"/>
      <c r="E7696" s="4"/>
    </row>
    <row r="7697" spans="1:5" x14ac:dyDescent="0.3">
      <c r="A7697" s="9">
        <v>7689</v>
      </c>
      <c r="B7697" s="10">
        <f t="shared" ca="1" si="120"/>
        <v>6.5087667072499245E-2</v>
      </c>
      <c r="C7697" s="10">
        <f ca="1">NPV(B7697,Project_FCF!C18:J18)+Project_FCF!B18</f>
        <v>1071.6199876778549</v>
      </c>
      <c r="D7697" s="4"/>
      <c r="E7697" s="4"/>
    </row>
    <row r="7698" spans="1:5" x14ac:dyDescent="0.3">
      <c r="A7698" s="9">
        <v>7690</v>
      </c>
      <c r="B7698" s="10">
        <f t="shared" ca="1" si="120"/>
        <v>7.0422701234890334E-2</v>
      </c>
      <c r="C7698" s="10">
        <f ca="1">NPV(B7698,Project_FCF!C18:J18)+Project_FCF!B18</f>
        <v>1022.1002836449463</v>
      </c>
      <c r="D7698" s="4"/>
      <c r="E7698" s="4"/>
    </row>
    <row r="7699" spans="1:5" x14ac:dyDescent="0.3">
      <c r="A7699" s="9">
        <v>7691</v>
      </c>
      <c r="B7699" s="10">
        <f t="shared" ca="1" si="120"/>
        <v>8.2300891705157531E-2</v>
      </c>
      <c r="C7699" s="10">
        <f ca="1">NPV(B7699,Project_FCF!C18:J18)+Project_FCF!B18</f>
        <v>919.15811341285234</v>
      </c>
      <c r="D7699" s="4"/>
      <c r="E7699" s="4"/>
    </row>
    <row r="7700" spans="1:5" x14ac:dyDescent="0.3">
      <c r="A7700" s="9">
        <v>7692</v>
      </c>
      <c r="B7700" s="10">
        <f t="shared" ca="1" si="120"/>
        <v>7.0461741476275569E-2</v>
      </c>
      <c r="C7700" s="10">
        <f ca="1">NPV(B7700,Project_FCF!C18:J18)+Project_FCF!B18</f>
        <v>1021.7456855586377</v>
      </c>
      <c r="D7700" s="4"/>
      <c r="E7700" s="4"/>
    </row>
    <row r="7701" spans="1:5" x14ac:dyDescent="0.3">
      <c r="A7701" s="9">
        <v>7693</v>
      </c>
      <c r="B7701" s="10">
        <f t="shared" ca="1" si="120"/>
        <v>8.0195305960613306E-2</v>
      </c>
      <c r="C7701" s="10">
        <f ca="1">NPV(B7701,Project_FCF!C18:J18)+Project_FCF!B18</f>
        <v>936.70343025064108</v>
      </c>
      <c r="D7701" s="4"/>
      <c r="E7701" s="4"/>
    </row>
    <row r="7702" spans="1:5" x14ac:dyDescent="0.3">
      <c r="A7702" s="9">
        <v>7694</v>
      </c>
      <c r="B7702" s="10">
        <f t="shared" ca="1" si="120"/>
        <v>9.4715015779053113E-2</v>
      </c>
      <c r="C7702" s="10">
        <f ca="1">NPV(B7702,Project_FCF!C18:J18)+Project_FCF!B18</f>
        <v>821.4374336241292</v>
      </c>
      <c r="D7702" s="4"/>
      <c r="E7702" s="4"/>
    </row>
    <row r="7703" spans="1:5" x14ac:dyDescent="0.3">
      <c r="A7703" s="9">
        <v>7695</v>
      </c>
      <c r="B7703" s="10">
        <f t="shared" ca="1" si="120"/>
        <v>8.1808842714941349E-2</v>
      </c>
      <c r="C7703" s="10">
        <f ca="1">NPV(B7703,Project_FCF!C18:J18)+Project_FCF!B18</f>
        <v>923.23204244292606</v>
      </c>
      <c r="D7703" s="4"/>
      <c r="E7703" s="4"/>
    </row>
    <row r="7704" spans="1:5" x14ac:dyDescent="0.3">
      <c r="A7704" s="9">
        <v>7696</v>
      </c>
      <c r="B7704" s="10">
        <f t="shared" ca="1" si="120"/>
        <v>8.5009454668589959E-2</v>
      </c>
      <c r="C7704" s="10">
        <f ca="1">NPV(B7704,Project_FCF!C18:J18)+Project_FCF!B18</f>
        <v>897.0143997626958</v>
      </c>
      <c r="D7704" s="4"/>
      <c r="E7704" s="4"/>
    </row>
    <row r="7705" spans="1:5" x14ac:dyDescent="0.3">
      <c r="A7705" s="9">
        <v>7697</v>
      </c>
      <c r="B7705" s="10">
        <f t="shared" ca="1" si="120"/>
        <v>8.3735444853305904E-2</v>
      </c>
      <c r="C7705" s="10">
        <f ca="1">NPV(B7705,Project_FCF!C18:J18)+Project_FCF!B18</f>
        <v>907.37091498224208</v>
      </c>
      <c r="D7705" s="4"/>
      <c r="E7705" s="4"/>
    </row>
    <row r="7706" spans="1:5" x14ac:dyDescent="0.3">
      <c r="A7706" s="9">
        <v>7698</v>
      </c>
      <c r="B7706" s="10">
        <f t="shared" ca="1" si="120"/>
        <v>0.10070208412470547</v>
      </c>
      <c r="C7706" s="10">
        <f ca="1">NPV(B7706,Project_FCF!C18:J18)+Project_FCF!B18</f>
        <v>777.59990260971017</v>
      </c>
      <c r="D7706" s="4"/>
      <c r="E7706" s="4"/>
    </row>
    <row r="7707" spans="1:5" x14ac:dyDescent="0.3">
      <c r="A7707" s="9">
        <v>7699</v>
      </c>
      <c r="B7707" s="10">
        <f t="shared" ca="1" si="120"/>
        <v>8.8682566510379604E-2</v>
      </c>
      <c r="C7707" s="10">
        <f ca="1">NPV(B7707,Project_FCF!C18:J18)+Project_FCF!B18</f>
        <v>867.73176497906366</v>
      </c>
      <c r="D7707" s="4"/>
      <c r="E7707" s="4"/>
    </row>
    <row r="7708" spans="1:5" x14ac:dyDescent="0.3">
      <c r="A7708" s="9">
        <v>7700</v>
      </c>
      <c r="B7708" s="10">
        <f t="shared" ca="1" si="120"/>
        <v>8.1287183874867455E-2</v>
      </c>
      <c r="C7708" s="10">
        <f ca="1">NPV(B7708,Project_FCF!C18:J18)+Project_FCF!B18</f>
        <v>927.5685146099388</v>
      </c>
      <c r="D7708" s="4"/>
      <c r="E7708" s="4"/>
    </row>
    <row r="7709" spans="1:5" x14ac:dyDescent="0.3">
      <c r="A7709" s="9">
        <v>7701</v>
      </c>
      <c r="B7709" s="10">
        <f t="shared" ca="1" si="120"/>
        <v>0.10125217386957362</v>
      </c>
      <c r="C7709" s="10">
        <f ca="1">NPV(B7709,Project_FCF!C18:J18)+Project_FCF!B18</f>
        <v>773.67362649841743</v>
      </c>
      <c r="D7709" s="4"/>
      <c r="E7709" s="4"/>
    </row>
    <row r="7710" spans="1:5" x14ac:dyDescent="0.3">
      <c r="A7710" s="9">
        <v>7702</v>
      </c>
      <c r="B7710" s="10">
        <f t="shared" ca="1" si="120"/>
        <v>9.4596635615360566E-2</v>
      </c>
      <c r="C7710" s="10">
        <f ca="1">NPV(B7710,Project_FCF!C18:J18)+Project_FCF!B18</f>
        <v>822.32502346893762</v>
      </c>
      <c r="D7710" s="4"/>
      <c r="E7710" s="4"/>
    </row>
    <row r="7711" spans="1:5" x14ac:dyDescent="0.3">
      <c r="A7711" s="9">
        <v>7703</v>
      </c>
      <c r="B7711" s="10">
        <f t="shared" ca="1" si="120"/>
        <v>0.10292134693788854</v>
      </c>
      <c r="C7711" s="10">
        <f ca="1">NPV(B7711,Project_FCF!C18:J18)+Project_FCF!B18</f>
        <v>761.86192007587124</v>
      </c>
      <c r="D7711" s="4"/>
      <c r="E7711" s="4"/>
    </row>
    <row r="7712" spans="1:5" x14ac:dyDescent="0.3">
      <c r="A7712" s="9">
        <v>7704</v>
      </c>
      <c r="B7712" s="10">
        <f t="shared" ca="1" si="120"/>
        <v>7.6631300134316224E-2</v>
      </c>
      <c r="C7712" s="10">
        <f ca="1">NPV(B7712,Project_FCF!C18:J18)+Project_FCF!B18</f>
        <v>967.07849313851102</v>
      </c>
      <c r="D7712" s="4"/>
      <c r="E7712" s="4"/>
    </row>
    <row r="7713" spans="1:5" x14ac:dyDescent="0.3">
      <c r="A7713" s="9">
        <v>7705</v>
      </c>
      <c r="B7713" s="10">
        <f t="shared" ca="1" si="120"/>
        <v>6.5879962725922128E-2</v>
      </c>
      <c r="C7713" s="10">
        <f ca="1">NPV(B7713,Project_FCF!C18:J18)+Project_FCF!B18</f>
        <v>1064.1306963065997</v>
      </c>
      <c r="D7713" s="4"/>
      <c r="E7713" s="4"/>
    </row>
    <row r="7714" spans="1:5" x14ac:dyDescent="0.3">
      <c r="A7714" s="9">
        <v>7706</v>
      </c>
      <c r="B7714" s="10">
        <f t="shared" ca="1" si="120"/>
        <v>9.5160877599685417E-2</v>
      </c>
      <c r="C7714" s="10">
        <f ca="1">NPV(B7714,Project_FCF!C18:J18)+Project_FCF!B18</f>
        <v>818.10181566440474</v>
      </c>
      <c r="D7714" s="4"/>
      <c r="E7714" s="4"/>
    </row>
    <row r="7715" spans="1:5" x14ac:dyDescent="0.3">
      <c r="A7715" s="9">
        <v>7707</v>
      </c>
      <c r="B7715" s="10">
        <f t="shared" ca="1" si="120"/>
        <v>8.5900375584206823E-2</v>
      </c>
      <c r="C7715" s="10">
        <f ca="1">NPV(B7715,Project_FCF!C18:J18)+Project_FCF!B18</f>
        <v>889.83372648365298</v>
      </c>
      <c r="D7715" s="4"/>
      <c r="E7715" s="4"/>
    </row>
    <row r="7716" spans="1:5" x14ac:dyDescent="0.3">
      <c r="A7716" s="9">
        <v>7708</v>
      </c>
      <c r="B7716" s="10">
        <f t="shared" ca="1" si="120"/>
        <v>7.2847804763150725E-2</v>
      </c>
      <c r="C7716" s="10">
        <f ca="1">NPV(B7716,Project_FCF!C18:J18)+Project_FCF!B18</f>
        <v>1000.2827072509974</v>
      </c>
      <c r="D7716" s="4"/>
      <c r="E7716" s="4"/>
    </row>
    <row r="7717" spans="1:5" x14ac:dyDescent="0.3">
      <c r="A7717" s="9">
        <v>7709</v>
      </c>
      <c r="B7717" s="10">
        <f t="shared" ca="1" si="120"/>
        <v>9.9107349113961241E-2</v>
      </c>
      <c r="C7717" s="10">
        <f ca="1">NPV(B7717,Project_FCF!C18:J18)+Project_FCF!B18</f>
        <v>789.07764691998045</v>
      </c>
      <c r="D7717" s="4"/>
      <c r="E7717" s="4"/>
    </row>
    <row r="7718" spans="1:5" x14ac:dyDescent="0.3">
      <c r="A7718" s="9">
        <v>7710</v>
      </c>
      <c r="B7718" s="10">
        <f t="shared" ca="1" si="120"/>
        <v>8.0416817637790905E-2</v>
      </c>
      <c r="C7718" s="10">
        <f ca="1">NPV(B7718,Project_FCF!C18:J18)+Project_FCF!B18</f>
        <v>934.84380343634916</v>
      </c>
      <c r="D7718" s="4"/>
      <c r="E7718" s="4"/>
    </row>
    <row r="7719" spans="1:5" x14ac:dyDescent="0.3">
      <c r="A7719" s="9">
        <v>7711</v>
      </c>
      <c r="B7719" s="10">
        <f t="shared" ca="1" si="120"/>
        <v>8.9832292004883796E-2</v>
      </c>
      <c r="C7719" s="10">
        <f ca="1">NPV(B7719,Project_FCF!C18:J18)+Project_FCF!B18</f>
        <v>858.73866421221783</v>
      </c>
      <c r="D7719" s="4"/>
      <c r="E7719" s="4"/>
    </row>
    <row r="7720" spans="1:5" x14ac:dyDescent="0.3">
      <c r="A7720" s="9">
        <v>7712</v>
      </c>
      <c r="B7720" s="10">
        <f t="shared" ca="1" si="120"/>
        <v>0.10203088043949504</v>
      </c>
      <c r="C7720" s="10">
        <f ca="1">NPV(B7720,Project_FCF!C18:J18)+Project_FCF!B18</f>
        <v>768.14417359227764</v>
      </c>
      <c r="D7720" s="4"/>
      <c r="E7720" s="4"/>
    </row>
    <row r="7721" spans="1:5" x14ac:dyDescent="0.3">
      <c r="A7721" s="9">
        <v>7713</v>
      </c>
      <c r="B7721" s="10">
        <f t="shared" ca="1" si="120"/>
        <v>8.4890228261172762E-2</v>
      </c>
      <c r="C7721" s="10">
        <f ca="1">NPV(B7721,Project_FCF!C18:J18)+Project_FCF!B18</f>
        <v>897.9791830374345</v>
      </c>
      <c r="D7721" s="4"/>
      <c r="E7721" s="4"/>
    </row>
    <row r="7722" spans="1:5" x14ac:dyDescent="0.3">
      <c r="A7722" s="9">
        <v>7714</v>
      </c>
      <c r="B7722" s="10">
        <f t="shared" ca="1" si="120"/>
        <v>0.10335604402315199</v>
      </c>
      <c r="C7722" s="10">
        <f ca="1">NPV(B7722,Project_FCF!C18:J18)+Project_FCF!B18</f>
        <v>758.81083551589359</v>
      </c>
      <c r="D7722" s="4"/>
      <c r="E7722" s="4"/>
    </row>
    <row r="7723" spans="1:5" x14ac:dyDescent="0.3">
      <c r="A7723" s="9">
        <v>7715</v>
      </c>
      <c r="B7723" s="10">
        <f t="shared" ca="1" si="120"/>
        <v>9.3662683010726777E-2</v>
      </c>
      <c r="C7723" s="10">
        <f ca="1">NPV(B7723,Project_FCF!C18:J18)+Project_FCF!B18</f>
        <v>829.35649227527119</v>
      </c>
      <c r="D7723" s="4"/>
      <c r="E7723" s="4"/>
    </row>
    <row r="7724" spans="1:5" x14ac:dyDescent="0.3">
      <c r="A7724" s="9">
        <v>7716</v>
      </c>
      <c r="B7724" s="10">
        <f t="shared" ca="1" si="120"/>
        <v>7.1117691685317994E-2</v>
      </c>
      <c r="C7724" s="10">
        <f ca="1">NPV(B7724,Project_FCF!C18:J18)+Project_FCF!B18</f>
        <v>1015.8043453757</v>
      </c>
      <c r="D7724" s="4"/>
      <c r="E7724" s="4"/>
    </row>
    <row r="7725" spans="1:5" x14ac:dyDescent="0.3">
      <c r="A7725" s="9">
        <v>7717</v>
      </c>
      <c r="B7725" s="10">
        <f t="shared" ca="1" si="120"/>
        <v>9.0587659984579322E-2</v>
      </c>
      <c r="C7725" s="10">
        <f ca="1">NPV(B7725,Project_FCF!C18:J18)+Project_FCF!B18</f>
        <v>852.87428695730932</v>
      </c>
      <c r="D7725" s="4"/>
      <c r="E7725" s="4"/>
    </row>
    <row r="7726" spans="1:5" x14ac:dyDescent="0.3">
      <c r="A7726" s="9">
        <v>7718</v>
      </c>
      <c r="B7726" s="10">
        <f t="shared" ca="1" si="120"/>
        <v>7.7002860337796561E-2</v>
      </c>
      <c r="C7726" s="10">
        <f ca="1">NPV(B7726,Project_FCF!C18:J18)+Project_FCF!B18</f>
        <v>963.87139921186076</v>
      </c>
      <c r="D7726" s="4"/>
      <c r="E7726" s="4"/>
    </row>
    <row r="7727" spans="1:5" x14ac:dyDescent="0.3">
      <c r="A7727" s="9">
        <v>7719</v>
      </c>
      <c r="B7727" s="10">
        <f t="shared" ca="1" si="120"/>
        <v>8.7245334681989389E-2</v>
      </c>
      <c r="C7727" s="10">
        <f ca="1">NPV(B7727,Project_FCF!C18:J18)+Project_FCF!B18</f>
        <v>879.08875013133866</v>
      </c>
      <c r="D7727" s="4"/>
      <c r="E7727" s="4"/>
    </row>
    <row r="7728" spans="1:5" x14ac:dyDescent="0.3">
      <c r="A7728" s="9">
        <v>7720</v>
      </c>
      <c r="B7728" s="10">
        <f t="shared" ca="1" si="120"/>
        <v>8.2509532099148908E-2</v>
      </c>
      <c r="C7728" s="10">
        <f ca="1">NPV(B7728,Project_FCF!C18:J18)+Project_FCF!B18</f>
        <v>917.43546060572089</v>
      </c>
      <c r="D7728" s="4"/>
      <c r="E7728" s="4"/>
    </row>
    <row r="7729" spans="1:5" x14ac:dyDescent="0.3">
      <c r="A7729" s="9">
        <v>7721</v>
      </c>
      <c r="B7729" s="10">
        <f t="shared" ca="1" si="120"/>
        <v>0.10176300605383658</v>
      </c>
      <c r="C7729" s="10">
        <f ca="1">NPV(B7729,Project_FCF!C18:J18)+Project_FCF!B18</f>
        <v>770.04253283922958</v>
      </c>
      <c r="D7729" s="4"/>
      <c r="E7729" s="4"/>
    </row>
    <row r="7730" spans="1:5" x14ac:dyDescent="0.3">
      <c r="A7730" s="9">
        <v>7722</v>
      </c>
      <c r="B7730" s="10">
        <f t="shared" ca="1" si="120"/>
        <v>8.4404258547632352E-2</v>
      </c>
      <c r="C7730" s="10">
        <f ca="1">NPV(B7730,Project_FCF!C18:J18)+Project_FCF!B18</f>
        <v>901.92107848025353</v>
      </c>
      <c r="D7730" s="4"/>
      <c r="E7730" s="4"/>
    </row>
    <row r="7731" spans="1:5" x14ac:dyDescent="0.3">
      <c r="A7731" s="9">
        <v>7723</v>
      </c>
      <c r="B7731" s="10">
        <f t="shared" ca="1" si="120"/>
        <v>8.9463207234155545E-2</v>
      </c>
      <c r="C7731" s="10">
        <f ca="1">NPV(B7731,Project_FCF!C18:J18)+Project_FCF!B18</f>
        <v>861.61677400756139</v>
      </c>
      <c r="D7731" s="4"/>
      <c r="E7731" s="4"/>
    </row>
    <row r="7732" spans="1:5" x14ac:dyDescent="0.3">
      <c r="A7732" s="9">
        <v>7724</v>
      </c>
      <c r="B7732" s="10">
        <f t="shared" ca="1" si="120"/>
        <v>7.9340204255643601E-2</v>
      </c>
      <c r="C7732" s="10">
        <f ca="1">NPV(B7732,Project_FCF!C18:J18)+Project_FCF!B18</f>
        <v>943.91291963495064</v>
      </c>
      <c r="D7732" s="4"/>
      <c r="E7732" s="4"/>
    </row>
    <row r="7733" spans="1:5" x14ac:dyDescent="0.3">
      <c r="A7733" s="9">
        <v>7725</v>
      </c>
      <c r="B7733" s="10">
        <f t="shared" ca="1" si="120"/>
        <v>9.0776605036162084E-2</v>
      </c>
      <c r="C7733" s="10">
        <f ca="1">NPV(B7733,Project_FCF!C18:J18)+Project_FCF!B18</f>
        <v>851.41282349562334</v>
      </c>
      <c r="D7733" s="4"/>
      <c r="E7733" s="4"/>
    </row>
    <row r="7734" spans="1:5" x14ac:dyDescent="0.3">
      <c r="A7734" s="9">
        <v>7726</v>
      </c>
      <c r="B7734" s="10">
        <f t="shared" ca="1" si="120"/>
        <v>9.708822086442756E-2</v>
      </c>
      <c r="C7734" s="10">
        <f ca="1">NPV(B7734,Project_FCF!C18:J18)+Project_FCF!B18</f>
        <v>803.81567183346374</v>
      </c>
      <c r="D7734" s="4"/>
      <c r="E7734" s="4"/>
    </row>
    <row r="7735" spans="1:5" x14ac:dyDescent="0.3">
      <c r="A7735" s="9">
        <v>7727</v>
      </c>
      <c r="B7735" s="10">
        <f t="shared" ca="1" si="120"/>
        <v>8.7598162191518669E-2</v>
      </c>
      <c r="C7735" s="10">
        <f ca="1">NPV(B7735,Project_FCF!C18:J18)+Project_FCF!B18</f>
        <v>876.28879667542856</v>
      </c>
      <c r="D7735" s="4"/>
      <c r="E7735" s="4"/>
    </row>
    <row r="7736" spans="1:5" x14ac:dyDescent="0.3">
      <c r="A7736" s="9">
        <v>7728</v>
      </c>
      <c r="B7736" s="10">
        <f t="shared" ca="1" si="120"/>
        <v>8.4995087926734755E-2</v>
      </c>
      <c r="C7736" s="10">
        <f ca="1">NPV(B7736,Project_FCF!C18:J18)+Project_FCF!B18</f>
        <v>897.13060767821071</v>
      </c>
      <c r="D7736" s="4"/>
      <c r="E7736" s="4"/>
    </row>
    <row r="7737" spans="1:5" x14ac:dyDescent="0.3">
      <c r="A7737" s="9">
        <v>7729</v>
      </c>
      <c r="B7737" s="10">
        <f t="shared" ca="1" si="120"/>
        <v>6.74803428948373E-2</v>
      </c>
      <c r="C7737" s="10">
        <f ca="1">NPV(B7737,Project_FCF!C18:J18)+Project_FCF!B18</f>
        <v>1049.1480126385791</v>
      </c>
      <c r="D7737" s="4"/>
      <c r="E7737" s="4"/>
    </row>
    <row r="7738" spans="1:5" x14ac:dyDescent="0.3">
      <c r="A7738" s="9">
        <v>7730</v>
      </c>
      <c r="B7738" s="10">
        <f t="shared" ca="1" si="120"/>
        <v>8.2775373334472102E-2</v>
      </c>
      <c r="C7738" s="10">
        <f ca="1">NPV(B7738,Project_FCF!C18:J18)+Project_FCF!B18</f>
        <v>915.24464570611281</v>
      </c>
      <c r="D7738" s="4"/>
      <c r="E7738" s="4"/>
    </row>
    <row r="7739" spans="1:5" x14ac:dyDescent="0.3">
      <c r="A7739" s="9">
        <v>7731</v>
      </c>
      <c r="B7739" s="10">
        <f t="shared" ca="1" si="120"/>
        <v>7.1601450338370426E-2</v>
      </c>
      <c r="C7739" s="10">
        <f ca="1">NPV(B7739,Project_FCF!C18:J18)+Project_FCF!B18</f>
        <v>1011.4426306788569</v>
      </c>
      <c r="D7739" s="4"/>
      <c r="E7739" s="4"/>
    </row>
    <row r="7740" spans="1:5" x14ac:dyDescent="0.3">
      <c r="A7740" s="9">
        <v>7732</v>
      </c>
      <c r="B7740" s="10">
        <f t="shared" ca="1" si="120"/>
        <v>9.9574469760398118E-2</v>
      </c>
      <c r="C7740" s="10">
        <f ca="1">NPV(B7740,Project_FCF!C18:J18)+Project_FCF!B18</f>
        <v>785.70090435720363</v>
      </c>
      <c r="D7740" s="4"/>
      <c r="E7740" s="4"/>
    </row>
    <row r="7741" spans="1:5" x14ac:dyDescent="0.3">
      <c r="A7741" s="9">
        <v>7733</v>
      </c>
      <c r="B7741" s="10">
        <f t="shared" ca="1" si="120"/>
        <v>8.6312380434952027E-2</v>
      </c>
      <c r="C7741" s="10">
        <f ca="1">NPV(B7741,Project_FCF!C18:J18)+Project_FCF!B18</f>
        <v>886.53007243840398</v>
      </c>
      <c r="D7741" s="4"/>
      <c r="E7741" s="4"/>
    </row>
    <row r="7742" spans="1:5" x14ac:dyDescent="0.3">
      <c r="A7742" s="9">
        <v>7734</v>
      </c>
      <c r="B7742" s="10">
        <f t="shared" ca="1" si="120"/>
        <v>9.2294264498658837E-2</v>
      </c>
      <c r="C7742" s="10">
        <f ca="1">NPV(B7742,Project_FCF!C18:J18)+Project_FCF!B18</f>
        <v>839.75220216816206</v>
      </c>
      <c r="D7742" s="4"/>
      <c r="E7742" s="4"/>
    </row>
    <row r="7743" spans="1:5" x14ac:dyDescent="0.3">
      <c r="A7743" s="9">
        <v>7735</v>
      </c>
      <c r="B7743" s="10">
        <f t="shared" ca="1" si="120"/>
        <v>6.7912217819875151E-2</v>
      </c>
      <c r="C7743" s="10">
        <f ca="1">NPV(B7743,Project_FCF!C18:J18)+Project_FCF!B18</f>
        <v>1045.1378029141463</v>
      </c>
      <c r="D7743" s="4"/>
      <c r="E7743" s="4"/>
    </row>
    <row r="7744" spans="1:5" x14ac:dyDescent="0.3">
      <c r="A7744" s="9">
        <v>7736</v>
      </c>
      <c r="B7744" s="10">
        <f t="shared" ca="1" si="120"/>
        <v>7.9808131370568094E-2</v>
      </c>
      <c r="C7744" s="10">
        <f ca="1">NPV(B7744,Project_FCF!C18:J18)+Project_FCF!B18</f>
        <v>939.96169019237004</v>
      </c>
      <c r="D7744" s="4"/>
      <c r="E7744" s="4"/>
    </row>
    <row r="7745" spans="1:5" x14ac:dyDescent="0.3">
      <c r="A7745" s="9">
        <v>7737</v>
      </c>
      <c r="B7745" s="10">
        <f t="shared" ca="1" si="120"/>
        <v>9.6768927992309683E-2</v>
      </c>
      <c r="C7745" s="10">
        <f ca="1">NPV(B7745,Project_FCF!C18:J18)+Project_FCF!B18</f>
        <v>806.16755985169038</v>
      </c>
      <c r="D7745" s="4"/>
      <c r="E7745" s="4"/>
    </row>
    <row r="7746" spans="1:5" x14ac:dyDescent="0.3">
      <c r="A7746" s="9">
        <v>7738</v>
      </c>
      <c r="B7746" s="10">
        <f t="shared" ca="1" si="120"/>
        <v>6.7688381841511436E-2</v>
      </c>
      <c r="C7746" s="10">
        <f ca="1">NPV(B7746,Project_FCF!C18:J18)+Project_FCF!B18</f>
        <v>1047.2145097637042</v>
      </c>
      <c r="D7746" s="4"/>
      <c r="E7746" s="4"/>
    </row>
    <row r="7747" spans="1:5" x14ac:dyDescent="0.3">
      <c r="A7747" s="9">
        <v>7739</v>
      </c>
      <c r="B7747" s="10">
        <f t="shared" ca="1" si="120"/>
        <v>6.8999811938405153E-2</v>
      </c>
      <c r="C7747" s="10">
        <f ca="1">NPV(B7747,Project_FCF!C18:J18)+Project_FCF!B18</f>
        <v>1035.1003742766031</v>
      </c>
      <c r="D7747" s="4"/>
      <c r="E7747" s="4"/>
    </row>
    <row r="7748" spans="1:5" x14ac:dyDescent="0.3">
      <c r="A7748" s="9">
        <v>7740</v>
      </c>
      <c r="B7748" s="10">
        <f t="shared" ca="1" si="120"/>
        <v>0.10285034774335017</v>
      </c>
      <c r="C7748" s="10">
        <f ca="1">NPV(B7748,Project_FCF!C18:J18)+Project_FCF!B18</f>
        <v>762.36123134074228</v>
      </c>
      <c r="D7748" s="4"/>
      <c r="E7748" s="4"/>
    </row>
    <row r="7749" spans="1:5" x14ac:dyDescent="0.3">
      <c r="A7749" s="9">
        <v>7741</v>
      </c>
      <c r="B7749" s="10">
        <f t="shared" ca="1" si="120"/>
        <v>7.2088006534074142E-2</v>
      </c>
      <c r="C7749" s="10">
        <f ca="1">NPV(B7749,Project_FCF!C18:J18)+Project_FCF!B18</f>
        <v>1007.0727184845357</v>
      </c>
      <c r="D7749" s="4"/>
      <c r="E7749" s="4"/>
    </row>
    <row r="7750" spans="1:5" x14ac:dyDescent="0.3">
      <c r="A7750" s="9">
        <v>7742</v>
      </c>
      <c r="B7750" s="10">
        <f t="shared" ca="1" si="120"/>
        <v>6.9397418367869473E-2</v>
      </c>
      <c r="C7750" s="10">
        <f ca="1">NPV(B7750,Project_FCF!C18:J18)+Project_FCF!B18</f>
        <v>1031.4527100152532</v>
      </c>
      <c r="D7750" s="4"/>
      <c r="E7750" s="4"/>
    </row>
    <row r="7751" spans="1:5" x14ac:dyDescent="0.3">
      <c r="A7751" s="9">
        <v>7743</v>
      </c>
      <c r="B7751" s="10">
        <f t="shared" ca="1" si="120"/>
        <v>8.7680533188741708E-2</v>
      </c>
      <c r="C7751" s="10">
        <f ca="1">NPV(B7751,Project_FCF!C18:J18)+Project_FCF!B18</f>
        <v>875.6362401898175</v>
      </c>
      <c r="D7751" s="4"/>
      <c r="E7751" s="4"/>
    </row>
    <row r="7752" spans="1:5" x14ac:dyDescent="0.3">
      <c r="A7752" s="9">
        <v>7744</v>
      </c>
      <c r="B7752" s="10">
        <f t="shared" ca="1" si="120"/>
        <v>9.0737362468151075E-2</v>
      </c>
      <c r="C7752" s="10">
        <f ca="1">NPV(B7752,Project_FCF!C18:J18)+Project_FCF!B18</f>
        <v>851.71618091692903</v>
      </c>
      <c r="D7752" s="4"/>
      <c r="E7752" s="4"/>
    </row>
    <row r="7753" spans="1:5" x14ac:dyDescent="0.3">
      <c r="A7753" s="9">
        <v>7745</v>
      </c>
      <c r="B7753" s="10">
        <f t="shared" ref="B7753:B7816" ca="1" si="121">$B$4+RAND()*($B$5-$B$4)</f>
        <v>9.1669875983349761E-2</v>
      </c>
      <c r="C7753" s="10">
        <f ca="1">NPV(B7753,Project_FCF!C18:J18)+Project_FCF!B18</f>
        <v>844.53276278904877</v>
      </c>
      <c r="D7753" s="4"/>
      <c r="E7753" s="4"/>
    </row>
    <row r="7754" spans="1:5" x14ac:dyDescent="0.3">
      <c r="A7754" s="9">
        <v>7746</v>
      </c>
      <c r="B7754" s="10">
        <f t="shared" ca="1" si="121"/>
        <v>7.6577835255662655E-2</v>
      </c>
      <c r="C7754" s="10">
        <f ca="1">NPV(B7754,Project_FCF!C18:J18)+Project_FCF!B18</f>
        <v>967.54075336978121</v>
      </c>
      <c r="D7754" s="4"/>
      <c r="E7754" s="4"/>
    </row>
    <row r="7755" spans="1:5" x14ac:dyDescent="0.3">
      <c r="A7755" s="9">
        <v>7747</v>
      </c>
      <c r="B7755" s="10">
        <f t="shared" ca="1" si="121"/>
        <v>7.4391436732877403E-2</v>
      </c>
      <c r="C7755" s="10">
        <f ca="1">NPV(B7755,Project_FCF!C18:J18)+Project_FCF!B18</f>
        <v>986.61437292351184</v>
      </c>
      <c r="D7755" s="4"/>
      <c r="E7755" s="4"/>
    </row>
    <row r="7756" spans="1:5" x14ac:dyDescent="0.3">
      <c r="A7756" s="9">
        <v>7748</v>
      </c>
      <c r="B7756" s="10">
        <f t="shared" ca="1" si="121"/>
        <v>7.265952381796062E-2</v>
      </c>
      <c r="C7756" s="10">
        <f ca="1">NPV(B7756,Project_FCF!C18:J18)+Project_FCF!B18</f>
        <v>1001.9614504040162</v>
      </c>
      <c r="D7756" s="4"/>
      <c r="E7756" s="4"/>
    </row>
    <row r="7757" spans="1:5" x14ac:dyDescent="0.3">
      <c r="A7757" s="9">
        <v>7749</v>
      </c>
      <c r="B7757" s="10">
        <f t="shared" ca="1" si="121"/>
        <v>9.1496627852433787E-2</v>
      </c>
      <c r="C7757" s="10">
        <f ca="1">NPV(B7757,Project_FCF!C18:J18)+Project_FCF!B18</f>
        <v>845.86337088042023</v>
      </c>
      <c r="D7757" s="4"/>
      <c r="E7757" s="4"/>
    </row>
    <row r="7758" spans="1:5" x14ac:dyDescent="0.3">
      <c r="A7758" s="9">
        <v>7750</v>
      </c>
      <c r="B7758" s="10">
        <f t="shared" ca="1" si="121"/>
        <v>9.7565863798323743E-2</v>
      </c>
      <c r="C7758" s="10">
        <f ca="1">NPV(B7758,Project_FCF!C18:J18)+Project_FCF!B18</f>
        <v>800.30829992286635</v>
      </c>
      <c r="D7758" s="4"/>
      <c r="E7758" s="4"/>
    </row>
    <row r="7759" spans="1:5" x14ac:dyDescent="0.3">
      <c r="A7759" s="9">
        <v>7751</v>
      </c>
      <c r="B7759" s="10">
        <f t="shared" ca="1" si="121"/>
        <v>9.0944520419153838E-2</v>
      </c>
      <c r="C7759" s="10">
        <f ca="1">NPV(B7759,Project_FCF!C18:J18)+Project_FCF!B18</f>
        <v>850.11583948323073</v>
      </c>
      <c r="D7759" s="4"/>
      <c r="E7759" s="4"/>
    </row>
    <row r="7760" spans="1:5" x14ac:dyDescent="0.3">
      <c r="A7760" s="9">
        <v>7752</v>
      </c>
      <c r="B7760" s="10">
        <f t="shared" ca="1" si="121"/>
        <v>0.10256171656733515</v>
      </c>
      <c r="C7760" s="10">
        <f ca="1">NPV(B7760,Project_FCF!C18:J18)+Project_FCF!B18</f>
        <v>764.39389896295779</v>
      </c>
      <c r="D7760" s="4"/>
      <c r="E7760" s="4"/>
    </row>
    <row r="7761" spans="1:5" x14ac:dyDescent="0.3">
      <c r="A7761" s="9">
        <v>7753</v>
      </c>
      <c r="B7761" s="10">
        <f t="shared" ca="1" si="121"/>
        <v>8.9664769099420991E-2</v>
      </c>
      <c r="C7761" s="10">
        <f ca="1">NPV(B7761,Project_FCF!C18:J18)+Project_FCF!B18</f>
        <v>860.04396715108783</v>
      </c>
      <c r="D7761" s="4"/>
      <c r="E7761" s="4"/>
    </row>
    <row r="7762" spans="1:5" x14ac:dyDescent="0.3">
      <c r="A7762" s="9">
        <v>7754</v>
      </c>
      <c r="B7762" s="10">
        <f t="shared" ca="1" si="121"/>
        <v>8.1575559552736807E-2</v>
      </c>
      <c r="C7762" s="10">
        <f ca="1">NPV(B7762,Project_FCF!C18:J18)+Project_FCF!B18</f>
        <v>925.16907375491132</v>
      </c>
      <c r="D7762" s="4"/>
      <c r="E7762" s="4"/>
    </row>
    <row r="7763" spans="1:5" x14ac:dyDescent="0.3">
      <c r="A7763" s="9">
        <v>7755</v>
      </c>
      <c r="B7763" s="10">
        <f t="shared" ca="1" si="121"/>
        <v>7.4648803098978408E-2</v>
      </c>
      <c r="C7763" s="10">
        <f ca="1">NPV(B7763,Project_FCF!C18:J18)+Project_FCF!B18</f>
        <v>984.35184260372944</v>
      </c>
      <c r="D7763" s="4"/>
      <c r="E7763" s="4"/>
    </row>
    <row r="7764" spans="1:5" x14ac:dyDescent="0.3">
      <c r="A7764" s="9">
        <v>7756</v>
      </c>
      <c r="B7764" s="10">
        <f t="shared" ca="1" si="121"/>
        <v>0.10195327265494232</v>
      </c>
      <c r="C7764" s="10">
        <f ca="1">NPV(B7764,Project_FCF!C18:J18)+Project_FCF!B18</f>
        <v>768.69375495103463</v>
      </c>
      <c r="D7764" s="4"/>
      <c r="E7764" s="4"/>
    </row>
    <row r="7765" spans="1:5" x14ac:dyDescent="0.3">
      <c r="A7765" s="9">
        <v>7757</v>
      </c>
      <c r="B7765" s="10">
        <f t="shared" ca="1" si="121"/>
        <v>7.2330858166924472E-2</v>
      </c>
      <c r="C7765" s="10">
        <f ca="1">NPV(B7765,Project_FCF!C18:J18)+Project_FCF!B18</f>
        <v>1004.8979573165966</v>
      </c>
      <c r="D7765" s="4"/>
      <c r="E7765" s="4"/>
    </row>
    <row r="7766" spans="1:5" x14ac:dyDescent="0.3">
      <c r="A7766" s="9">
        <v>7758</v>
      </c>
      <c r="B7766" s="10">
        <f t="shared" ca="1" si="121"/>
        <v>7.7799588079994361E-2</v>
      </c>
      <c r="C7766" s="10">
        <f ca="1">NPV(B7766,Project_FCF!C18:J18)+Project_FCF!B18</f>
        <v>957.02642412408227</v>
      </c>
      <c r="D7766" s="4"/>
      <c r="E7766" s="4"/>
    </row>
    <row r="7767" spans="1:5" x14ac:dyDescent="0.3">
      <c r="A7767" s="9">
        <v>7759</v>
      </c>
      <c r="B7767" s="10">
        <f t="shared" ca="1" si="121"/>
        <v>6.7346908171455722E-2</v>
      </c>
      <c r="C7767" s="10">
        <f ca="1">NPV(B7767,Project_FCF!C18:J18)+Project_FCF!B18</f>
        <v>1050.3898536476092</v>
      </c>
      <c r="D7767" s="4"/>
      <c r="E7767" s="4"/>
    </row>
    <row r="7768" spans="1:5" x14ac:dyDescent="0.3">
      <c r="A7768" s="9">
        <v>7760</v>
      </c>
      <c r="B7768" s="10">
        <f t="shared" ca="1" si="121"/>
        <v>6.9394633852344081E-2</v>
      </c>
      <c r="C7768" s="10">
        <f ca="1">NPV(B7768,Project_FCF!C18:J18)+Project_FCF!B18</f>
        <v>1031.4782148189088</v>
      </c>
      <c r="D7768" s="4"/>
      <c r="E7768" s="4"/>
    </row>
    <row r="7769" spans="1:5" x14ac:dyDescent="0.3">
      <c r="A7769" s="9">
        <v>7761</v>
      </c>
      <c r="B7769" s="10">
        <f t="shared" ca="1" si="121"/>
        <v>8.0226079778998802E-2</v>
      </c>
      <c r="C7769" s="10">
        <f ca="1">NPV(B7769,Project_FCF!C18:J18)+Project_FCF!B18</f>
        <v>936.44488333796517</v>
      </c>
      <c r="D7769" s="4"/>
      <c r="E7769" s="4"/>
    </row>
    <row r="7770" spans="1:5" x14ac:dyDescent="0.3">
      <c r="A7770" s="9">
        <v>7762</v>
      </c>
      <c r="B7770" s="10">
        <f t="shared" ca="1" si="121"/>
        <v>8.3965053771779374E-2</v>
      </c>
      <c r="C7770" s="10">
        <f ca="1">NPV(B7770,Project_FCF!C18:J18)+Project_FCF!B18</f>
        <v>905.49669411599325</v>
      </c>
      <c r="D7770" s="4"/>
      <c r="E7770" s="4"/>
    </row>
    <row r="7771" spans="1:5" x14ac:dyDescent="0.3">
      <c r="A7771" s="9">
        <v>7763</v>
      </c>
      <c r="B7771" s="10">
        <f t="shared" ca="1" si="121"/>
        <v>7.891091777871416E-2</v>
      </c>
      <c r="C7771" s="10">
        <f ca="1">NPV(B7771,Project_FCF!C18:J18)+Project_FCF!B18</f>
        <v>947.5508103447396</v>
      </c>
      <c r="D7771" s="4"/>
      <c r="E7771" s="4"/>
    </row>
    <row r="7772" spans="1:5" x14ac:dyDescent="0.3">
      <c r="A7772" s="9">
        <v>7764</v>
      </c>
      <c r="B7772" s="10">
        <f t="shared" ca="1" si="121"/>
        <v>0.10329567265888984</v>
      </c>
      <c r="C7772" s="10">
        <f ca="1">NPV(B7772,Project_FCF!C18:J18)+Project_FCF!B18</f>
        <v>759.2339605847344</v>
      </c>
      <c r="D7772" s="4"/>
      <c r="E7772" s="4"/>
    </row>
    <row r="7773" spans="1:5" x14ac:dyDescent="0.3">
      <c r="A7773" s="9">
        <v>7765</v>
      </c>
      <c r="B7773" s="10">
        <f t="shared" ca="1" si="121"/>
        <v>8.3992478763099288E-2</v>
      </c>
      <c r="C7773" s="10">
        <f ca="1">NPV(B7773,Project_FCF!C18:J18)+Project_FCF!B18</f>
        <v>905.27306052141421</v>
      </c>
      <c r="D7773" s="4"/>
      <c r="E7773" s="4"/>
    </row>
    <row r="7774" spans="1:5" x14ac:dyDescent="0.3">
      <c r="A7774" s="9">
        <v>7766</v>
      </c>
      <c r="B7774" s="10">
        <f t="shared" ca="1" si="121"/>
        <v>8.8717970717488714E-2</v>
      </c>
      <c r="C7774" s="10">
        <f ca="1">NPV(B7774,Project_FCF!C18:J18)+Project_FCF!B18</f>
        <v>867.45361974846855</v>
      </c>
      <c r="D7774" s="4"/>
      <c r="E7774" s="4"/>
    </row>
    <row r="7775" spans="1:5" x14ac:dyDescent="0.3">
      <c r="A7775" s="9">
        <v>7767</v>
      </c>
      <c r="B7775" s="10">
        <f t="shared" ca="1" si="121"/>
        <v>9.2466122592676683E-2</v>
      </c>
      <c r="C7775" s="10">
        <f ca="1">NPV(B7775,Project_FCF!C18:J18)+Project_FCF!B18</f>
        <v>838.44049081899198</v>
      </c>
      <c r="D7775" s="4"/>
      <c r="E7775" s="4"/>
    </row>
    <row r="7776" spans="1:5" x14ac:dyDescent="0.3">
      <c r="A7776" s="9">
        <v>7768</v>
      </c>
      <c r="B7776" s="10">
        <f t="shared" ca="1" si="121"/>
        <v>7.3371095526777438E-2</v>
      </c>
      <c r="C7776" s="10">
        <f ca="1">NPV(B7776,Project_FCF!C18:J18)+Project_FCF!B18</f>
        <v>995.63022644011153</v>
      </c>
      <c r="D7776" s="4"/>
      <c r="E7776" s="4"/>
    </row>
    <row r="7777" spans="1:5" x14ac:dyDescent="0.3">
      <c r="A7777" s="9">
        <v>7769</v>
      </c>
      <c r="B7777" s="10">
        <f t="shared" ca="1" si="121"/>
        <v>9.6469713684254582E-2</v>
      </c>
      <c r="C7777" s="10">
        <f ca="1">NPV(B7777,Project_FCF!C18:J18)+Project_FCF!B18</f>
        <v>808.37687267441561</v>
      </c>
      <c r="D7777" s="4"/>
      <c r="E7777" s="4"/>
    </row>
    <row r="7778" spans="1:5" x14ac:dyDescent="0.3">
      <c r="A7778" s="9">
        <v>7770</v>
      </c>
      <c r="B7778" s="10">
        <f t="shared" ca="1" si="121"/>
        <v>7.2622359360202851E-2</v>
      </c>
      <c r="C7778" s="10">
        <f ca="1">NPV(B7778,Project_FCF!C18:J18)+Project_FCF!B18</f>
        <v>1002.2931138078766</v>
      </c>
      <c r="D7778" s="4"/>
      <c r="E7778" s="4"/>
    </row>
    <row r="7779" spans="1:5" x14ac:dyDescent="0.3">
      <c r="A7779" s="9">
        <v>7771</v>
      </c>
      <c r="B7779" s="10">
        <f t="shared" ca="1" si="121"/>
        <v>7.1676614349310427E-2</v>
      </c>
      <c r="C7779" s="10">
        <f ca="1">NPV(B7779,Project_FCF!C18:J18)+Project_FCF!B18</f>
        <v>1010.7664461126287</v>
      </c>
      <c r="D7779" s="4"/>
      <c r="E7779" s="4"/>
    </row>
    <row r="7780" spans="1:5" x14ac:dyDescent="0.3">
      <c r="A7780" s="9">
        <v>7772</v>
      </c>
      <c r="B7780" s="10">
        <f t="shared" ca="1" si="121"/>
        <v>0.10259158830425766</v>
      </c>
      <c r="C7780" s="10">
        <f ca="1">NPV(B7780,Project_FCF!C18:J18)+Project_FCF!B18</f>
        <v>764.18331807661411</v>
      </c>
      <c r="D7780" s="4"/>
      <c r="E7780" s="4"/>
    </row>
    <row r="7781" spans="1:5" x14ac:dyDescent="0.3">
      <c r="A7781" s="9">
        <v>7773</v>
      </c>
      <c r="B7781" s="10">
        <f t="shared" ca="1" si="121"/>
        <v>8.3768913848309007E-2</v>
      </c>
      <c r="C7781" s="10">
        <f ca="1">NPV(B7781,Project_FCF!C18:J18)+Project_FCF!B18</f>
        <v>907.09750680931393</v>
      </c>
      <c r="D7781" s="4"/>
      <c r="E7781" s="4"/>
    </row>
    <row r="7782" spans="1:5" x14ac:dyDescent="0.3">
      <c r="A7782" s="9">
        <v>7774</v>
      </c>
      <c r="B7782" s="10">
        <f t="shared" ca="1" si="121"/>
        <v>9.3968153216031192E-2</v>
      </c>
      <c r="C7782" s="10">
        <f ca="1">NPV(B7782,Project_FCF!C18:J18)+Project_FCF!B18</f>
        <v>827.05103715430755</v>
      </c>
      <c r="D7782" s="4"/>
      <c r="E7782" s="4"/>
    </row>
    <row r="7783" spans="1:5" x14ac:dyDescent="0.3">
      <c r="A7783" s="9">
        <v>7775</v>
      </c>
      <c r="B7783" s="10">
        <f t="shared" ca="1" si="121"/>
        <v>9.0415833318191585E-2</v>
      </c>
      <c r="C7783" s="10">
        <f ca="1">NPV(B7783,Project_FCF!C18:J18)+Project_FCF!B18</f>
        <v>854.20522572245955</v>
      </c>
      <c r="D7783" s="4"/>
      <c r="E7783" s="4"/>
    </row>
    <row r="7784" spans="1:5" x14ac:dyDescent="0.3">
      <c r="A7784" s="9">
        <v>7776</v>
      </c>
      <c r="B7784" s="10">
        <f t="shared" ca="1" si="121"/>
        <v>9.2588111697739395E-2</v>
      </c>
      <c r="C7784" s="10">
        <f ca="1">NPV(B7784,Project_FCF!C18:J18)+Project_FCF!B18</f>
        <v>837.51047712682862</v>
      </c>
      <c r="D7784" s="4"/>
      <c r="E7784" s="4"/>
    </row>
    <row r="7785" spans="1:5" x14ac:dyDescent="0.3">
      <c r="A7785" s="9">
        <v>7777</v>
      </c>
      <c r="B7785" s="10">
        <f t="shared" ca="1" si="121"/>
        <v>6.9485661270851345E-2</v>
      </c>
      <c r="C7785" s="10">
        <f ca="1">NPV(B7785,Project_FCF!C18:J18)+Project_FCF!B18</f>
        <v>1030.6447435622831</v>
      </c>
      <c r="D7785" s="4"/>
      <c r="E7785" s="4"/>
    </row>
    <row r="7786" spans="1:5" x14ac:dyDescent="0.3">
      <c r="A7786" s="9">
        <v>7778</v>
      </c>
      <c r="B7786" s="10">
        <f t="shared" ca="1" si="121"/>
        <v>6.440903298162326E-2</v>
      </c>
      <c r="C7786" s="10">
        <f ca="1">NPV(B7786,Project_FCF!C18:J18)+Project_FCF!B18</f>
        <v>1078.0730703486681</v>
      </c>
      <c r="D7786" s="4"/>
      <c r="E7786" s="4"/>
    </row>
    <row r="7787" spans="1:5" x14ac:dyDescent="0.3">
      <c r="A7787" s="9">
        <v>7779</v>
      </c>
      <c r="B7787" s="10">
        <f t="shared" ca="1" si="121"/>
        <v>8.7084639659506843E-2</v>
      </c>
      <c r="C7787" s="10">
        <f ca="1">NPV(B7787,Project_FCF!C18:J18)+Project_FCF!B18</f>
        <v>880.36656904462757</v>
      </c>
      <c r="D7787" s="4"/>
      <c r="E7787" s="4"/>
    </row>
    <row r="7788" spans="1:5" x14ac:dyDescent="0.3">
      <c r="A7788" s="9">
        <v>7780</v>
      </c>
      <c r="B7788" s="10">
        <f t="shared" ca="1" si="121"/>
        <v>8.28533822071474E-2</v>
      </c>
      <c r="C7788" s="10">
        <f ca="1">NPV(B7788,Project_FCF!C18:J18)+Project_FCF!B18</f>
        <v>914.60264426316098</v>
      </c>
      <c r="D7788" s="4"/>
      <c r="E7788" s="4"/>
    </row>
    <row r="7789" spans="1:5" x14ac:dyDescent="0.3">
      <c r="A7789" s="9">
        <v>7781</v>
      </c>
      <c r="B7789" s="10">
        <f t="shared" ca="1" si="121"/>
        <v>6.7781778171147375E-2</v>
      </c>
      <c r="C7789" s="10">
        <f ca="1">NPV(B7789,Project_FCF!C18:J18)+Project_FCF!B18</f>
        <v>1046.3475418295245</v>
      </c>
      <c r="D7789" s="4"/>
      <c r="E7789" s="4"/>
    </row>
    <row r="7790" spans="1:5" x14ac:dyDescent="0.3">
      <c r="A7790" s="9">
        <v>7782</v>
      </c>
      <c r="B7790" s="10">
        <f t="shared" ca="1" si="121"/>
        <v>9.3565307207303841E-2</v>
      </c>
      <c r="C7790" s="10">
        <f ca="1">NPV(B7790,Project_FCF!C18:J18)+Project_FCF!B18</f>
        <v>830.09256928764512</v>
      </c>
      <c r="D7790" s="4"/>
      <c r="E7790" s="4"/>
    </row>
    <row r="7791" spans="1:5" x14ac:dyDescent="0.3">
      <c r="A7791" s="9">
        <v>7783</v>
      </c>
      <c r="B7791" s="10">
        <f t="shared" ca="1" si="121"/>
        <v>6.8865228244433224E-2</v>
      </c>
      <c r="C7791" s="10">
        <f ca="1">NPV(B7791,Project_FCF!C18:J18)+Project_FCF!B18</f>
        <v>1036.3376957511971</v>
      </c>
      <c r="D7791" s="4"/>
      <c r="E7791" s="4"/>
    </row>
    <row r="7792" spans="1:5" x14ac:dyDescent="0.3">
      <c r="A7792" s="9">
        <v>7784</v>
      </c>
      <c r="B7792" s="10">
        <f t="shared" ca="1" si="121"/>
        <v>9.7706241298055038E-2</v>
      </c>
      <c r="C7792" s="10">
        <f ca="1">NPV(B7792,Project_FCF!C18:J18)+Project_FCF!B18</f>
        <v>799.27997615523759</v>
      </c>
      <c r="D7792" s="4"/>
      <c r="E7792" s="4"/>
    </row>
    <row r="7793" spans="1:5" x14ac:dyDescent="0.3">
      <c r="A7793" s="9">
        <v>7785</v>
      </c>
      <c r="B7793" s="10">
        <f t="shared" ca="1" si="121"/>
        <v>7.425350125052356E-2</v>
      </c>
      <c r="C7793" s="10">
        <f ca="1">NPV(B7793,Project_FCF!C18:J18)+Project_FCF!B18</f>
        <v>987.82889231523518</v>
      </c>
      <c r="D7793" s="4"/>
      <c r="E7793" s="4"/>
    </row>
    <row r="7794" spans="1:5" x14ac:dyDescent="0.3">
      <c r="A7794" s="9">
        <v>7786</v>
      </c>
      <c r="B7794" s="10">
        <f t="shared" ca="1" si="121"/>
        <v>6.7456771338658933E-2</v>
      </c>
      <c r="C7794" s="10">
        <f ca="1">NPV(B7794,Project_FCF!C18:J18)+Project_FCF!B18</f>
        <v>1049.3672897416398</v>
      </c>
      <c r="D7794" s="4"/>
      <c r="E7794" s="4"/>
    </row>
    <row r="7795" spans="1:5" x14ac:dyDescent="0.3">
      <c r="A7795" s="9">
        <v>7787</v>
      </c>
      <c r="B7795" s="10">
        <f t="shared" ca="1" si="121"/>
        <v>8.2686114413468847E-2</v>
      </c>
      <c r="C7795" s="10">
        <f ca="1">NPV(B7795,Project_FCF!C18:J18)+Project_FCF!B18</f>
        <v>915.97972001162611</v>
      </c>
      <c r="D7795" s="4"/>
      <c r="E7795" s="4"/>
    </row>
    <row r="7796" spans="1:5" x14ac:dyDescent="0.3">
      <c r="A7796" s="9">
        <v>7788</v>
      </c>
      <c r="B7796" s="10">
        <f t="shared" ca="1" si="121"/>
        <v>9.185953157088006E-2</v>
      </c>
      <c r="C7796" s="10">
        <f ca="1">NPV(B7796,Project_FCF!C18:J18)+Project_FCF!B18</f>
        <v>843.07821074924072</v>
      </c>
      <c r="D7796" s="4"/>
      <c r="E7796" s="4"/>
    </row>
    <row r="7797" spans="1:5" x14ac:dyDescent="0.3">
      <c r="A7797" s="9">
        <v>7789</v>
      </c>
      <c r="B7797" s="10">
        <f t="shared" ca="1" si="121"/>
        <v>7.7425894041137019E-2</v>
      </c>
      <c r="C7797" s="10">
        <f ca="1">NPV(B7797,Project_FCF!C18:J18)+Project_FCF!B18</f>
        <v>960.23155598525614</v>
      </c>
      <c r="D7797" s="4"/>
      <c r="E7797" s="4"/>
    </row>
    <row r="7798" spans="1:5" x14ac:dyDescent="0.3">
      <c r="A7798" s="9">
        <v>7790</v>
      </c>
      <c r="B7798" s="10">
        <f t="shared" ca="1" si="121"/>
        <v>7.3545957770452614E-2</v>
      </c>
      <c r="C7798" s="10">
        <f ca="1">NPV(B7798,Project_FCF!C18:J18)+Project_FCF!B18</f>
        <v>994.07989570158406</v>
      </c>
      <c r="D7798" s="4"/>
      <c r="E7798" s="4"/>
    </row>
    <row r="7799" spans="1:5" x14ac:dyDescent="0.3">
      <c r="A7799" s="9">
        <v>7791</v>
      </c>
      <c r="B7799" s="10">
        <f t="shared" ca="1" si="121"/>
        <v>7.6839155783192434E-2</v>
      </c>
      <c r="C7799" s="10">
        <f ca="1">NPV(B7799,Project_FCF!C18:J18)+Project_FCF!B18</f>
        <v>965.28323247139861</v>
      </c>
      <c r="D7799" s="4"/>
      <c r="E7799" s="4"/>
    </row>
    <row r="7800" spans="1:5" x14ac:dyDescent="0.3">
      <c r="A7800" s="9">
        <v>7792</v>
      </c>
      <c r="B7800" s="10">
        <f t="shared" ca="1" si="121"/>
        <v>6.8577650700105422E-2</v>
      </c>
      <c r="C7800" s="10">
        <f ca="1">NPV(B7800,Project_FCF!C18:J18)+Project_FCF!B18</f>
        <v>1038.9860870575469</v>
      </c>
      <c r="D7800" s="4"/>
      <c r="E7800" s="4"/>
    </row>
    <row r="7801" spans="1:5" x14ac:dyDescent="0.3">
      <c r="A7801" s="9">
        <v>7793</v>
      </c>
      <c r="B7801" s="10">
        <f t="shared" ca="1" si="121"/>
        <v>9.5413844319378521E-2</v>
      </c>
      <c r="C7801" s="10">
        <f ca="1">NPV(B7801,Project_FCF!C18:J18)+Project_FCF!B18</f>
        <v>816.21446052868669</v>
      </c>
      <c r="D7801" s="4"/>
      <c r="E7801" s="4"/>
    </row>
    <row r="7802" spans="1:5" x14ac:dyDescent="0.3">
      <c r="A7802" s="9">
        <v>7794</v>
      </c>
      <c r="B7802" s="10">
        <f t="shared" ca="1" si="121"/>
        <v>0.10369534240153788</v>
      </c>
      <c r="C7802" s="10">
        <f ca="1">NPV(B7802,Project_FCF!C18:J18)+Project_FCF!B18</f>
        <v>756.43646939709788</v>
      </c>
      <c r="D7802" s="4"/>
      <c r="E7802" s="4"/>
    </row>
    <row r="7803" spans="1:5" x14ac:dyDescent="0.3">
      <c r="A7803" s="9">
        <v>7795</v>
      </c>
      <c r="B7803" s="10">
        <f t="shared" ca="1" si="121"/>
        <v>0.1003915377732038</v>
      </c>
      <c r="C7803" s="10">
        <f ca="1">NPV(B7803,Project_FCF!C18:J18)+Project_FCF!B18</f>
        <v>779.82385097825272</v>
      </c>
      <c r="D7803" s="4"/>
      <c r="E7803" s="4"/>
    </row>
    <row r="7804" spans="1:5" x14ac:dyDescent="0.3">
      <c r="A7804" s="9">
        <v>7796</v>
      </c>
      <c r="B7804" s="10">
        <f t="shared" ca="1" si="121"/>
        <v>9.8161681256842021E-2</v>
      </c>
      <c r="C7804" s="10">
        <f ca="1">NPV(B7804,Project_FCF!C18:J18)+Project_FCF!B18</f>
        <v>795.9514206003023</v>
      </c>
      <c r="D7804" s="4"/>
      <c r="E7804" s="4"/>
    </row>
    <row r="7805" spans="1:5" x14ac:dyDescent="0.3">
      <c r="A7805" s="9">
        <v>7797</v>
      </c>
      <c r="B7805" s="10">
        <f t="shared" ca="1" si="121"/>
        <v>8.8907123835305218E-2</v>
      </c>
      <c r="C7805" s="10">
        <f ca="1">NPV(B7805,Project_FCF!C18:J18)+Project_FCF!B18</f>
        <v>865.96889248539719</v>
      </c>
      <c r="D7805" s="4"/>
      <c r="E7805" s="4"/>
    </row>
    <row r="7806" spans="1:5" x14ac:dyDescent="0.3">
      <c r="A7806" s="9">
        <v>7798</v>
      </c>
      <c r="B7806" s="10">
        <f t="shared" ca="1" si="121"/>
        <v>7.7474533096240375E-2</v>
      </c>
      <c r="C7806" s="10">
        <f ca="1">NPV(B7806,Project_FCF!C18:J18)+Project_FCF!B18</f>
        <v>959.81384414450167</v>
      </c>
      <c r="D7806" s="4"/>
      <c r="E7806" s="4"/>
    </row>
    <row r="7807" spans="1:5" x14ac:dyDescent="0.3">
      <c r="A7807" s="9">
        <v>7799</v>
      </c>
      <c r="B7807" s="10">
        <f t="shared" ca="1" si="121"/>
        <v>7.8157167017127799E-2</v>
      </c>
      <c r="C7807" s="10">
        <f ca="1">NPV(B7807,Project_FCF!C18:J18)+Project_FCF!B18</f>
        <v>953.96842436076327</v>
      </c>
      <c r="D7807" s="4"/>
      <c r="E7807" s="4"/>
    </row>
    <row r="7808" spans="1:5" x14ac:dyDescent="0.3">
      <c r="A7808" s="9">
        <v>7800</v>
      </c>
      <c r="B7808" s="10">
        <f t="shared" ca="1" si="121"/>
        <v>7.9382652535841772E-2</v>
      </c>
      <c r="C7808" s="10">
        <f ca="1">NPV(B7808,Project_FCF!C18:J18)+Project_FCF!B18</f>
        <v>943.55387530810685</v>
      </c>
      <c r="D7808" s="4"/>
      <c r="E7808" s="4"/>
    </row>
    <row r="7809" spans="1:5" x14ac:dyDescent="0.3">
      <c r="A7809" s="9">
        <v>7801</v>
      </c>
      <c r="B7809" s="10">
        <f t="shared" ca="1" si="121"/>
        <v>8.2961195404344185E-2</v>
      </c>
      <c r="C7809" s="10">
        <f ca="1">NPV(B7809,Project_FCF!C18:J18)+Project_FCF!B18</f>
        <v>913.71601010716108</v>
      </c>
      <c r="D7809" s="4"/>
      <c r="E7809" s="4"/>
    </row>
    <row r="7810" spans="1:5" x14ac:dyDescent="0.3">
      <c r="A7810" s="9">
        <v>7802</v>
      </c>
      <c r="B7810" s="10">
        <f t="shared" ca="1" si="121"/>
        <v>6.7507421366610559E-2</v>
      </c>
      <c r="C7810" s="10">
        <f ca="1">NPV(B7810,Project_FCF!C18:J18)+Project_FCF!B18</f>
        <v>1048.896163408471</v>
      </c>
      <c r="D7810" s="4"/>
      <c r="E7810" s="4"/>
    </row>
    <row r="7811" spans="1:5" x14ac:dyDescent="0.3">
      <c r="A7811" s="9">
        <v>7803</v>
      </c>
      <c r="B7811" s="10">
        <f t="shared" ca="1" si="121"/>
        <v>7.1186889240557688E-2</v>
      </c>
      <c r="C7811" s="10">
        <f ca="1">NPV(B7811,Project_FCF!C18:J18)+Project_FCF!B18</f>
        <v>1015.1794018661678</v>
      </c>
      <c r="D7811" s="4"/>
      <c r="E7811" s="4"/>
    </row>
    <row r="7812" spans="1:5" x14ac:dyDescent="0.3">
      <c r="A7812" s="9">
        <v>7804</v>
      </c>
      <c r="B7812" s="10">
        <f t="shared" ca="1" si="121"/>
        <v>7.4096083898151283E-2</v>
      </c>
      <c r="C7812" s="10">
        <f ca="1">NPV(B7812,Project_FCF!C18:J18)+Project_FCF!B18</f>
        <v>989.21658608599432</v>
      </c>
      <c r="D7812" s="4"/>
      <c r="E7812" s="4"/>
    </row>
    <row r="7813" spans="1:5" x14ac:dyDescent="0.3">
      <c r="A7813" s="9">
        <v>7805</v>
      </c>
      <c r="B7813" s="10">
        <f t="shared" ca="1" si="121"/>
        <v>7.4453083899979414E-2</v>
      </c>
      <c r="C7813" s="10">
        <f ca="1">NPV(B7813,Project_FCF!C18:J18)+Project_FCF!B18</f>
        <v>986.07200344838066</v>
      </c>
      <c r="D7813" s="4"/>
      <c r="E7813" s="4"/>
    </row>
    <row r="7814" spans="1:5" x14ac:dyDescent="0.3">
      <c r="A7814" s="9">
        <v>7806</v>
      </c>
      <c r="B7814" s="10">
        <f t="shared" ca="1" si="121"/>
        <v>9.3327824857492525E-2</v>
      </c>
      <c r="C7814" s="10">
        <f ca="1">NPV(B7814,Project_FCF!C18:J18)+Project_FCF!B18</f>
        <v>831.89008494338623</v>
      </c>
      <c r="D7814" s="4"/>
      <c r="E7814" s="4"/>
    </row>
    <row r="7815" spans="1:5" x14ac:dyDescent="0.3">
      <c r="A7815" s="9">
        <v>7807</v>
      </c>
      <c r="B7815" s="10">
        <f t="shared" ca="1" si="121"/>
        <v>8.9032329696667786E-2</v>
      </c>
      <c r="C7815" s="10">
        <f ca="1">NPV(B7815,Project_FCF!C18:J18)+Project_FCF!B18</f>
        <v>864.98732339261255</v>
      </c>
      <c r="D7815" s="4"/>
      <c r="E7815" s="4"/>
    </row>
    <row r="7816" spans="1:5" x14ac:dyDescent="0.3">
      <c r="A7816" s="9">
        <v>7808</v>
      </c>
      <c r="B7816" s="10">
        <f t="shared" ca="1" si="121"/>
        <v>0.1039809373828819</v>
      </c>
      <c r="C7816" s="10">
        <f ca="1">NPV(B7816,Project_FCF!C18:J18)+Project_FCF!B18</f>
        <v>754.44274083136588</v>
      </c>
      <c r="D7816" s="4"/>
      <c r="E7816" s="4"/>
    </row>
    <row r="7817" spans="1:5" x14ac:dyDescent="0.3">
      <c r="A7817" s="9">
        <v>7809</v>
      </c>
      <c r="B7817" s="10">
        <f t="shared" ref="B7817:B7880" ca="1" si="122">$B$4+RAND()*($B$5-$B$4)</f>
        <v>0.10072603756222942</v>
      </c>
      <c r="C7817" s="10">
        <f ca="1">NPV(B7817,Project_FCF!C18:J18)+Project_FCF!B18</f>
        <v>777.42858505331014</v>
      </c>
      <c r="D7817" s="4"/>
      <c r="E7817" s="4"/>
    </row>
    <row r="7818" spans="1:5" x14ac:dyDescent="0.3">
      <c r="A7818" s="9">
        <v>7810</v>
      </c>
      <c r="B7818" s="10">
        <f t="shared" ca="1" si="122"/>
        <v>8.3432379208961391E-2</v>
      </c>
      <c r="C7818" s="10">
        <f ca="1">NPV(B7818,Project_FCF!C18:J18)+Project_FCF!B18</f>
        <v>909.849956095989</v>
      </c>
      <c r="D7818" s="4"/>
      <c r="E7818" s="4"/>
    </row>
    <row r="7819" spans="1:5" x14ac:dyDescent="0.3">
      <c r="A7819" s="9">
        <v>7811</v>
      </c>
      <c r="B7819" s="10">
        <f t="shared" ca="1" si="122"/>
        <v>8.4352671734505724E-2</v>
      </c>
      <c r="C7819" s="10">
        <f ca="1">NPV(B7819,Project_FCF!C18:J18)+Project_FCF!B18</f>
        <v>902.34040935416442</v>
      </c>
      <c r="D7819" s="4"/>
      <c r="E7819" s="4"/>
    </row>
    <row r="7820" spans="1:5" x14ac:dyDescent="0.3">
      <c r="A7820" s="9">
        <v>7812</v>
      </c>
      <c r="B7820" s="10">
        <f t="shared" ca="1" si="122"/>
        <v>7.5461902106196507E-2</v>
      </c>
      <c r="C7820" s="10">
        <f ca="1">NPV(B7820,Project_FCF!C18:J18)+Project_FCF!B18</f>
        <v>977.23429839842765</v>
      </c>
      <c r="D7820" s="4"/>
      <c r="E7820" s="4"/>
    </row>
    <row r="7821" spans="1:5" x14ac:dyDescent="0.3">
      <c r="A7821" s="9">
        <v>7813</v>
      </c>
      <c r="B7821" s="10">
        <f t="shared" ca="1" si="122"/>
        <v>8.738319893145638E-2</v>
      </c>
      <c r="C7821" s="10">
        <f ca="1">NPV(B7821,Project_FCF!C18:J18)+Project_FCF!B18</f>
        <v>877.99376638492822</v>
      </c>
      <c r="D7821" s="4"/>
      <c r="E7821" s="4"/>
    </row>
    <row r="7822" spans="1:5" x14ac:dyDescent="0.3">
      <c r="A7822" s="9">
        <v>7814</v>
      </c>
      <c r="B7822" s="10">
        <f t="shared" ca="1" si="122"/>
        <v>6.578645209257214E-2</v>
      </c>
      <c r="C7822" s="10">
        <f ca="1">NPV(B7822,Project_FCF!C18:J18)+Project_FCF!B18</f>
        <v>1065.0121296648699</v>
      </c>
      <c r="D7822" s="4"/>
      <c r="E7822" s="4"/>
    </row>
    <row r="7823" spans="1:5" x14ac:dyDescent="0.3">
      <c r="A7823" s="9">
        <v>7815</v>
      </c>
      <c r="B7823" s="10">
        <f t="shared" ca="1" si="122"/>
        <v>9.9898999368747729E-2</v>
      </c>
      <c r="C7823" s="10">
        <f ca="1">NPV(B7823,Project_FCF!C18:J18)+Project_FCF!B18</f>
        <v>783.36214036689921</v>
      </c>
      <c r="D7823" s="4"/>
      <c r="E7823" s="4"/>
    </row>
    <row r="7824" spans="1:5" x14ac:dyDescent="0.3">
      <c r="A7824" s="9">
        <v>7816</v>
      </c>
      <c r="B7824" s="10">
        <f t="shared" ca="1" si="122"/>
        <v>0.10232729694998988</v>
      </c>
      <c r="C7824" s="10">
        <f ca="1">NPV(B7824,Project_FCF!C18:J18)+Project_FCF!B18</f>
        <v>766.04813436200038</v>
      </c>
      <c r="D7824" s="4"/>
      <c r="E7824" s="4"/>
    </row>
    <row r="7825" spans="1:5" x14ac:dyDescent="0.3">
      <c r="A7825" s="9">
        <v>7817</v>
      </c>
      <c r="B7825" s="10">
        <f t="shared" ca="1" si="122"/>
        <v>7.072183450337774E-2</v>
      </c>
      <c r="C7825" s="10">
        <f ca="1">NPV(B7825,Project_FCF!C18:J18)+Project_FCF!B18</f>
        <v>1019.3861233098539</v>
      </c>
      <c r="D7825" s="4"/>
      <c r="E7825" s="4"/>
    </row>
    <row r="7826" spans="1:5" x14ac:dyDescent="0.3">
      <c r="A7826" s="9">
        <v>7818</v>
      </c>
      <c r="B7826" s="10">
        <f t="shared" ca="1" si="122"/>
        <v>9.7397597048982168E-2</v>
      </c>
      <c r="C7826" s="10">
        <f ca="1">NPV(B7826,Project_FCF!C18:J18)+Project_FCF!B18</f>
        <v>801.54240727256979</v>
      </c>
      <c r="D7826" s="4"/>
      <c r="E7826" s="4"/>
    </row>
    <row r="7827" spans="1:5" x14ac:dyDescent="0.3">
      <c r="A7827" s="9">
        <v>7819</v>
      </c>
      <c r="B7827" s="10">
        <f t="shared" ca="1" si="122"/>
        <v>8.1530898320840456E-2</v>
      </c>
      <c r="C7827" s="10">
        <f ca="1">NPV(B7827,Project_FCF!C18:J18)+Project_FCF!B18</f>
        <v>925.54032026596724</v>
      </c>
      <c r="D7827" s="4"/>
      <c r="E7827" s="4"/>
    </row>
    <row r="7828" spans="1:5" x14ac:dyDescent="0.3">
      <c r="A7828" s="9">
        <v>7820</v>
      </c>
      <c r="B7828" s="10">
        <f t="shared" ca="1" si="122"/>
        <v>7.7861842054749164E-2</v>
      </c>
      <c r="C7828" s="10">
        <f ca="1">NPV(B7828,Project_FCF!C18:J18)+Project_FCF!B18</f>
        <v>956.49340483198239</v>
      </c>
      <c r="D7828" s="4"/>
      <c r="E7828" s="4"/>
    </row>
    <row r="7829" spans="1:5" x14ac:dyDescent="0.3">
      <c r="A7829" s="9">
        <v>7821</v>
      </c>
      <c r="B7829" s="10">
        <f t="shared" ca="1" si="122"/>
        <v>0.10185826864869466</v>
      </c>
      <c r="C7829" s="10">
        <f ca="1">NPV(B7829,Project_FCF!C18:J18)+Project_FCF!B18</f>
        <v>769.36697853610485</v>
      </c>
      <c r="D7829" s="4"/>
      <c r="E7829" s="4"/>
    </row>
    <row r="7830" spans="1:5" x14ac:dyDescent="0.3">
      <c r="A7830" s="9">
        <v>7822</v>
      </c>
      <c r="B7830" s="10">
        <f t="shared" ca="1" si="122"/>
        <v>7.7045044113364575E-2</v>
      </c>
      <c r="C7830" s="10">
        <f ca="1">NPV(B7830,Project_FCF!C18:J18)+Project_FCF!B18</f>
        <v>963.50789302253088</v>
      </c>
      <c r="D7830" s="4"/>
      <c r="E7830" s="4"/>
    </row>
    <row r="7831" spans="1:5" x14ac:dyDescent="0.3">
      <c r="A7831" s="9">
        <v>7823</v>
      </c>
      <c r="B7831" s="10">
        <f t="shared" ca="1" si="122"/>
        <v>9.1591101618877777E-2</v>
      </c>
      <c r="C7831" s="10">
        <f ca="1">NPV(B7831,Project_FCF!C18:J18)+Project_FCF!B18</f>
        <v>845.137554164226</v>
      </c>
      <c r="D7831" s="4"/>
      <c r="E7831" s="4"/>
    </row>
    <row r="7832" spans="1:5" x14ac:dyDescent="0.3">
      <c r="A7832" s="9">
        <v>7824</v>
      </c>
      <c r="B7832" s="10">
        <f t="shared" ca="1" si="122"/>
        <v>7.1914647050992708E-2</v>
      </c>
      <c r="C7832" s="10">
        <f ca="1">NPV(B7832,Project_FCF!C18:J18)+Project_FCF!B18</f>
        <v>1008.6277604513366</v>
      </c>
      <c r="D7832" s="4"/>
      <c r="E7832" s="4"/>
    </row>
    <row r="7833" spans="1:5" x14ac:dyDescent="0.3">
      <c r="A7833" s="9">
        <v>7825</v>
      </c>
      <c r="B7833" s="10">
        <f t="shared" ca="1" si="122"/>
        <v>0.10171200230738796</v>
      </c>
      <c r="C7833" s="10">
        <f ca="1">NPV(B7833,Project_FCF!C18:J18)+Project_FCF!B18</f>
        <v>770.40443093492331</v>
      </c>
      <c r="D7833" s="4"/>
      <c r="E7833" s="4"/>
    </row>
    <row r="7834" spans="1:5" x14ac:dyDescent="0.3">
      <c r="A7834" s="9">
        <v>7826</v>
      </c>
      <c r="B7834" s="10">
        <f t="shared" ca="1" si="122"/>
        <v>9.4896884422379452E-2</v>
      </c>
      <c r="C7834" s="10">
        <f ca="1">NPV(B7834,Project_FCF!C18:J18)+Project_FCF!B18</f>
        <v>820.0754194212434</v>
      </c>
      <c r="D7834" s="4"/>
      <c r="E7834" s="4"/>
    </row>
    <row r="7835" spans="1:5" x14ac:dyDescent="0.3">
      <c r="A7835" s="9">
        <v>7827</v>
      </c>
      <c r="B7835" s="10">
        <f t="shared" ca="1" si="122"/>
        <v>8.3340513983123657E-2</v>
      </c>
      <c r="C7835" s="10">
        <f ca="1">NPV(B7835,Project_FCF!C18:J18)+Project_FCF!B18</f>
        <v>910.60257754488134</v>
      </c>
      <c r="D7835" s="4"/>
      <c r="E7835" s="4"/>
    </row>
    <row r="7836" spans="1:5" x14ac:dyDescent="0.3">
      <c r="A7836" s="9">
        <v>7828</v>
      </c>
      <c r="B7836" s="10">
        <f t="shared" ca="1" si="122"/>
        <v>7.9922760960839445E-2</v>
      </c>
      <c r="C7836" s="10">
        <f ca="1">NPV(B7836,Project_FCF!C18:J18)+Project_FCF!B18</f>
        <v>938.99598289103892</v>
      </c>
      <c r="D7836" s="4"/>
      <c r="E7836" s="4"/>
    </row>
    <row r="7837" spans="1:5" x14ac:dyDescent="0.3">
      <c r="A7837" s="9">
        <v>7829</v>
      </c>
      <c r="B7837" s="10">
        <f t="shared" ca="1" si="122"/>
        <v>0.10125474274633986</v>
      </c>
      <c r="C7837" s="10">
        <f ca="1">NPV(B7837,Project_FCF!C18:J18)+Project_FCF!B18</f>
        <v>773.65533039416118</v>
      </c>
      <c r="D7837" s="4"/>
      <c r="E7837" s="4"/>
    </row>
    <row r="7838" spans="1:5" x14ac:dyDescent="0.3">
      <c r="A7838" s="9">
        <v>7830</v>
      </c>
      <c r="B7838" s="10">
        <f t="shared" ca="1" si="122"/>
        <v>8.3480527136546925E-2</v>
      </c>
      <c r="C7838" s="10">
        <f ca="1">NPV(B7838,Project_FCF!C18:J18)+Project_FCF!B18</f>
        <v>909.45571448387864</v>
      </c>
      <c r="D7838" s="4"/>
      <c r="E7838" s="4"/>
    </row>
    <row r="7839" spans="1:5" x14ac:dyDescent="0.3">
      <c r="A7839" s="9">
        <v>7831</v>
      </c>
      <c r="B7839" s="10">
        <f t="shared" ca="1" si="122"/>
        <v>8.331617335992228E-2</v>
      </c>
      <c r="C7839" s="10">
        <f ca="1">NPV(B7839,Project_FCF!C18:J18)+Project_FCF!B18</f>
        <v>910.80208393382395</v>
      </c>
      <c r="D7839" s="4"/>
      <c r="E7839" s="4"/>
    </row>
    <row r="7840" spans="1:5" x14ac:dyDescent="0.3">
      <c r="A7840" s="9">
        <v>7832</v>
      </c>
      <c r="B7840" s="10">
        <f t="shared" ca="1" si="122"/>
        <v>9.9674941198197753E-2</v>
      </c>
      <c r="C7840" s="10">
        <f ca="1">NPV(B7840,Project_FCF!C18:J18)+Project_FCF!B18</f>
        <v>784.97621342327784</v>
      </c>
      <c r="D7840" s="4"/>
      <c r="E7840" s="4"/>
    </row>
    <row r="7841" spans="1:5" x14ac:dyDescent="0.3">
      <c r="A7841" s="9">
        <v>7833</v>
      </c>
      <c r="B7841" s="10">
        <f t="shared" ca="1" si="122"/>
        <v>0.10219673979997486</v>
      </c>
      <c r="C7841" s="10">
        <f ca="1">NPV(B7841,Project_FCF!C18:J18)+Project_FCF!B18</f>
        <v>766.97074477501133</v>
      </c>
      <c r="D7841" s="4"/>
      <c r="E7841" s="4"/>
    </row>
    <row r="7842" spans="1:5" x14ac:dyDescent="0.3">
      <c r="A7842" s="9">
        <v>7834</v>
      </c>
      <c r="B7842" s="10">
        <f t="shared" ca="1" si="122"/>
        <v>8.9940503964569318E-2</v>
      </c>
      <c r="C7842" s="10">
        <f ca="1">NPV(B7842,Project_FCF!C18:J18)+Project_FCF!B18</f>
        <v>857.89641257049652</v>
      </c>
      <c r="D7842" s="4"/>
      <c r="E7842" s="4"/>
    </row>
    <row r="7843" spans="1:5" x14ac:dyDescent="0.3">
      <c r="A7843" s="9">
        <v>7835</v>
      </c>
      <c r="B7843" s="10">
        <f t="shared" ca="1" si="122"/>
        <v>0.10045713778821279</v>
      </c>
      <c r="C7843" s="10">
        <f ca="1">NPV(B7843,Project_FCF!C18:J18)+Project_FCF!B18</f>
        <v>779.35361564989398</v>
      </c>
      <c r="D7843" s="4"/>
      <c r="E7843" s="4"/>
    </row>
    <row r="7844" spans="1:5" x14ac:dyDescent="0.3">
      <c r="A7844" s="9">
        <v>7836</v>
      </c>
      <c r="B7844" s="10">
        <f t="shared" ca="1" si="122"/>
        <v>9.2746588190293744E-2</v>
      </c>
      <c r="C7844" s="10">
        <f ca="1">NPV(B7844,Project_FCF!C18:J18)+Project_FCF!B18</f>
        <v>836.30361951478631</v>
      </c>
      <c r="D7844" s="4"/>
      <c r="E7844" s="4"/>
    </row>
    <row r="7845" spans="1:5" x14ac:dyDescent="0.3">
      <c r="A7845" s="9">
        <v>7837</v>
      </c>
      <c r="B7845" s="10">
        <f t="shared" ca="1" si="122"/>
        <v>8.4450477227167781E-2</v>
      </c>
      <c r="C7845" s="10">
        <f ca="1">NPV(B7845,Project_FCF!C18:J18)+Project_FCF!B18</f>
        <v>901.5455284503264</v>
      </c>
      <c r="D7845" s="4"/>
      <c r="E7845" s="4"/>
    </row>
    <row r="7846" spans="1:5" x14ac:dyDescent="0.3">
      <c r="A7846" s="9">
        <v>7838</v>
      </c>
      <c r="B7846" s="10">
        <f t="shared" ca="1" si="122"/>
        <v>9.0447124954621372E-2</v>
      </c>
      <c r="C7846" s="10">
        <f ca="1">NPV(B7846,Project_FCF!C18:J18)+Project_FCF!B18</f>
        <v>853.96271252384213</v>
      </c>
      <c r="D7846" s="4"/>
      <c r="E7846" s="4"/>
    </row>
    <row r="7847" spans="1:5" x14ac:dyDescent="0.3">
      <c r="A7847" s="9">
        <v>7839</v>
      </c>
      <c r="B7847" s="10">
        <f t="shared" ca="1" si="122"/>
        <v>7.1906843239891438E-2</v>
      </c>
      <c r="C7847" s="10">
        <f ca="1">NPV(B7847,Project_FCF!C18:J18)+Project_FCF!B18</f>
        <v>1008.697811784969</v>
      </c>
      <c r="D7847" s="4"/>
      <c r="E7847" s="4"/>
    </row>
    <row r="7848" spans="1:5" x14ac:dyDescent="0.3">
      <c r="A7848" s="9">
        <v>7840</v>
      </c>
      <c r="B7848" s="10">
        <f t="shared" ca="1" si="122"/>
        <v>7.8070138809284206E-2</v>
      </c>
      <c r="C7848" s="10">
        <f ca="1">NPV(B7848,Project_FCF!C18:J18)+Project_FCF!B18</f>
        <v>954.71188470989705</v>
      </c>
      <c r="D7848" s="4"/>
      <c r="E7848" s="4"/>
    </row>
    <row r="7849" spans="1:5" x14ac:dyDescent="0.3">
      <c r="A7849" s="9">
        <v>7841</v>
      </c>
      <c r="B7849" s="10">
        <f t="shared" ca="1" si="122"/>
        <v>8.4412201782485458E-2</v>
      </c>
      <c r="C7849" s="10">
        <f ca="1">NPV(B7849,Project_FCF!C18:J18)+Project_FCF!B18</f>
        <v>901.85652593626492</v>
      </c>
      <c r="D7849" s="4"/>
      <c r="E7849" s="4"/>
    </row>
    <row r="7850" spans="1:5" x14ac:dyDescent="0.3">
      <c r="A7850" s="9">
        <v>7842</v>
      </c>
      <c r="B7850" s="10">
        <f t="shared" ca="1" si="122"/>
        <v>0.10059005052881737</v>
      </c>
      <c r="C7850" s="10">
        <f ca="1">NPV(B7850,Project_FCF!C18:J18)+Project_FCF!B18</f>
        <v>778.4016021619002</v>
      </c>
      <c r="D7850" s="4"/>
      <c r="E7850" s="4"/>
    </row>
    <row r="7851" spans="1:5" x14ac:dyDescent="0.3">
      <c r="A7851" s="9">
        <v>7843</v>
      </c>
      <c r="B7851" s="10">
        <f t="shared" ca="1" si="122"/>
        <v>7.8203646841089589E-2</v>
      </c>
      <c r="C7851" s="10">
        <f ca="1">NPV(B7851,Project_FCF!C18:J18)+Project_FCF!B18</f>
        <v>953.57156966529305</v>
      </c>
      <c r="D7851" s="4"/>
      <c r="E7851" s="4"/>
    </row>
    <row r="7852" spans="1:5" x14ac:dyDescent="0.3">
      <c r="A7852" s="9">
        <v>7844</v>
      </c>
      <c r="B7852" s="10">
        <f t="shared" ca="1" si="122"/>
        <v>8.9144122156732675E-2</v>
      </c>
      <c r="C7852" s="10">
        <f ca="1">NPV(B7852,Project_FCF!C18:J18)+Project_FCF!B18</f>
        <v>864.11172696501694</v>
      </c>
      <c r="D7852" s="4"/>
      <c r="E7852" s="4"/>
    </row>
    <row r="7853" spans="1:5" x14ac:dyDescent="0.3">
      <c r="A7853" s="9">
        <v>7845</v>
      </c>
      <c r="B7853" s="10">
        <f t="shared" ca="1" si="122"/>
        <v>6.4230818250048227E-2</v>
      </c>
      <c r="C7853" s="10">
        <f ca="1">NPV(B7853,Project_FCF!C18:J18)+Project_FCF!B18</f>
        <v>1079.7735736153227</v>
      </c>
      <c r="D7853" s="4"/>
      <c r="E7853" s="4"/>
    </row>
    <row r="7854" spans="1:5" x14ac:dyDescent="0.3">
      <c r="A7854" s="9">
        <v>7846</v>
      </c>
      <c r="B7854" s="10">
        <f t="shared" ca="1" si="122"/>
        <v>6.6405104923563094E-2</v>
      </c>
      <c r="C7854" s="10">
        <f ca="1">NPV(B7854,Project_FCF!C18:J18)+Project_FCF!B18</f>
        <v>1059.1930226416746</v>
      </c>
      <c r="D7854" s="4"/>
      <c r="E7854" s="4"/>
    </row>
    <row r="7855" spans="1:5" x14ac:dyDescent="0.3">
      <c r="A7855" s="9">
        <v>7847</v>
      </c>
      <c r="B7855" s="10">
        <f t="shared" ca="1" si="122"/>
        <v>8.8293077547525078E-2</v>
      </c>
      <c r="C7855" s="10">
        <f ca="1">NPV(B7855,Project_FCF!C18:J18)+Project_FCF!B18</f>
        <v>870.79681849545705</v>
      </c>
      <c r="D7855" s="4"/>
      <c r="E7855" s="4"/>
    </row>
    <row r="7856" spans="1:5" x14ac:dyDescent="0.3">
      <c r="A7856" s="9">
        <v>7848</v>
      </c>
      <c r="B7856" s="10">
        <f t="shared" ca="1" si="122"/>
        <v>7.2978734333179154E-2</v>
      </c>
      <c r="C7856" s="10">
        <f ca="1">NPV(B7856,Project_FCF!C18:J18)+Project_FCF!B18</f>
        <v>999.11680867915402</v>
      </c>
      <c r="D7856" s="4"/>
      <c r="E7856" s="4"/>
    </row>
    <row r="7857" spans="1:5" x14ac:dyDescent="0.3">
      <c r="A7857" s="9">
        <v>7849</v>
      </c>
      <c r="B7857" s="10">
        <f t="shared" ca="1" si="122"/>
        <v>9.1476799651221741E-2</v>
      </c>
      <c r="C7857" s="10">
        <f ca="1">NPV(B7857,Project_FCF!C18:J18)+Project_FCF!B18</f>
        <v>846.0157739522931</v>
      </c>
      <c r="D7857" s="4"/>
      <c r="E7857" s="4"/>
    </row>
    <row r="7858" spans="1:5" x14ac:dyDescent="0.3">
      <c r="A7858" s="9">
        <v>7850</v>
      </c>
      <c r="B7858" s="10">
        <f t="shared" ca="1" si="122"/>
        <v>9.6120906568965714E-2</v>
      </c>
      <c r="C7858" s="10">
        <f ca="1">NPV(B7858,Project_FCF!C18:J18)+Project_FCF!B18</f>
        <v>810.95888342619469</v>
      </c>
      <c r="D7858" s="4"/>
      <c r="E7858" s="4"/>
    </row>
    <row r="7859" spans="1:5" x14ac:dyDescent="0.3">
      <c r="A7859" s="9">
        <v>7851</v>
      </c>
      <c r="B7859" s="10">
        <f t="shared" ca="1" si="122"/>
        <v>8.6062481122145248E-2</v>
      </c>
      <c r="C7859" s="10">
        <f ca="1">NPV(B7859,Project_FCF!C18:J18)+Project_FCF!B18</f>
        <v>888.53260436291725</v>
      </c>
      <c r="D7859" s="4"/>
      <c r="E7859" s="4"/>
    </row>
    <row r="7860" spans="1:5" x14ac:dyDescent="0.3">
      <c r="A7860" s="9">
        <v>7852</v>
      </c>
      <c r="B7860" s="10">
        <f t="shared" ca="1" si="122"/>
        <v>0.10212577489533489</v>
      </c>
      <c r="C7860" s="10">
        <f ca="1">NPV(B7860,Project_FCF!C18:J18)+Project_FCF!B18</f>
        <v>767.47262557513932</v>
      </c>
      <c r="D7860" s="4"/>
      <c r="E7860" s="4"/>
    </row>
    <row r="7861" spans="1:5" x14ac:dyDescent="0.3">
      <c r="A7861" s="9">
        <v>7853</v>
      </c>
      <c r="B7861" s="10">
        <f t="shared" ca="1" si="122"/>
        <v>7.2348751631269012E-2</v>
      </c>
      <c r="C7861" s="10">
        <f ca="1">NPV(B7861,Project_FCF!C18:J18)+Project_FCF!B18</f>
        <v>1004.7378867767852</v>
      </c>
      <c r="D7861" s="4"/>
      <c r="E7861" s="4"/>
    </row>
    <row r="7862" spans="1:5" x14ac:dyDescent="0.3">
      <c r="A7862" s="9">
        <v>7854</v>
      </c>
      <c r="B7862" s="10">
        <f t="shared" ca="1" si="122"/>
        <v>8.1314468101149256E-2</v>
      </c>
      <c r="C7862" s="10">
        <f ca="1">NPV(B7862,Project_FCF!C18:J18)+Project_FCF!B18</f>
        <v>927.34126006802467</v>
      </c>
      <c r="D7862" s="4"/>
      <c r="E7862" s="4"/>
    </row>
    <row r="7863" spans="1:5" x14ac:dyDescent="0.3">
      <c r="A7863" s="9">
        <v>7855</v>
      </c>
      <c r="B7863" s="10">
        <f t="shared" ca="1" si="122"/>
        <v>8.4367408394430257E-2</v>
      </c>
      <c r="C7863" s="10">
        <f ca="1">NPV(B7863,Project_FCF!C18:J18)+Project_FCF!B18</f>
        <v>902.22060283523956</v>
      </c>
      <c r="D7863" s="4"/>
      <c r="E7863" s="4"/>
    </row>
    <row r="7864" spans="1:5" x14ac:dyDescent="0.3">
      <c r="A7864" s="9">
        <v>7856</v>
      </c>
      <c r="B7864" s="10">
        <f t="shared" ca="1" si="122"/>
        <v>6.5187694668324886E-2</v>
      </c>
      <c r="C7864" s="10">
        <f ca="1">NPV(B7864,Project_FCF!C18:J18)+Project_FCF!B18</f>
        <v>1070.6718189128696</v>
      </c>
      <c r="D7864" s="4"/>
      <c r="E7864" s="4"/>
    </row>
    <row r="7865" spans="1:5" x14ac:dyDescent="0.3">
      <c r="A7865" s="9">
        <v>7857</v>
      </c>
      <c r="B7865" s="10">
        <f t="shared" ca="1" si="122"/>
        <v>8.7101260704914349E-2</v>
      </c>
      <c r="C7865" s="10">
        <f ca="1">NPV(B7865,Project_FCF!C18:J18)+Project_FCF!B18</f>
        <v>880.23432633294851</v>
      </c>
      <c r="D7865" s="4"/>
      <c r="E7865" s="4"/>
    </row>
    <row r="7866" spans="1:5" x14ac:dyDescent="0.3">
      <c r="A7866" s="9">
        <v>7858</v>
      </c>
      <c r="B7866" s="10">
        <f t="shared" ca="1" si="122"/>
        <v>9.8488054878448472E-2</v>
      </c>
      <c r="C7866" s="10">
        <f ca="1">NPV(B7866,Project_FCF!C18:J18)+Project_FCF!B18</f>
        <v>793.57338953441922</v>
      </c>
      <c r="D7866" s="4"/>
      <c r="E7866" s="4"/>
    </row>
    <row r="7867" spans="1:5" x14ac:dyDescent="0.3">
      <c r="A7867" s="9">
        <v>7859</v>
      </c>
      <c r="B7867" s="10">
        <f t="shared" ca="1" si="122"/>
        <v>0.10128199003899291</v>
      </c>
      <c r="C7867" s="10">
        <f ca="1">NPV(B7867,Project_FCF!C18:J18)+Project_FCF!B18</f>
        <v>773.46129164663193</v>
      </c>
      <c r="D7867" s="4"/>
      <c r="E7867" s="4"/>
    </row>
    <row r="7868" spans="1:5" x14ac:dyDescent="0.3">
      <c r="A7868" s="9">
        <v>7860</v>
      </c>
      <c r="B7868" s="10">
        <f t="shared" ca="1" si="122"/>
        <v>7.9107887757355097E-2</v>
      </c>
      <c r="C7868" s="10">
        <f ca="1">NPV(B7868,Project_FCF!C18:J18)+Project_FCF!B18</f>
        <v>945.88009157026613</v>
      </c>
      <c r="D7868" s="4"/>
      <c r="E7868" s="4"/>
    </row>
    <row r="7869" spans="1:5" x14ac:dyDescent="0.3">
      <c r="A7869" s="9">
        <v>7861</v>
      </c>
      <c r="B7869" s="10">
        <f t="shared" ca="1" si="122"/>
        <v>8.3323888425078541E-2</v>
      </c>
      <c r="C7869" s="10">
        <f ca="1">NPV(B7869,Project_FCF!C18:J18)+Project_FCF!B18</f>
        <v>910.73884372703651</v>
      </c>
      <c r="D7869" s="4"/>
      <c r="E7869" s="4"/>
    </row>
    <row r="7870" spans="1:5" x14ac:dyDescent="0.3">
      <c r="A7870" s="9">
        <v>7862</v>
      </c>
      <c r="B7870" s="10">
        <f t="shared" ca="1" si="122"/>
        <v>6.6390615086956151E-2</v>
      </c>
      <c r="C7870" s="10">
        <f ca="1">NPV(B7870,Project_FCF!C18:J18)+Project_FCF!B18</f>
        <v>1059.328983725095</v>
      </c>
      <c r="D7870" s="4"/>
      <c r="E7870" s="4"/>
    </row>
    <row r="7871" spans="1:5" x14ac:dyDescent="0.3">
      <c r="A7871" s="9">
        <v>7863</v>
      </c>
      <c r="B7871" s="10">
        <f t="shared" ca="1" si="122"/>
        <v>8.0995116861368066E-2</v>
      </c>
      <c r="C7871" s="10">
        <f ca="1">NPV(B7871,Project_FCF!C18:J18)+Project_FCF!B18</f>
        <v>930.00426946509583</v>
      </c>
      <c r="D7871" s="4"/>
      <c r="E7871" s="4"/>
    </row>
    <row r="7872" spans="1:5" x14ac:dyDescent="0.3">
      <c r="A7872" s="9">
        <v>7864</v>
      </c>
      <c r="B7872" s="10">
        <f t="shared" ca="1" si="122"/>
        <v>0.10038495529825117</v>
      </c>
      <c r="C7872" s="10">
        <f ca="1">NPV(B7872,Project_FCF!C18:J18)+Project_FCF!B18</f>
        <v>779.87104883620736</v>
      </c>
      <c r="D7872" s="4"/>
      <c r="E7872" s="4"/>
    </row>
    <row r="7873" spans="1:5" x14ac:dyDescent="0.3">
      <c r="A7873" s="9">
        <v>7865</v>
      </c>
      <c r="B7873" s="10">
        <f t="shared" ca="1" si="122"/>
        <v>0.10115963516275452</v>
      </c>
      <c r="C7873" s="10">
        <f ca="1">NPV(B7873,Project_FCF!C18:J18)+Project_FCF!B18</f>
        <v>774.33295080262474</v>
      </c>
      <c r="D7873" s="4"/>
      <c r="E7873" s="4"/>
    </row>
    <row r="7874" spans="1:5" x14ac:dyDescent="0.3">
      <c r="A7874" s="9">
        <v>7866</v>
      </c>
      <c r="B7874" s="10">
        <f t="shared" ca="1" si="122"/>
        <v>9.4388448845044604E-2</v>
      </c>
      <c r="C7874" s="10">
        <f ca="1">NPV(B7874,Project_FCF!C18:J18)+Project_FCF!B18</f>
        <v>823.88795847908591</v>
      </c>
      <c r="D7874" s="4"/>
      <c r="E7874" s="4"/>
    </row>
    <row r="7875" spans="1:5" x14ac:dyDescent="0.3">
      <c r="A7875" s="9">
        <v>7867</v>
      </c>
      <c r="B7875" s="10">
        <f t="shared" ca="1" si="122"/>
        <v>6.8307849447942479E-2</v>
      </c>
      <c r="C7875" s="10">
        <f ca="1">NPV(B7875,Project_FCF!C18:J18)+Project_FCF!B18</f>
        <v>1041.4763456005051</v>
      </c>
      <c r="D7875" s="4"/>
      <c r="E7875" s="4"/>
    </row>
    <row r="7876" spans="1:5" x14ac:dyDescent="0.3">
      <c r="A7876" s="9">
        <v>7868</v>
      </c>
      <c r="B7876" s="10">
        <f t="shared" ca="1" si="122"/>
        <v>0.10171033230067536</v>
      </c>
      <c r="C7876" s="10">
        <f ca="1">NPV(B7876,Project_FCF!C18:J18)+Project_FCF!B18</f>
        <v>770.41628292178643</v>
      </c>
      <c r="D7876" s="4"/>
      <c r="E7876" s="4"/>
    </row>
    <row r="7877" spans="1:5" x14ac:dyDescent="0.3">
      <c r="A7877" s="9">
        <v>7869</v>
      </c>
      <c r="B7877" s="10">
        <f t="shared" ca="1" si="122"/>
        <v>8.0056100984691153E-2</v>
      </c>
      <c r="C7877" s="10">
        <f ca="1">NPV(B7877,Project_FCF!C18:J18)+Project_FCF!B18</f>
        <v>937.87375354220694</v>
      </c>
      <c r="D7877" s="4"/>
      <c r="E7877" s="4"/>
    </row>
    <row r="7878" spans="1:5" x14ac:dyDescent="0.3">
      <c r="A7878" s="9">
        <v>7870</v>
      </c>
      <c r="B7878" s="10">
        <f t="shared" ca="1" si="122"/>
        <v>9.4885189262289504E-2</v>
      </c>
      <c r="C7878" s="10">
        <f ca="1">NPV(B7878,Project_FCF!C18:J18)+Project_FCF!B18</f>
        <v>820.16294624026887</v>
      </c>
      <c r="D7878" s="4"/>
      <c r="E7878" s="4"/>
    </row>
    <row r="7879" spans="1:5" x14ac:dyDescent="0.3">
      <c r="A7879" s="9">
        <v>7871</v>
      </c>
      <c r="B7879" s="10">
        <f t="shared" ca="1" si="122"/>
        <v>6.8581991529084091E-2</v>
      </c>
      <c r="C7879" s="10">
        <f ca="1">NPV(B7879,Project_FCF!C18:J18)+Project_FCF!B18</f>
        <v>1038.9460654705263</v>
      </c>
      <c r="D7879" s="4"/>
      <c r="E7879" s="4"/>
    </row>
    <row r="7880" spans="1:5" x14ac:dyDescent="0.3">
      <c r="A7880" s="9">
        <v>7872</v>
      </c>
      <c r="B7880" s="10">
        <f t="shared" ca="1" si="122"/>
        <v>8.8558745539347061E-2</v>
      </c>
      <c r="C7880" s="10">
        <f ca="1">NPV(B7880,Project_FCF!C18:J18)+Project_FCF!B18</f>
        <v>868.70514628176716</v>
      </c>
      <c r="D7880" s="4"/>
      <c r="E7880" s="4"/>
    </row>
    <row r="7881" spans="1:5" x14ac:dyDescent="0.3">
      <c r="A7881" s="9">
        <v>7873</v>
      </c>
      <c r="B7881" s="10">
        <f t="shared" ref="B7881:B7944" ca="1" si="123">$B$4+RAND()*($B$5-$B$4)</f>
        <v>7.6718944951563575E-2</v>
      </c>
      <c r="C7881" s="10">
        <f ca="1">NPV(B7881,Project_FCF!C18:J18)+Project_FCF!B18</f>
        <v>966.3211373650995</v>
      </c>
      <c r="D7881" s="4"/>
      <c r="E7881" s="4"/>
    </row>
    <row r="7882" spans="1:5" x14ac:dyDescent="0.3">
      <c r="A7882" s="9">
        <v>7874</v>
      </c>
      <c r="B7882" s="10">
        <f t="shared" ca="1" si="123"/>
        <v>7.1789253295750213E-2</v>
      </c>
      <c r="C7882" s="10">
        <f ca="1">NPV(B7882,Project_FCF!C18:J18)+Project_FCF!B18</f>
        <v>1009.7538947570013</v>
      </c>
      <c r="D7882" s="4"/>
      <c r="E7882" s="4"/>
    </row>
    <row r="7883" spans="1:5" x14ac:dyDescent="0.3">
      <c r="A7883" s="9">
        <v>7875</v>
      </c>
      <c r="B7883" s="10">
        <f t="shared" ca="1" si="123"/>
        <v>9.3145823452872478E-2</v>
      </c>
      <c r="C7883" s="10">
        <f ca="1">NPV(B7883,Project_FCF!C18:J18)+Project_FCF!B18</f>
        <v>833.26992612803247</v>
      </c>
      <c r="D7883" s="4"/>
      <c r="E7883" s="4"/>
    </row>
    <row r="7884" spans="1:5" x14ac:dyDescent="0.3">
      <c r="A7884" s="9">
        <v>7876</v>
      </c>
      <c r="B7884" s="10">
        <f t="shared" ca="1" si="123"/>
        <v>6.9449233298062907E-2</v>
      </c>
      <c r="C7884" s="10">
        <f ca="1">NPV(B7884,Project_FCF!C18:J18)+Project_FCF!B18</f>
        <v>1030.9782146167624</v>
      </c>
      <c r="D7884" s="4"/>
      <c r="E7884" s="4"/>
    </row>
    <row r="7885" spans="1:5" x14ac:dyDescent="0.3">
      <c r="A7885" s="9">
        <v>7877</v>
      </c>
      <c r="B7885" s="10">
        <f t="shared" ca="1" si="123"/>
        <v>6.6109556772760383E-2</v>
      </c>
      <c r="C7885" s="10">
        <f ca="1">NPV(B7885,Project_FCF!C18:J18)+Project_FCF!B18</f>
        <v>1061.9693552436891</v>
      </c>
      <c r="D7885" s="4"/>
      <c r="E7885" s="4"/>
    </row>
    <row r="7886" spans="1:5" x14ac:dyDescent="0.3">
      <c r="A7886" s="9">
        <v>7878</v>
      </c>
      <c r="B7886" s="10">
        <f t="shared" ca="1" si="123"/>
        <v>8.5538658590778763E-2</v>
      </c>
      <c r="C7886" s="10">
        <f ca="1">NPV(B7886,Project_FCF!C18:J18)+Project_FCF!B18</f>
        <v>892.74301587848277</v>
      </c>
      <c r="D7886" s="4"/>
      <c r="E7886" s="4"/>
    </row>
    <row r="7887" spans="1:5" x14ac:dyDescent="0.3">
      <c r="A7887" s="9">
        <v>7879</v>
      </c>
      <c r="B7887" s="10">
        <f t="shared" ca="1" si="123"/>
        <v>8.7183990442965667E-2</v>
      </c>
      <c r="C7887" s="10">
        <f ca="1">NPV(B7887,Project_FCF!C18:J18)+Project_FCF!B18</f>
        <v>879.57635791930716</v>
      </c>
      <c r="D7887" s="4"/>
      <c r="E7887" s="4"/>
    </row>
    <row r="7888" spans="1:5" x14ac:dyDescent="0.3">
      <c r="A7888" s="9">
        <v>7880</v>
      </c>
      <c r="B7888" s="10">
        <f t="shared" ca="1" si="123"/>
        <v>7.6934861902154567E-2</v>
      </c>
      <c r="C7888" s="10">
        <f ca="1">NPV(B7888,Project_FCF!C18:J18)+Project_FCF!B18</f>
        <v>964.45761286910397</v>
      </c>
      <c r="D7888" s="4"/>
      <c r="E7888" s="4"/>
    </row>
    <row r="7889" spans="1:5" x14ac:dyDescent="0.3">
      <c r="A7889" s="9">
        <v>7881</v>
      </c>
      <c r="B7889" s="10">
        <f t="shared" ca="1" si="123"/>
        <v>9.3536213398993956E-2</v>
      </c>
      <c r="C7889" s="10">
        <f ca="1">NPV(B7889,Project_FCF!C18:J18)+Project_FCF!B18</f>
        <v>830.31260221835305</v>
      </c>
      <c r="D7889" s="4"/>
      <c r="E7889" s="4"/>
    </row>
    <row r="7890" spans="1:5" x14ac:dyDescent="0.3">
      <c r="A7890" s="9">
        <v>7882</v>
      </c>
      <c r="B7890" s="10">
        <f t="shared" ca="1" si="123"/>
        <v>6.5314393696047177E-2</v>
      </c>
      <c r="C7890" s="10">
        <f ca="1">NPV(B7890,Project_FCF!C18:J18)+Project_FCF!B18</f>
        <v>1069.4719281239127</v>
      </c>
      <c r="D7890" s="4"/>
      <c r="E7890" s="4"/>
    </row>
    <row r="7891" spans="1:5" x14ac:dyDescent="0.3">
      <c r="A7891" s="9">
        <v>7883</v>
      </c>
      <c r="B7891" s="10">
        <f t="shared" ca="1" si="123"/>
        <v>6.8556095629072528E-2</v>
      </c>
      <c r="C7891" s="10">
        <f ca="1">NPV(B7891,Project_FCF!C18:J18)+Project_FCF!B18</f>
        <v>1039.1848412553286</v>
      </c>
      <c r="D7891" s="4"/>
      <c r="E7891" s="4"/>
    </row>
    <row r="7892" spans="1:5" x14ac:dyDescent="0.3">
      <c r="A7892" s="9">
        <v>7884</v>
      </c>
      <c r="B7892" s="10">
        <f t="shared" ca="1" si="123"/>
        <v>0.10211633227489963</v>
      </c>
      <c r="C7892" s="10">
        <f ca="1">NPV(B7892,Project_FCF!C18:J18)+Project_FCF!B18</f>
        <v>767.5394268681905</v>
      </c>
      <c r="D7892" s="4"/>
      <c r="E7892" s="4"/>
    </row>
    <row r="7893" spans="1:5" x14ac:dyDescent="0.3">
      <c r="A7893" s="9">
        <v>7885</v>
      </c>
      <c r="B7893" s="10">
        <f t="shared" ca="1" si="123"/>
        <v>9.8267922683958647E-2</v>
      </c>
      <c r="C7893" s="10">
        <f ca="1">NPV(B7893,Project_FCF!C18:J18)+Project_FCF!B18</f>
        <v>795.17665836029846</v>
      </c>
      <c r="D7893" s="4"/>
      <c r="E7893" s="4"/>
    </row>
    <row r="7894" spans="1:5" x14ac:dyDescent="0.3">
      <c r="A7894" s="9">
        <v>7886</v>
      </c>
      <c r="B7894" s="10">
        <f t="shared" ca="1" si="123"/>
        <v>7.7624345705301592E-2</v>
      </c>
      <c r="C7894" s="10">
        <f ca="1">NPV(B7894,Project_FCF!C18:J18)+Project_FCF!B18</f>
        <v>958.52827078472592</v>
      </c>
      <c r="D7894" s="4"/>
      <c r="E7894" s="4"/>
    </row>
    <row r="7895" spans="1:5" x14ac:dyDescent="0.3">
      <c r="A7895" s="9">
        <v>7887</v>
      </c>
      <c r="B7895" s="10">
        <f t="shared" ca="1" si="123"/>
        <v>7.1076364646812398E-2</v>
      </c>
      <c r="C7895" s="10">
        <f ca="1">NPV(B7895,Project_FCF!C18:J18)+Project_FCF!B18</f>
        <v>1016.1777474766823</v>
      </c>
      <c r="D7895" s="4"/>
      <c r="E7895" s="4"/>
    </row>
    <row r="7896" spans="1:5" x14ac:dyDescent="0.3">
      <c r="A7896" s="9">
        <v>7888</v>
      </c>
      <c r="B7896" s="10">
        <f t="shared" ca="1" si="123"/>
        <v>9.6242241934911182E-2</v>
      </c>
      <c r="C7896" s="10">
        <f ca="1">NPV(B7896,Project_FCF!C18:J18)+Project_FCF!B18</f>
        <v>810.05991294235719</v>
      </c>
      <c r="D7896" s="4"/>
      <c r="E7896" s="4"/>
    </row>
    <row r="7897" spans="1:5" x14ac:dyDescent="0.3">
      <c r="A7897" s="9">
        <v>7889</v>
      </c>
      <c r="B7897" s="10">
        <f t="shared" ca="1" si="123"/>
        <v>6.6725452434339333E-2</v>
      </c>
      <c r="C7897" s="10">
        <f ca="1">NPV(B7897,Project_FCF!C18:J18)+Project_FCF!B18</f>
        <v>1056.1911893224101</v>
      </c>
      <c r="D7897" s="4"/>
      <c r="E7897" s="4"/>
    </row>
    <row r="7898" spans="1:5" x14ac:dyDescent="0.3">
      <c r="A7898" s="9">
        <v>7890</v>
      </c>
      <c r="B7898" s="10">
        <f t="shared" ca="1" si="123"/>
        <v>6.7303515261255914E-2</v>
      </c>
      <c r="C7898" s="10">
        <f ca="1">NPV(B7898,Project_FCF!C18:J18)+Project_FCF!B18</f>
        <v>1050.7939873636446</v>
      </c>
      <c r="D7898" s="4"/>
      <c r="E7898" s="4"/>
    </row>
    <row r="7899" spans="1:5" x14ac:dyDescent="0.3">
      <c r="A7899" s="9">
        <v>7891</v>
      </c>
      <c r="B7899" s="10">
        <f t="shared" ca="1" si="123"/>
        <v>8.4645851951153109E-2</v>
      </c>
      <c r="C7899" s="10">
        <f ca="1">NPV(B7899,Project_FCF!C18:J18)+Project_FCF!B18</f>
        <v>899.95952523944106</v>
      </c>
      <c r="D7899" s="4"/>
      <c r="E7899" s="4"/>
    </row>
    <row r="7900" spans="1:5" x14ac:dyDescent="0.3">
      <c r="A7900" s="9">
        <v>7892</v>
      </c>
      <c r="B7900" s="10">
        <f t="shared" ca="1" si="123"/>
        <v>7.3588009150765896E-2</v>
      </c>
      <c r="C7900" s="10">
        <f ca="1">NPV(B7900,Project_FCF!C18:J18)+Project_FCF!B18</f>
        <v>993.70739097918022</v>
      </c>
      <c r="D7900" s="4"/>
      <c r="E7900" s="4"/>
    </row>
    <row r="7901" spans="1:5" x14ac:dyDescent="0.3">
      <c r="A7901" s="9">
        <v>7893</v>
      </c>
      <c r="B7901" s="10">
        <f t="shared" ca="1" si="123"/>
        <v>9.3709216562791797E-2</v>
      </c>
      <c r="C7901" s="10">
        <f ca="1">NPV(B7901,Project_FCF!C18:J18)+Project_FCF!B18</f>
        <v>829.00493680685668</v>
      </c>
      <c r="D7901" s="4"/>
      <c r="E7901" s="4"/>
    </row>
    <row r="7902" spans="1:5" x14ac:dyDescent="0.3">
      <c r="A7902" s="9">
        <v>7894</v>
      </c>
      <c r="B7902" s="10">
        <f t="shared" ca="1" si="123"/>
        <v>8.6760634228843767E-2</v>
      </c>
      <c r="C7902" s="10">
        <f ca="1">NPV(B7902,Project_FCF!C18:J18)+Project_FCF!B18</f>
        <v>882.94793054346405</v>
      </c>
      <c r="D7902" s="4"/>
      <c r="E7902" s="4"/>
    </row>
    <row r="7903" spans="1:5" x14ac:dyDescent="0.3">
      <c r="A7903" s="9">
        <v>7895</v>
      </c>
      <c r="B7903" s="10">
        <f t="shared" ca="1" si="123"/>
        <v>7.200202639587118E-2</v>
      </c>
      <c r="C7903" s="10">
        <f ca="1">NPV(B7903,Project_FCF!C18:J18)+Project_FCF!B18</f>
        <v>1007.8436940391246</v>
      </c>
      <c r="D7903" s="4"/>
      <c r="E7903" s="4"/>
    </row>
    <row r="7904" spans="1:5" x14ac:dyDescent="0.3">
      <c r="A7904" s="9">
        <v>7896</v>
      </c>
      <c r="B7904" s="10">
        <f t="shared" ca="1" si="123"/>
        <v>7.7569265902641571E-2</v>
      </c>
      <c r="C7904" s="10">
        <f ca="1">NPV(B7904,Project_FCF!C18:J18)+Project_FCF!B18</f>
        <v>959.00074382978096</v>
      </c>
      <c r="D7904" s="4"/>
      <c r="E7904" s="4"/>
    </row>
    <row r="7905" spans="1:5" x14ac:dyDescent="0.3">
      <c r="A7905" s="9">
        <v>7897</v>
      </c>
      <c r="B7905" s="10">
        <f t="shared" ca="1" si="123"/>
        <v>6.4582613941264952E-2</v>
      </c>
      <c r="C7905" s="10">
        <f ca="1">NPV(B7905,Project_FCF!C18:J18)+Project_FCF!B18</f>
        <v>1076.4191338624341</v>
      </c>
      <c r="D7905" s="4"/>
      <c r="E7905" s="4"/>
    </row>
    <row r="7906" spans="1:5" x14ac:dyDescent="0.3">
      <c r="A7906" s="9">
        <v>7898</v>
      </c>
      <c r="B7906" s="10">
        <f t="shared" ca="1" si="123"/>
        <v>6.4911159825600834E-2</v>
      </c>
      <c r="C7906" s="10">
        <f ca="1">NPV(B7906,Project_FCF!C18:J18)+Project_FCF!B18</f>
        <v>1073.2949812072859</v>
      </c>
      <c r="D7906" s="4"/>
      <c r="E7906" s="4"/>
    </row>
    <row r="7907" spans="1:5" x14ac:dyDescent="0.3">
      <c r="A7907" s="9">
        <v>7899</v>
      </c>
      <c r="B7907" s="10">
        <f t="shared" ca="1" si="123"/>
        <v>8.9180296877456641E-2</v>
      </c>
      <c r="C7907" s="10">
        <f ca="1">NPV(B7907,Project_FCF!C18:J18)+Project_FCF!B18</f>
        <v>863.82855909743762</v>
      </c>
      <c r="D7907" s="4"/>
      <c r="E7907" s="4"/>
    </row>
    <row r="7908" spans="1:5" x14ac:dyDescent="0.3">
      <c r="A7908" s="9">
        <v>7900</v>
      </c>
      <c r="B7908" s="10">
        <f t="shared" ca="1" si="123"/>
        <v>6.6504439448405492E-2</v>
      </c>
      <c r="C7908" s="10">
        <f ca="1">NPV(B7908,Project_FCF!C18:J18)+Project_FCF!B18</f>
        <v>1058.261374057558</v>
      </c>
      <c r="D7908" s="4"/>
      <c r="E7908" s="4"/>
    </row>
    <row r="7909" spans="1:5" x14ac:dyDescent="0.3">
      <c r="A7909" s="9">
        <v>7901</v>
      </c>
      <c r="B7909" s="10">
        <f t="shared" ca="1" si="123"/>
        <v>9.0597245778717597E-2</v>
      </c>
      <c r="C7909" s="10">
        <f ca="1">NPV(B7909,Project_FCF!C18:J18)+Project_FCF!B18</f>
        <v>852.80008997090135</v>
      </c>
      <c r="D7909" s="4"/>
      <c r="E7909" s="4"/>
    </row>
    <row r="7910" spans="1:5" x14ac:dyDescent="0.3">
      <c r="A7910" s="9">
        <v>7902</v>
      </c>
      <c r="B7910" s="10">
        <f t="shared" ca="1" si="123"/>
        <v>6.6236853646386776E-2</v>
      </c>
      <c r="C7910" s="10">
        <f ca="1">NPV(B7910,Project_FCF!C18:J18)+Project_FCF!B18</f>
        <v>1060.772737454856</v>
      </c>
      <c r="D7910" s="4"/>
      <c r="E7910" s="4"/>
    </row>
    <row r="7911" spans="1:5" x14ac:dyDescent="0.3">
      <c r="A7911" s="9">
        <v>7903</v>
      </c>
      <c r="B7911" s="10">
        <f t="shared" ca="1" si="123"/>
        <v>6.7661984034587716E-2</v>
      </c>
      <c r="C7911" s="10">
        <f ca="1">NPV(B7911,Project_FCF!C18:J18)+Project_FCF!B18</f>
        <v>1047.4596702368817</v>
      </c>
      <c r="D7911" s="4"/>
      <c r="E7911" s="4"/>
    </row>
    <row r="7912" spans="1:5" x14ac:dyDescent="0.3">
      <c r="A7912" s="9">
        <v>7904</v>
      </c>
      <c r="B7912" s="10">
        <f t="shared" ca="1" si="123"/>
        <v>7.2696951721307329E-2</v>
      </c>
      <c r="C7912" s="10">
        <f ca="1">NPV(B7912,Project_FCF!C18:J18)+Project_FCF!B18</f>
        <v>1001.6275356753038</v>
      </c>
      <c r="D7912" s="4"/>
      <c r="E7912" s="4"/>
    </row>
    <row r="7913" spans="1:5" x14ac:dyDescent="0.3">
      <c r="A7913" s="9">
        <v>7905</v>
      </c>
      <c r="B7913" s="10">
        <f t="shared" ca="1" si="123"/>
        <v>9.6547875182850643E-2</v>
      </c>
      <c r="C7913" s="10">
        <f ca="1">NPV(B7913,Project_FCF!C18:J18)+Project_FCF!B18</f>
        <v>807.79925287442325</v>
      </c>
      <c r="D7913" s="4"/>
      <c r="E7913" s="4"/>
    </row>
    <row r="7914" spans="1:5" x14ac:dyDescent="0.3">
      <c r="A7914" s="9">
        <v>7906</v>
      </c>
      <c r="B7914" s="10">
        <f t="shared" ca="1" si="123"/>
        <v>9.9106552363755096E-2</v>
      </c>
      <c r="C7914" s="10">
        <f ca="1">NPV(B7914,Project_FCF!C18:J18)+Project_FCF!B18</f>
        <v>789.0834169906625</v>
      </c>
      <c r="D7914" s="4"/>
      <c r="E7914" s="4"/>
    </row>
    <row r="7915" spans="1:5" x14ac:dyDescent="0.3">
      <c r="A7915" s="9">
        <v>7907</v>
      </c>
      <c r="B7915" s="10">
        <f t="shared" ca="1" si="123"/>
        <v>9.4186719612978864E-2</v>
      </c>
      <c r="C7915" s="10">
        <f ca="1">NPV(B7915,Project_FCF!C18:J18)+Project_FCF!B18</f>
        <v>825.40484334564258</v>
      </c>
      <c r="D7915" s="4"/>
      <c r="E7915" s="4"/>
    </row>
    <row r="7916" spans="1:5" x14ac:dyDescent="0.3">
      <c r="A7916" s="9">
        <v>7908</v>
      </c>
      <c r="B7916" s="10">
        <f t="shared" ca="1" si="123"/>
        <v>9.8957574110263777E-2</v>
      </c>
      <c r="C7916" s="10">
        <f ca="1">NPV(B7916,Project_FCF!C18:J18)+Project_FCF!B18</f>
        <v>790.16294738227634</v>
      </c>
      <c r="D7916" s="4"/>
      <c r="E7916" s="4"/>
    </row>
    <row r="7917" spans="1:5" x14ac:dyDescent="0.3">
      <c r="A7917" s="9">
        <v>7909</v>
      </c>
      <c r="B7917" s="10">
        <f t="shared" ca="1" si="123"/>
        <v>7.1734808849617748E-2</v>
      </c>
      <c r="C7917" s="10">
        <f ca="1">NPV(B7917,Project_FCF!C18:J18)+Project_FCF!B18</f>
        <v>1010.2432010271687</v>
      </c>
      <c r="D7917" s="4"/>
      <c r="E7917" s="4"/>
    </row>
    <row r="7918" spans="1:5" x14ac:dyDescent="0.3">
      <c r="A7918" s="9">
        <v>7910</v>
      </c>
      <c r="B7918" s="10">
        <f t="shared" ca="1" si="123"/>
        <v>7.1038434631441535E-2</v>
      </c>
      <c r="C7918" s="10">
        <f ca="1">NPV(B7918,Project_FCF!C18:J18)+Project_FCF!B18</f>
        <v>1016.520565395931</v>
      </c>
      <c r="D7918" s="4"/>
      <c r="E7918" s="4"/>
    </row>
    <row r="7919" spans="1:5" x14ac:dyDescent="0.3">
      <c r="A7919" s="9">
        <v>7911</v>
      </c>
      <c r="B7919" s="10">
        <f t="shared" ca="1" si="123"/>
        <v>9.4861515330684251E-2</v>
      </c>
      <c r="C7919" s="10">
        <f ca="1">NPV(B7919,Project_FCF!C18:J18)+Project_FCF!B18</f>
        <v>820.34014692036953</v>
      </c>
      <c r="D7919" s="4"/>
      <c r="E7919" s="4"/>
    </row>
    <row r="7920" spans="1:5" x14ac:dyDescent="0.3">
      <c r="A7920" s="9">
        <v>7912</v>
      </c>
      <c r="B7920" s="10">
        <f t="shared" ca="1" si="123"/>
        <v>7.0711121179610745E-2</v>
      </c>
      <c r="C7920" s="10">
        <f ca="1">NPV(B7920,Project_FCF!C18:J18)+Project_FCF!B18</f>
        <v>1019.4832173073803</v>
      </c>
      <c r="D7920" s="4"/>
      <c r="E7920" s="4"/>
    </row>
    <row r="7921" spans="1:5" x14ac:dyDescent="0.3">
      <c r="A7921" s="9">
        <v>7913</v>
      </c>
      <c r="B7921" s="10">
        <f t="shared" ca="1" si="123"/>
        <v>8.7184786046838506E-2</v>
      </c>
      <c r="C7921" s="10">
        <f ca="1">NPV(B7921,Project_FCF!C18:J18)+Project_FCF!B18</f>
        <v>879.57003238313746</v>
      </c>
      <c r="D7921" s="4"/>
      <c r="E7921" s="4"/>
    </row>
    <row r="7922" spans="1:5" x14ac:dyDescent="0.3">
      <c r="A7922" s="9">
        <v>7914</v>
      </c>
      <c r="B7922" s="10">
        <f t="shared" ca="1" si="123"/>
        <v>7.7566503252005078E-2</v>
      </c>
      <c r="C7922" s="10">
        <f ca="1">NPV(B7922,Project_FCF!C18:J18)+Project_FCF!B18</f>
        <v>959.02444722970631</v>
      </c>
      <c r="D7922" s="4"/>
      <c r="E7922" s="4"/>
    </row>
    <row r="7923" spans="1:5" x14ac:dyDescent="0.3">
      <c r="A7923" s="9">
        <v>7915</v>
      </c>
      <c r="B7923" s="10">
        <f t="shared" ca="1" si="123"/>
        <v>6.7369460394793745E-2</v>
      </c>
      <c r="C7923" s="10">
        <f ca="1">NPV(B7923,Project_FCF!C18:J18)+Project_FCF!B18</f>
        <v>1050.1798724746413</v>
      </c>
      <c r="D7923" s="4"/>
      <c r="E7923" s="4"/>
    </row>
    <row r="7924" spans="1:5" x14ac:dyDescent="0.3">
      <c r="A7924" s="9">
        <v>7916</v>
      </c>
      <c r="B7924" s="10">
        <f t="shared" ca="1" si="123"/>
        <v>8.0440939537048312E-2</v>
      </c>
      <c r="C7924" s="10">
        <f ca="1">NPV(B7924,Project_FCF!C18:J18)+Project_FCF!B18</f>
        <v>934.64149352693744</v>
      </c>
      <c r="D7924" s="4"/>
      <c r="E7924" s="4"/>
    </row>
    <row r="7925" spans="1:5" x14ac:dyDescent="0.3">
      <c r="A7925" s="9">
        <v>7917</v>
      </c>
      <c r="B7925" s="10">
        <f t="shared" ca="1" si="123"/>
        <v>9.4866409368907001E-2</v>
      </c>
      <c r="C7925" s="10">
        <f ca="1">NPV(B7925,Project_FCF!C18:J18)+Project_FCF!B18</f>
        <v>820.30351208689194</v>
      </c>
      <c r="D7925" s="4"/>
      <c r="E7925" s="4"/>
    </row>
    <row r="7926" spans="1:5" x14ac:dyDescent="0.3">
      <c r="A7926" s="9">
        <v>7918</v>
      </c>
      <c r="B7926" s="10">
        <f t="shared" ca="1" si="123"/>
        <v>7.7159829800516319E-2</v>
      </c>
      <c r="C7926" s="10">
        <f ca="1">NPV(B7926,Project_FCF!C18:J18)+Project_FCF!B18</f>
        <v>962.5193796791707</v>
      </c>
      <c r="D7926" s="4"/>
      <c r="E7926" s="4"/>
    </row>
    <row r="7927" spans="1:5" x14ac:dyDescent="0.3">
      <c r="A7927" s="9">
        <v>7919</v>
      </c>
      <c r="B7927" s="10">
        <f t="shared" ca="1" si="123"/>
        <v>6.5969981832252805E-2</v>
      </c>
      <c r="C7927" s="10">
        <f ca="1">NPV(B7927,Project_FCF!C18:J18)+Project_FCF!B18</f>
        <v>1063.2828019437377</v>
      </c>
      <c r="D7927" s="4"/>
      <c r="E7927" s="4"/>
    </row>
    <row r="7928" spans="1:5" x14ac:dyDescent="0.3">
      <c r="A7928" s="9">
        <v>7920</v>
      </c>
      <c r="B7928" s="10">
        <f t="shared" ca="1" si="123"/>
        <v>8.5782476247291697E-2</v>
      </c>
      <c r="C7928" s="10">
        <f ca="1">NPV(B7928,Project_FCF!C18:J18)+Project_FCF!B18</f>
        <v>890.7810784586045</v>
      </c>
      <c r="D7928" s="4"/>
      <c r="E7928" s="4"/>
    </row>
    <row r="7929" spans="1:5" x14ac:dyDescent="0.3">
      <c r="A7929" s="9">
        <v>7921</v>
      </c>
      <c r="B7929" s="10">
        <f t="shared" ca="1" si="123"/>
        <v>7.1742013734586926E-2</v>
      </c>
      <c r="C7929" s="10">
        <f ca="1">NPV(B7929,Project_FCF!C18:J18)+Project_FCF!B18</f>
        <v>1010.1784366116515</v>
      </c>
      <c r="D7929" s="4"/>
      <c r="E7929" s="4"/>
    </row>
    <row r="7930" spans="1:5" x14ac:dyDescent="0.3">
      <c r="A7930" s="9">
        <v>7922</v>
      </c>
      <c r="B7930" s="10">
        <f t="shared" ca="1" si="123"/>
        <v>7.0707673995539094E-2</v>
      </c>
      <c r="C7930" s="10">
        <f ca="1">NPV(B7930,Project_FCF!C18:J18)+Project_FCF!B18</f>
        <v>1019.5144606359686</v>
      </c>
      <c r="D7930" s="4"/>
      <c r="E7930" s="4"/>
    </row>
    <row r="7931" spans="1:5" x14ac:dyDescent="0.3">
      <c r="A7931" s="9">
        <v>7923</v>
      </c>
      <c r="B7931" s="10">
        <f t="shared" ca="1" si="123"/>
        <v>6.5348023368376362E-2</v>
      </c>
      <c r="C7931" s="10">
        <f ca="1">NPV(B7931,Project_FCF!C18:J18)+Project_FCF!B18</f>
        <v>1069.1536475927962</v>
      </c>
      <c r="D7931" s="4"/>
      <c r="E7931" s="4"/>
    </row>
    <row r="7932" spans="1:5" x14ac:dyDescent="0.3">
      <c r="A7932" s="9">
        <v>7924</v>
      </c>
      <c r="B7932" s="10">
        <f t="shared" ca="1" si="123"/>
        <v>7.0785682950109355E-2</v>
      </c>
      <c r="C7932" s="10">
        <f ca="1">NPV(B7932,Project_FCF!C18:J18)+Project_FCF!B18</f>
        <v>1018.8076429773157</v>
      </c>
      <c r="D7932" s="4"/>
      <c r="E7932" s="4"/>
    </row>
    <row r="7933" spans="1:5" x14ac:dyDescent="0.3">
      <c r="A7933" s="9">
        <v>7925</v>
      </c>
      <c r="B7933" s="10">
        <f t="shared" ca="1" si="123"/>
        <v>9.0883212825648346E-2</v>
      </c>
      <c r="C7933" s="10">
        <f ca="1">NPV(B7933,Project_FCF!C18:J18)+Project_FCF!B18</f>
        <v>850.58918326847242</v>
      </c>
      <c r="D7933" s="4"/>
      <c r="E7933" s="4"/>
    </row>
    <row r="7934" spans="1:5" x14ac:dyDescent="0.3">
      <c r="A7934" s="9">
        <v>7926</v>
      </c>
      <c r="B7934" s="10">
        <f t="shared" ca="1" si="123"/>
        <v>7.8247565707256841E-2</v>
      </c>
      <c r="C7934" s="10">
        <f ca="1">NPV(B7934,Project_FCF!C18:J18)+Project_FCF!B18</f>
        <v>953.19671582943397</v>
      </c>
      <c r="D7934" s="4"/>
      <c r="E7934" s="4"/>
    </row>
    <row r="7935" spans="1:5" x14ac:dyDescent="0.3">
      <c r="A7935" s="9">
        <v>7927</v>
      </c>
      <c r="B7935" s="10">
        <f t="shared" ca="1" si="123"/>
        <v>6.4556191281594247E-2</v>
      </c>
      <c r="C7935" s="10">
        <f ca="1">NPV(B7935,Project_FCF!C18:J18)+Project_FCF!B18</f>
        <v>1076.670748048256</v>
      </c>
      <c r="D7935" s="4"/>
      <c r="E7935" s="4"/>
    </row>
    <row r="7936" spans="1:5" x14ac:dyDescent="0.3">
      <c r="A7936" s="9">
        <v>7928</v>
      </c>
      <c r="B7936" s="10">
        <f t="shared" ca="1" si="123"/>
        <v>8.0069840425225358E-2</v>
      </c>
      <c r="C7936" s="10">
        <f ca="1">NPV(B7936,Project_FCF!C18:J18)+Project_FCF!B18</f>
        <v>937.75818584202739</v>
      </c>
      <c r="D7936" s="4"/>
      <c r="E7936" s="4"/>
    </row>
    <row r="7937" spans="1:5" x14ac:dyDescent="0.3">
      <c r="A7937" s="9">
        <v>7929</v>
      </c>
      <c r="B7937" s="10">
        <f t="shared" ca="1" si="123"/>
        <v>0.10075584389581996</v>
      </c>
      <c r="C7937" s="10">
        <f ca="1">NPV(B7937,Project_FCF!C18:J18)+Project_FCF!B18</f>
        <v>777.21545145015261</v>
      </c>
      <c r="D7937" s="4"/>
      <c r="E7937" s="4"/>
    </row>
    <row r="7938" spans="1:5" x14ac:dyDescent="0.3">
      <c r="A7938" s="9">
        <v>7930</v>
      </c>
      <c r="B7938" s="10">
        <f t="shared" ca="1" si="123"/>
        <v>7.2492113728281418E-2</v>
      </c>
      <c r="C7938" s="10">
        <f ca="1">NPV(B7938,Project_FCF!C18:J18)+Project_FCF!B18</f>
        <v>1003.4562323970893</v>
      </c>
      <c r="D7938" s="4"/>
      <c r="E7938" s="4"/>
    </row>
    <row r="7939" spans="1:5" x14ac:dyDescent="0.3">
      <c r="A7939" s="9">
        <v>7931</v>
      </c>
      <c r="B7939" s="10">
        <f t="shared" ca="1" si="123"/>
        <v>0.10362848415547971</v>
      </c>
      <c r="C7939" s="10">
        <f ca="1">NPV(B7939,Project_FCF!C18:J18)+Project_FCF!B18</f>
        <v>756.90384146007</v>
      </c>
      <c r="D7939" s="4"/>
      <c r="E7939" s="4"/>
    </row>
    <row r="7940" spans="1:5" x14ac:dyDescent="0.3">
      <c r="A7940" s="9">
        <v>7932</v>
      </c>
      <c r="B7940" s="10">
        <f t="shared" ca="1" si="123"/>
        <v>7.9308050715671638E-2</v>
      </c>
      <c r="C7940" s="10">
        <f ca="1">NPV(B7940,Project_FCF!C18:J18)+Project_FCF!B18</f>
        <v>944.18496762043378</v>
      </c>
      <c r="D7940" s="4"/>
      <c r="E7940" s="4"/>
    </row>
    <row r="7941" spans="1:5" x14ac:dyDescent="0.3">
      <c r="A7941" s="9">
        <v>7933</v>
      </c>
      <c r="B7941" s="10">
        <f t="shared" ca="1" si="123"/>
        <v>8.0612170667859653E-2</v>
      </c>
      <c r="C7941" s="10">
        <f ca="1">NPV(B7941,Project_FCF!C18:J18)+Project_FCF!B18</f>
        <v>933.20649424531439</v>
      </c>
      <c r="D7941" s="4"/>
      <c r="E7941" s="4"/>
    </row>
    <row r="7942" spans="1:5" x14ac:dyDescent="0.3">
      <c r="A7942" s="9">
        <v>7934</v>
      </c>
      <c r="B7942" s="10">
        <f t="shared" ca="1" si="123"/>
        <v>7.7560169981549784E-2</v>
      </c>
      <c r="C7942" s="10">
        <f ca="1">NPV(B7942,Project_FCF!C18:J18)+Project_FCF!B18</f>
        <v>959.07878833146424</v>
      </c>
      <c r="D7942" s="4"/>
      <c r="E7942" s="4"/>
    </row>
    <row r="7943" spans="1:5" x14ac:dyDescent="0.3">
      <c r="A7943" s="9">
        <v>7935</v>
      </c>
      <c r="B7943" s="10">
        <f t="shared" ca="1" si="123"/>
        <v>8.4239440938782106E-2</v>
      </c>
      <c r="C7943" s="10">
        <f ca="1">NPV(B7943,Project_FCF!C18:J18)+Project_FCF!B18</f>
        <v>903.26142206269014</v>
      </c>
      <c r="D7943" s="4"/>
      <c r="E7943" s="4"/>
    </row>
    <row r="7944" spans="1:5" x14ac:dyDescent="0.3">
      <c r="A7944" s="9">
        <v>7936</v>
      </c>
      <c r="B7944" s="10">
        <f t="shared" ca="1" si="123"/>
        <v>9.4497595109961016E-2</v>
      </c>
      <c r="C7944" s="10">
        <f ca="1">NPV(B7944,Project_FCF!C18:J18)+Project_FCF!B18</f>
        <v>823.06823990321323</v>
      </c>
      <c r="D7944" s="4"/>
      <c r="E7944" s="4"/>
    </row>
    <row r="7945" spans="1:5" x14ac:dyDescent="0.3">
      <c r="A7945" s="9">
        <v>7937</v>
      </c>
      <c r="B7945" s="10">
        <f t="shared" ref="B7945:B8008" ca="1" si="124">$B$4+RAND()*($B$5-$B$4)</f>
        <v>7.5706238167541726E-2</v>
      </c>
      <c r="C7945" s="10">
        <f ca="1">NPV(B7945,Project_FCF!C18:J18)+Project_FCF!B18</f>
        <v>975.10449002129417</v>
      </c>
      <c r="D7945" s="4"/>
      <c r="E7945" s="4"/>
    </row>
    <row r="7946" spans="1:5" x14ac:dyDescent="0.3">
      <c r="A7946" s="9">
        <v>7938</v>
      </c>
      <c r="B7946" s="10">
        <f t="shared" ca="1" si="124"/>
        <v>7.8829529092371148E-2</v>
      </c>
      <c r="C7946" s="10">
        <f ca="1">NPV(B7946,Project_FCF!C18:J18)+Project_FCF!B18</f>
        <v>948.24192154158004</v>
      </c>
      <c r="D7946" s="4"/>
      <c r="E7946" s="4"/>
    </row>
    <row r="7947" spans="1:5" x14ac:dyDescent="0.3">
      <c r="A7947" s="9">
        <v>7939</v>
      </c>
      <c r="B7947" s="10">
        <f t="shared" ca="1" si="124"/>
        <v>7.1622311466179686E-2</v>
      </c>
      <c r="C7947" s="10">
        <f ca="1">NPV(B7947,Project_FCF!C18:J18)+Project_FCF!B18</f>
        <v>1011.2549205991486</v>
      </c>
      <c r="D7947" s="4"/>
      <c r="E7947" s="4"/>
    </row>
    <row r="7948" spans="1:5" x14ac:dyDescent="0.3">
      <c r="A7948" s="9">
        <v>7940</v>
      </c>
      <c r="B7948" s="10">
        <f t="shared" ca="1" si="124"/>
        <v>6.598308485226731E-2</v>
      </c>
      <c r="C7948" s="10">
        <f ca="1">NPV(B7948,Project_FCF!C18:J18)+Project_FCF!B18</f>
        <v>1063.1594352710729</v>
      </c>
      <c r="D7948" s="4"/>
      <c r="E7948" s="4"/>
    </row>
    <row r="7949" spans="1:5" x14ac:dyDescent="0.3">
      <c r="A7949" s="9">
        <v>7941</v>
      </c>
      <c r="B7949" s="10">
        <f t="shared" ca="1" si="124"/>
        <v>6.7455360181293306E-2</v>
      </c>
      <c r="C7949" s="10">
        <f ca="1">NPV(B7949,Project_FCF!C18:J18)+Project_FCF!B18</f>
        <v>1049.3804185151041</v>
      </c>
      <c r="D7949" s="4"/>
      <c r="E7949" s="4"/>
    </row>
    <row r="7950" spans="1:5" x14ac:dyDescent="0.3">
      <c r="A7950" s="9">
        <v>7942</v>
      </c>
      <c r="B7950" s="10">
        <f t="shared" ca="1" si="124"/>
        <v>9.4856075457521297E-2</v>
      </c>
      <c r="C7950" s="10">
        <f ca="1">NPV(B7950,Project_FCF!C18:J18)+Project_FCF!B18</f>
        <v>820.38086930256395</v>
      </c>
      <c r="D7950" s="4"/>
      <c r="E7950" s="4"/>
    </row>
    <row r="7951" spans="1:5" x14ac:dyDescent="0.3">
      <c r="A7951" s="9">
        <v>7943</v>
      </c>
      <c r="B7951" s="10">
        <f t="shared" ca="1" si="124"/>
        <v>6.813157582745015E-2</v>
      </c>
      <c r="C7951" s="10">
        <f ca="1">NPV(B7951,Project_FCF!C18:J18)+Project_FCF!B18</f>
        <v>1043.1062679204792</v>
      </c>
      <c r="D7951" s="4"/>
      <c r="E7951" s="4"/>
    </row>
    <row r="7952" spans="1:5" x14ac:dyDescent="0.3">
      <c r="A7952" s="9">
        <v>7944</v>
      </c>
      <c r="B7952" s="10">
        <f t="shared" ca="1" si="124"/>
        <v>9.4130970394898372E-2</v>
      </c>
      <c r="C7952" s="10">
        <f ca="1">NPV(B7952,Project_FCF!C18:J18)+Project_FCF!B18</f>
        <v>825.82446681209331</v>
      </c>
      <c r="D7952" s="4"/>
      <c r="E7952" s="4"/>
    </row>
    <row r="7953" spans="1:5" x14ac:dyDescent="0.3">
      <c r="A7953" s="9">
        <v>7945</v>
      </c>
      <c r="B7953" s="10">
        <f t="shared" ca="1" si="124"/>
        <v>6.5467457565644607E-2</v>
      </c>
      <c r="C7953" s="10">
        <f ca="1">NPV(B7953,Project_FCF!C18:J18)+Project_FCF!B18</f>
        <v>1068.0239871364749</v>
      </c>
      <c r="D7953" s="4"/>
      <c r="E7953" s="4"/>
    </row>
    <row r="7954" spans="1:5" x14ac:dyDescent="0.3">
      <c r="A7954" s="9">
        <v>7946</v>
      </c>
      <c r="B7954" s="10">
        <f t="shared" ca="1" si="124"/>
        <v>0.10052054022820754</v>
      </c>
      <c r="C7954" s="10">
        <f ca="1">NPV(B7954,Project_FCF!C18:J18)+Project_FCF!B18</f>
        <v>778.89936068125098</v>
      </c>
      <c r="D7954" s="4"/>
      <c r="E7954" s="4"/>
    </row>
    <row r="7955" spans="1:5" x14ac:dyDescent="0.3">
      <c r="A7955" s="9">
        <v>7947</v>
      </c>
      <c r="B7955" s="10">
        <f t="shared" ca="1" si="124"/>
        <v>8.7255394772239023E-2</v>
      </c>
      <c r="C7955" s="10">
        <f ca="1">NPV(B7955,Project_FCF!C18:J18)+Project_FCF!B18</f>
        <v>879.00880784942069</v>
      </c>
      <c r="D7955" s="4"/>
      <c r="E7955" s="4"/>
    </row>
    <row r="7956" spans="1:5" x14ac:dyDescent="0.3">
      <c r="A7956" s="9">
        <v>7948</v>
      </c>
      <c r="B7956" s="10">
        <f t="shared" ca="1" si="124"/>
        <v>9.2294491157130232E-2</v>
      </c>
      <c r="C7956" s="10">
        <f ca="1">NPV(B7956,Project_FCF!C18:J18)+Project_FCF!B18</f>
        <v>839.75047102787198</v>
      </c>
      <c r="D7956" s="4"/>
      <c r="E7956" s="4"/>
    </row>
    <row r="7957" spans="1:5" x14ac:dyDescent="0.3">
      <c r="A7957" s="9">
        <v>7949</v>
      </c>
      <c r="B7957" s="10">
        <f t="shared" ca="1" si="124"/>
        <v>9.9523577671219374E-2</v>
      </c>
      <c r="C7957" s="10">
        <f ca="1">NPV(B7957,Project_FCF!C18:J18)+Project_FCF!B18</f>
        <v>786.06820022305897</v>
      </c>
      <c r="D7957" s="4"/>
      <c r="E7957" s="4"/>
    </row>
    <row r="7958" spans="1:5" x14ac:dyDescent="0.3">
      <c r="A7958" s="9">
        <v>7950</v>
      </c>
      <c r="B7958" s="10">
        <f t="shared" ca="1" si="124"/>
        <v>9.753631622678241E-2</v>
      </c>
      <c r="C7958" s="10">
        <f ca="1">NPV(B7958,Project_FCF!C18:J18)+Project_FCF!B18</f>
        <v>800.52489154653313</v>
      </c>
      <c r="D7958" s="4"/>
      <c r="E7958" s="4"/>
    </row>
    <row r="7959" spans="1:5" x14ac:dyDescent="0.3">
      <c r="A7959" s="9">
        <v>7951</v>
      </c>
      <c r="B7959" s="10">
        <f t="shared" ca="1" si="124"/>
        <v>6.6146004585159734E-2</v>
      </c>
      <c r="C7959" s="10">
        <f ca="1">NPV(B7959,Project_FCF!C18:J18)+Project_FCF!B18</f>
        <v>1061.6266125312879</v>
      </c>
      <c r="D7959" s="4"/>
      <c r="E7959" s="4"/>
    </row>
    <row r="7960" spans="1:5" x14ac:dyDescent="0.3">
      <c r="A7960" s="9">
        <v>7952</v>
      </c>
      <c r="B7960" s="10">
        <f t="shared" ca="1" si="124"/>
        <v>9.5389994247073867E-2</v>
      </c>
      <c r="C7960" s="10">
        <f ca="1">NPV(B7960,Project_FCF!C18:J18)+Project_FCF!B18</f>
        <v>816.39224394351481</v>
      </c>
      <c r="D7960" s="4"/>
      <c r="E7960" s="4"/>
    </row>
    <row r="7961" spans="1:5" x14ac:dyDescent="0.3">
      <c r="A7961" s="9">
        <v>7953</v>
      </c>
      <c r="B7961" s="10">
        <f t="shared" ca="1" si="124"/>
        <v>6.5226856853156961E-2</v>
      </c>
      <c r="C7961" s="10">
        <f ca="1">NPV(B7961,Project_FCF!C18:J18)+Project_FCF!B18</f>
        <v>1070.3008062342624</v>
      </c>
      <c r="D7961" s="4"/>
      <c r="E7961" s="4"/>
    </row>
    <row r="7962" spans="1:5" x14ac:dyDescent="0.3">
      <c r="A7962" s="9">
        <v>7954</v>
      </c>
      <c r="B7962" s="10">
        <f t="shared" ca="1" si="124"/>
        <v>6.7274435488637527E-2</v>
      </c>
      <c r="C7962" s="10">
        <f ca="1">NPV(B7962,Project_FCF!C18:J18)+Project_FCF!B18</f>
        <v>1051.0648967431707</v>
      </c>
      <c r="D7962" s="4"/>
      <c r="E7962" s="4"/>
    </row>
    <row r="7963" spans="1:5" x14ac:dyDescent="0.3">
      <c r="A7963" s="9">
        <v>7955</v>
      </c>
      <c r="B7963" s="10">
        <f t="shared" ca="1" si="124"/>
        <v>6.7735629985659754E-2</v>
      </c>
      <c r="C7963" s="10">
        <f ca="1">NPV(B7963,Project_FCF!C18:J18)+Project_FCF!B18</f>
        <v>1046.7758390590927</v>
      </c>
      <c r="D7963" s="4"/>
      <c r="E7963" s="4"/>
    </row>
    <row r="7964" spans="1:5" x14ac:dyDescent="0.3">
      <c r="A7964" s="9">
        <v>7956</v>
      </c>
      <c r="B7964" s="10">
        <f t="shared" ca="1" si="124"/>
        <v>9.2193706123596869E-2</v>
      </c>
      <c r="C7964" s="10">
        <f ca="1">NPV(B7964,Project_FCF!C18:J18)+Project_FCF!B18</f>
        <v>840.52053622588141</v>
      </c>
      <c r="D7964" s="4"/>
      <c r="E7964" s="4"/>
    </row>
    <row r="7965" spans="1:5" x14ac:dyDescent="0.3">
      <c r="A7965" s="9">
        <v>7957</v>
      </c>
      <c r="B7965" s="10">
        <f t="shared" ca="1" si="124"/>
        <v>9.1444244529326146E-2</v>
      </c>
      <c r="C7965" s="10">
        <f ca="1">NPV(B7965,Project_FCF!C18:J18)+Project_FCF!B18</f>
        <v>846.26604980686102</v>
      </c>
      <c r="D7965" s="4"/>
      <c r="E7965" s="4"/>
    </row>
    <row r="7966" spans="1:5" x14ac:dyDescent="0.3">
      <c r="A7966" s="9">
        <v>7958</v>
      </c>
      <c r="B7966" s="10">
        <f t="shared" ca="1" si="124"/>
        <v>7.2571006563895923E-2</v>
      </c>
      <c r="C7966" s="10">
        <f ca="1">NPV(B7966,Project_FCF!C18:J18)+Project_FCF!B18</f>
        <v>1002.7515593382266</v>
      </c>
      <c r="D7966" s="4"/>
      <c r="E7966" s="4"/>
    </row>
    <row r="7967" spans="1:5" x14ac:dyDescent="0.3">
      <c r="A7967" s="9">
        <v>7959</v>
      </c>
      <c r="B7967" s="10">
        <f t="shared" ca="1" si="124"/>
        <v>8.4943357871912414E-2</v>
      </c>
      <c r="C7967" s="10">
        <f ca="1">NPV(B7967,Project_FCF!C18:J18)+Project_FCF!B18</f>
        <v>897.54914456570964</v>
      </c>
      <c r="D7967" s="4"/>
      <c r="E7967" s="4"/>
    </row>
    <row r="7968" spans="1:5" x14ac:dyDescent="0.3">
      <c r="A7968" s="9">
        <v>7960</v>
      </c>
      <c r="B7968" s="10">
        <f t="shared" ca="1" si="124"/>
        <v>8.8477404968838089E-2</v>
      </c>
      <c r="C7968" s="10">
        <f ca="1">NPV(B7968,Project_FCF!C18:J18)+Project_FCF!B18</f>
        <v>869.34509702003515</v>
      </c>
      <c r="D7968" s="4"/>
      <c r="E7968" s="4"/>
    </row>
    <row r="7969" spans="1:5" x14ac:dyDescent="0.3">
      <c r="A7969" s="9">
        <v>7961</v>
      </c>
      <c r="B7969" s="10">
        <f t="shared" ca="1" si="124"/>
        <v>0.10037822996233528</v>
      </c>
      <c r="C7969" s="10">
        <f ca="1">NPV(B7969,Project_FCF!C18:J18)+Project_FCF!B18</f>
        <v>779.9192735328304</v>
      </c>
      <c r="D7969" s="4"/>
      <c r="E7969" s="4"/>
    </row>
    <row r="7970" spans="1:5" x14ac:dyDescent="0.3">
      <c r="A7970" s="9">
        <v>7962</v>
      </c>
      <c r="B7970" s="10">
        <f t="shared" ca="1" si="124"/>
        <v>7.4856187064720844E-2</v>
      </c>
      <c r="C7970" s="10">
        <f ca="1">NPV(B7970,Project_FCF!C18:J18)+Project_FCF!B18</f>
        <v>982.53209335586735</v>
      </c>
      <c r="D7970" s="4"/>
      <c r="E7970" s="4"/>
    </row>
    <row r="7971" spans="1:5" x14ac:dyDescent="0.3">
      <c r="A7971" s="9">
        <v>7963</v>
      </c>
      <c r="B7971" s="10">
        <f t="shared" ca="1" si="124"/>
        <v>7.8544371759850184E-2</v>
      </c>
      <c r="C7971" s="10">
        <f ca="1">NPV(B7971,Project_FCF!C18:J18)+Project_FCF!B18</f>
        <v>950.66686448396035</v>
      </c>
      <c r="D7971" s="4"/>
      <c r="E7971" s="4"/>
    </row>
    <row r="7972" spans="1:5" x14ac:dyDescent="0.3">
      <c r="A7972" s="9">
        <v>7964</v>
      </c>
      <c r="B7972" s="10">
        <f t="shared" ca="1" si="124"/>
        <v>0.10260353164718503</v>
      </c>
      <c r="C7972" s="10">
        <f ca="1">NPV(B7972,Project_FCF!C18:J18)+Project_FCF!B18</f>
        <v>764.09913709152033</v>
      </c>
      <c r="D7972" s="4"/>
      <c r="E7972" s="4"/>
    </row>
    <row r="7973" spans="1:5" x14ac:dyDescent="0.3">
      <c r="A7973" s="9">
        <v>7965</v>
      </c>
      <c r="B7973" s="10">
        <f t="shared" ca="1" si="124"/>
        <v>7.8241394011850457E-2</v>
      </c>
      <c r="C7973" s="10">
        <f ca="1">NPV(B7973,Project_FCF!C18:J18)+Project_FCF!B18</f>
        <v>953.24938422596142</v>
      </c>
      <c r="D7973" s="4"/>
      <c r="E7973" s="4"/>
    </row>
    <row r="7974" spans="1:5" x14ac:dyDescent="0.3">
      <c r="A7974" s="9">
        <v>7966</v>
      </c>
      <c r="B7974" s="10">
        <f t="shared" ca="1" si="124"/>
        <v>8.5707642654730229E-2</v>
      </c>
      <c r="C7974" s="10">
        <f ca="1">NPV(B7974,Project_FCF!C18:J18)+Project_FCF!B18</f>
        <v>891.38284341257622</v>
      </c>
      <c r="D7974" s="4"/>
      <c r="E7974" s="4"/>
    </row>
    <row r="7975" spans="1:5" x14ac:dyDescent="0.3">
      <c r="A7975" s="9">
        <v>7967</v>
      </c>
      <c r="B7975" s="10">
        <f t="shared" ca="1" si="124"/>
        <v>7.2938230860272651E-2</v>
      </c>
      <c r="C7975" s="10">
        <f ca="1">NPV(B7975,Project_FCF!C18:J18)+Project_FCF!B18</f>
        <v>999.477352548721</v>
      </c>
      <c r="D7975" s="4"/>
      <c r="E7975" s="4"/>
    </row>
    <row r="7976" spans="1:5" x14ac:dyDescent="0.3">
      <c r="A7976" s="9">
        <v>7968</v>
      </c>
      <c r="B7976" s="10">
        <f t="shared" ca="1" si="124"/>
        <v>9.7217924226528168E-2</v>
      </c>
      <c r="C7976" s="10">
        <f ca="1">NPV(B7976,Project_FCF!C18:J18)+Project_FCF!B18</f>
        <v>802.86195735064757</v>
      </c>
      <c r="D7976" s="4"/>
      <c r="E7976" s="4"/>
    </row>
    <row r="7977" spans="1:5" x14ac:dyDescent="0.3">
      <c r="A7977" s="9">
        <v>7969</v>
      </c>
      <c r="B7977" s="10">
        <f t="shared" ca="1" si="124"/>
        <v>8.221361349109281E-2</v>
      </c>
      <c r="C7977" s="10">
        <f ca="1">NPV(B7977,Project_FCF!C18:J18)+Project_FCF!B18</f>
        <v>919.87957667537921</v>
      </c>
      <c r="D7977" s="4"/>
      <c r="E7977" s="4"/>
    </row>
    <row r="7978" spans="1:5" x14ac:dyDescent="0.3">
      <c r="A7978" s="9">
        <v>7970</v>
      </c>
      <c r="B7978" s="10">
        <f t="shared" ca="1" si="124"/>
        <v>8.1939708435198877E-2</v>
      </c>
      <c r="C7978" s="10">
        <f ca="1">NPV(B7978,Project_FCF!C18:J18)+Project_FCF!B18</f>
        <v>922.14698608131425</v>
      </c>
      <c r="D7978" s="4"/>
      <c r="E7978" s="4"/>
    </row>
    <row r="7979" spans="1:5" x14ac:dyDescent="0.3">
      <c r="A7979" s="9">
        <v>7971</v>
      </c>
      <c r="B7979" s="10">
        <f t="shared" ca="1" si="124"/>
        <v>6.5521738879950192E-2</v>
      </c>
      <c r="C7979" s="10">
        <f ca="1">NPV(B7979,Project_FCF!C18:J18)+Project_FCF!B18</f>
        <v>1067.5109306475499</v>
      </c>
      <c r="D7979" s="4"/>
      <c r="E7979" s="4"/>
    </row>
    <row r="7980" spans="1:5" x14ac:dyDescent="0.3">
      <c r="A7980" s="9">
        <v>7972</v>
      </c>
      <c r="B7980" s="10">
        <f t="shared" ca="1" si="124"/>
        <v>9.75193507191571E-2</v>
      </c>
      <c r="C7980" s="10">
        <f ca="1">NPV(B7980,Project_FCF!C18:J18)+Project_FCF!B18</f>
        <v>800.6492758068398</v>
      </c>
      <c r="D7980" s="4"/>
      <c r="E7980" s="4"/>
    </row>
    <row r="7981" spans="1:5" x14ac:dyDescent="0.3">
      <c r="A7981" s="9">
        <v>7973</v>
      </c>
      <c r="B7981" s="10">
        <f t="shared" ca="1" si="124"/>
        <v>6.9680510750232794E-2</v>
      </c>
      <c r="C7981" s="10">
        <f ca="1">NPV(B7981,Project_FCF!C18:J18)+Project_FCF!B18</f>
        <v>1028.8626972294778</v>
      </c>
      <c r="D7981" s="4"/>
      <c r="E7981" s="4"/>
    </row>
    <row r="7982" spans="1:5" x14ac:dyDescent="0.3">
      <c r="A7982" s="9">
        <v>7974</v>
      </c>
      <c r="B7982" s="10">
        <f t="shared" ca="1" si="124"/>
        <v>9.3591113983829494E-2</v>
      </c>
      <c r="C7982" s="10">
        <f ca="1">NPV(B7982,Project_FCF!C18:J18)+Project_FCF!B18</f>
        <v>829.89743770264067</v>
      </c>
      <c r="D7982" s="4"/>
      <c r="E7982" s="4"/>
    </row>
    <row r="7983" spans="1:5" x14ac:dyDescent="0.3">
      <c r="A7983" s="9">
        <v>7975</v>
      </c>
      <c r="B7983" s="10">
        <f t="shared" ca="1" si="124"/>
        <v>8.1224539278900137E-2</v>
      </c>
      <c r="C7983" s="10">
        <f ca="1">NPV(B7983,Project_FCF!C18:J18)+Project_FCF!B18</f>
        <v>928.09047725503297</v>
      </c>
      <c r="D7983" s="4"/>
      <c r="E7983" s="4"/>
    </row>
    <row r="7984" spans="1:5" x14ac:dyDescent="0.3">
      <c r="A7984" s="9">
        <v>7976</v>
      </c>
      <c r="B7984" s="10">
        <f t="shared" ca="1" si="124"/>
        <v>9.0627242513556278E-2</v>
      </c>
      <c r="C7984" s="10">
        <f ca="1">NPV(B7984,Project_FCF!C18:J18)+Project_FCF!B18</f>
        <v>852.56794211864712</v>
      </c>
      <c r="D7984" s="4"/>
      <c r="E7984" s="4"/>
    </row>
    <row r="7985" spans="1:5" x14ac:dyDescent="0.3">
      <c r="A7985" s="9">
        <v>7977</v>
      </c>
      <c r="B7985" s="10">
        <f t="shared" ca="1" si="124"/>
        <v>8.9641163747622488E-2</v>
      </c>
      <c r="C7985" s="10">
        <f ca="1">NPV(B7985,Project_FCF!C18:J18)+Project_FCF!B18</f>
        <v>860.22803321705874</v>
      </c>
      <c r="D7985" s="4"/>
      <c r="E7985" s="4"/>
    </row>
    <row r="7986" spans="1:5" x14ac:dyDescent="0.3">
      <c r="A7986" s="9">
        <v>7978</v>
      </c>
      <c r="B7986" s="10">
        <f t="shared" ca="1" si="124"/>
        <v>7.2228948873557478E-2</v>
      </c>
      <c r="C7986" s="10">
        <f ca="1">NPV(B7986,Project_FCF!C18:J18)+Project_FCF!B18</f>
        <v>1005.8100503391699</v>
      </c>
      <c r="D7986" s="4"/>
      <c r="E7986" s="4"/>
    </row>
    <row r="7987" spans="1:5" x14ac:dyDescent="0.3">
      <c r="A7987" s="9">
        <v>7979</v>
      </c>
      <c r="B7987" s="10">
        <f t="shared" ca="1" si="124"/>
        <v>8.6840942407963875E-2</v>
      </c>
      <c r="C7987" s="10">
        <f ca="1">NPV(B7987,Project_FCF!C18:J18)+Project_FCF!B18</f>
        <v>882.30749805567029</v>
      </c>
      <c r="D7987" s="4"/>
      <c r="E7987" s="4"/>
    </row>
    <row r="7988" spans="1:5" x14ac:dyDescent="0.3">
      <c r="A7988" s="9">
        <v>7980</v>
      </c>
      <c r="B7988" s="10">
        <f t="shared" ca="1" si="124"/>
        <v>9.3372313369585014E-2</v>
      </c>
      <c r="C7988" s="10">
        <f ca="1">NPV(B7988,Project_FCF!C18:J18)+Project_FCF!B18</f>
        <v>831.55309480483402</v>
      </c>
      <c r="D7988" s="4"/>
      <c r="E7988" s="4"/>
    </row>
    <row r="7989" spans="1:5" x14ac:dyDescent="0.3">
      <c r="A7989" s="9">
        <v>7981</v>
      </c>
      <c r="B7989" s="10">
        <f t="shared" ca="1" si="124"/>
        <v>7.5310483164353251E-2</v>
      </c>
      <c r="C7989" s="10">
        <f ca="1">NPV(B7989,Project_FCF!C18:J18)+Project_FCF!B18</f>
        <v>978.55626052001526</v>
      </c>
      <c r="D7989" s="4"/>
      <c r="E7989" s="4"/>
    </row>
    <row r="7990" spans="1:5" x14ac:dyDescent="0.3">
      <c r="A7990" s="9">
        <v>7982</v>
      </c>
      <c r="B7990" s="10">
        <f t="shared" ca="1" si="124"/>
        <v>0.10051118076959842</v>
      </c>
      <c r="C7990" s="10">
        <f ca="1">NPV(B7990,Project_FCF!C18:J18)+Project_FCF!B18</f>
        <v>778.96640365706571</v>
      </c>
      <c r="D7990" s="4"/>
      <c r="E7990" s="4"/>
    </row>
    <row r="7991" spans="1:5" x14ac:dyDescent="0.3">
      <c r="A7991" s="9">
        <v>7983</v>
      </c>
      <c r="B7991" s="10">
        <f t="shared" ca="1" si="124"/>
        <v>8.3221372732085519E-2</v>
      </c>
      <c r="C7991" s="10">
        <f ca="1">NPV(B7991,Project_FCF!C18:J18)+Project_FCF!B18</f>
        <v>911.57947774096283</v>
      </c>
      <c r="D7991" s="4"/>
      <c r="E7991" s="4"/>
    </row>
    <row r="7992" spans="1:5" x14ac:dyDescent="0.3">
      <c r="A7992" s="9">
        <v>7984</v>
      </c>
      <c r="B7992" s="10">
        <f t="shared" ca="1" si="124"/>
        <v>8.1062850198908257E-2</v>
      </c>
      <c r="C7992" s="10">
        <f ca="1">NPV(B7992,Project_FCF!C18:J18)+Project_FCF!B18</f>
        <v>929.43889020608117</v>
      </c>
      <c r="D7992" s="4"/>
      <c r="E7992" s="4"/>
    </row>
    <row r="7993" spans="1:5" x14ac:dyDescent="0.3">
      <c r="A7993" s="9">
        <v>7985</v>
      </c>
      <c r="B7993" s="10">
        <f t="shared" ca="1" si="124"/>
        <v>7.8464794084121298E-2</v>
      </c>
      <c r="C7993" s="10">
        <f ca="1">NPV(B7993,Project_FCF!C18:J18)+Project_FCF!B18</f>
        <v>951.34456548133744</v>
      </c>
      <c r="D7993" s="4"/>
      <c r="E7993" s="4"/>
    </row>
    <row r="7994" spans="1:5" x14ac:dyDescent="0.3">
      <c r="A7994" s="9">
        <v>7986</v>
      </c>
      <c r="B7994" s="10">
        <f t="shared" ca="1" si="124"/>
        <v>7.4699746869817077E-2</v>
      </c>
      <c r="C7994" s="10">
        <f ca="1">NPV(B7994,Project_FCF!C18:J18)+Project_FCF!B18</f>
        <v>983.90454273962837</v>
      </c>
      <c r="D7994" s="4"/>
      <c r="E7994" s="4"/>
    </row>
    <row r="7995" spans="1:5" x14ac:dyDescent="0.3">
      <c r="A7995" s="9">
        <v>7987</v>
      </c>
      <c r="B7995" s="10">
        <f t="shared" ca="1" si="124"/>
        <v>8.1447510947363688E-2</v>
      </c>
      <c r="C7995" s="10">
        <f ca="1">NPV(B7995,Project_FCF!C18:J18)+Project_FCF!B18</f>
        <v>926.23382982881481</v>
      </c>
      <c r="D7995" s="4"/>
      <c r="E7995" s="4"/>
    </row>
    <row r="7996" spans="1:5" x14ac:dyDescent="0.3">
      <c r="A7996" s="9">
        <v>7988</v>
      </c>
      <c r="B7996" s="10">
        <f t="shared" ca="1" si="124"/>
        <v>6.5138293972708428E-2</v>
      </c>
      <c r="C7996" s="10">
        <f ca="1">NPV(B7996,Project_FCF!C18:J18)+Project_FCF!B18</f>
        <v>1071.1399959725804</v>
      </c>
      <c r="D7996" s="4"/>
      <c r="E7996" s="4"/>
    </row>
    <row r="7997" spans="1:5" x14ac:dyDescent="0.3">
      <c r="A7997" s="9">
        <v>7989</v>
      </c>
      <c r="B7997" s="10">
        <f t="shared" ca="1" si="124"/>
        <v>9.7808905626810411E-2</v>
      </c>
      <c r="C7997" s="10">
        <f ca="1">NPV(B7997,Project_FCF!C18:J18)+Project_FCF!B18</f>
        <v>798.52862882889576</v>
      </c>
      <c r="D7997" s="4"/>
      <c r="E7997" s="4"/>
    </row>
    <row r="7998" spans="1:5" x14ac:dyDescent="0.3">
      <c r="A7998" s="9">
        <v>7990</v>
      </c>
      <c r="B7998" s="10">
        <f t="shared" ca="1" si="124"/>
        <v>8.2488513638943134E-2</v>
      </c>
      <c r="C7998" s="10">
        <f ca="1">NPV(B7998,Project_FCF!C18:J18)+Project_FCF!B18</f>
        <v>917.60887194343263</v>
      </c>
      <c r="D7998" s="4"/>
      <c r="E7998" s="4"/>
    </row>
    <row r="7999" spans="1:5" x14ac:dyDescent="0.3">
      <c r="A7999" s="9">
        <v>7991</v>
      </c>
      <c r="B7999" s="10">
        <f t="shared" ca="1" si="124"/>
        <v>8.4839383161405907E-2</v>
      </c>
      <c r="C7999" s="10">
        <f ca="1">NPV(B7999,Project_FCF!C18:J18)+Project_FCF!B18</f>
        <v>898.39089941718589</v>
      </c>
      <c r="D7999" s="4"/>
      <c r="E7999" s="4"/>
    </row>
    <row r="8000" spans="1:5" x14ac:dyDescent="0.3">
      <c r="A8000" s="9">
        <v>7992</v>
      </c>
      <c r="B8000" s="10">
        <f t="shared" ca="1" si="124"/>
        <v>8.4378310249507094E-2</v>
      </c>
      <c r="C8000" s="10">
        <f ca="1">NPV(B8000,Project_FCF!C18:J18)+Project_FCF!B18</f>
        <v>902.13198160285719</v>
      </c>
      <c r="D8000" s="4"/>
      <c r="E8000" s="4"/>
    </row>
    <row r="8001" spans="1:5" x14ac:dyDescent="0.3">
      <c r="A8001" s="9">
        <v>7993</v>
      </c>
      <c r="B8001" s="10">
        <f t="shared" ca="1" si="124"/>
        <v>0.10086619018859273</v>
      </c>
      <c r="C8001" s="10">
        <f ca="1">NPV(B8001,Project_FCF!C18:J18)+Project_FCF!B18</f>
        <v>776.4268368677026</v>
      </c>
      <c r="D8001" s="4"/>
      <c r="E8001" s="4"/>
    </row>
    <row r="8002" spans="1:5" x14ac:dyDescent="0.3">
      <c r="A8002" s="9">
        <v>7994</v>
      </c>
      <c r="B8002" s="10">
        <f t="shared" ca="1" si="124"/>
        <v>8.7371593349066148E-2</v>
      </c>
      <c r="C8002" s="10">
        <f ca="1">NPV(B8002,Project_FCF!C18:J18)+Project_FCF!B18</f>
        <v>878.08589762350016</v>
      </c>
      <c r="D8002" s="4"/>
      <c r="E8002" s="4"/>
    </row>
    <row r="8003" spans="1:5" x14ac:dyDescent="0.3">
      <c r="A8003" s="9">
        <v>7995</v>
      </c>
      <c r="B8003" s="10">
        <f t="shared" ca="1" si="124"/>
        <v>9.5803969482505039E-2</v>
      </c>
      <c r="C8003" s="10">
        <f ca="1">NPV(B8003,Project_FCF!C18:J18)+Project_FCF!B18</f>
        <v>813.31108201477696</v>
      </c>
      <c r="D8003" s="4"/>
      <c r="E8003" s="4"/>
    </row>
    <row r="8004" spans="1:5" x14ac:dyDescent="0.3">
      <c r="A8004" s="9">
        <v>7996</v>
      </c>
      <c r="B8004" s="10">
        <f t="shared" ca="1" si="124"/>
        <v>9.699483230150481E-2</v>
      </c>
      <c r="C8004" s="10">
        <f ca="1">NPV(B8004,Project_FCF!C18:J18)+Project_FCF!B18</f>
        <v>804.50295942834327</v>
      </c>
      <c r="D8004" s="4"/>
      <c r="E8004" s="4"/>
    </row>
    <row r="8005" spans="1:5" x14ac:dyDescent="0.3">
      <c r="A8005" s="9">
        <v>7997</v>
      </c>
      <c r="B8005" s="10">
        <f t="shared" ca="1" si="124"/>
        <v>0.10384828605032081</v>
      </c>
      <c r="C8005" s="10">
        <f ca="1">NPV(B8005,Project_FCF!C18:J18)+Project_FCF!B18</f>
        <v>755.36822706821908</v>
      </c>
      <c r="D8005" s="4"/>
      <c r="E8005" s="4"/>
    </row>
    <row r="8006" spans="1:5" x14ac:dyDescent="0.3">
      <c r="A8006" s="9">
        <v>7998</v>
      </c>
      <c r="B8006" s="10">
        <f t="shared" ca="1" si="124"/>
        <v>8.0909906483264835E-2</v>
      </c>
      <c r="C8006" s="10">
        <f ca="1">NPV(B8006,Project_FCF!C18:J18)+Project_FCF!B18</f>
        <v>930.71596358548368</v>
      </c>
      <c r="D8006" s="4"/>
      <c r="E8006" s="4"/>
    </row>
    <row r="8007" spans="1:5" x14ac:dyDescent="0.3">
      <c r="A8007" s="9">
        <v>7999</v>
      </c>
      <c r="B8007" s="10">
        <f t="shared" ca="1" si="124"/>
        <v>6.7315449376794331E-2</v>
      </c>
      <c r="C8007" s="10">
        <f ca="1">NPV(B8007,Project_FCF!C18:J18)+Project_FCF!B18</f>
        <v>1050.6828265920976</v>
      </c>
      <c r="D8007" s="4"/>
      <c r="E8007" s="4"/>
    </row>
    <row r="8008" spans="1:5" x14ac:dyDescent="0.3">
      <c r="A8008" s="9">
        <v>8000</v>
      </c>
      <c r="B8008" s="10">
        <f t="shared" ca="1" si="124"/>
        <v>7.4069286505373672E-2</v>
      </c>
      <c r="C8008" s="10">
        <f ca="1">NPV(B8008,Project_FCF!C18:J18)+Project_FCF!B18</f>
        <v>989.45298924952067</v>
      </c>
      <c r="D8008" s="4"/>
      <c r="E8008" s="4"/>
    </row>
    <row r="8009" spans="1:5" x14ac:dyDescent="0.3">
      <c r="A8009" s="9">
        <v>8001</v>
      </c>
      <c r="B8009" s="10">
        <f t="shared" ref="B8009:B8072" ca="1" si="125">$B$4+RAND()*($B$5-$B$4)</f>
        <v>8.68241967908919E-2</v>
      </c>
      <c r="C8009" s="10">
        <f ca="1">NPV(B8009,Project_FCF!C18:J18)+Project_FCF!B18</f>
        <v>882.44100563184361</v>
      </c>
      <c r="D8009" s="4"/>
      <c r="E8009" s="4"/>
    </row>
    <row r="8010" spans="1:5" x14ac:dyDescent="0.3">
      <c r="A8010" s="9">
        <v>8002</v>
      </c>
      <c r="B8010" s="10">
        <f t="shared" ca="1" si="125"/>
        <v>8.4037967089506699E-2</v>
      </c>
      <c r="C8010" s="10">
        <f ca="1">NPV(B8010,Project_FCF!C18:J18)+Project_FCF!B18</f>
        <v>904.90223868219937</v>
      </c>
      <c r="D8010" s="4"/>
      <c r="E8010" s="4"/>
    </row>
    <row r="8011" spans="1:5" x14ac:dyDescent="0.3">
      <c r="A8011" s="9">
        <v>8003</v>
      </c>
      <c r="B8011" s="10">
        <f t="shared" ca="1" si="125"/>
        <v>8.4538004810347955E-2</v>
      </c>
      <c r="C8011" s="10">
        <f ca="1">NPV(B8011,Project_FCF!C18:J18)+Project_FCF!B18</f>
        <v>900.83469858587614</v>
      </c>
      <c r="D8011" s="4"/>
      <c r="E8011" s="4"/>
    </row>
    <row r="8012" spans="1:5" x14ac:dyDescent="0.3">
      <c r="A8012" s="9">
        <v>8004</v>
      </c>
      <c r="B8012" s="10">
        <f t="shared" ca="1" si="125"/>
        <v>7.9118014347477034E-2</v>
      </c>
      <c r="C8012" s="10">
        <f ca="1">NPV(B8012,Project_FCF!C18:J18)+Project_FCF!B18</f>
        <v>945.7942675273498</v>
      </c>
      <c r="D8012" s="4"/>
      <c r="E8012" s="4"/>
    </row>
    <row r="8013" spans="1:5" x14ac:dyDescent="0.3">
      <c r="A8013" s="9">
        <v>8005</v>
      </c>
      <c r="B8013" s="10">
        <f t="shared" ca="1" si="125"/>
        <v>9.2461071961398078E-2</v>
      </c>
      <c r="C8013" s="10">
        <f ca="1">NPV(B8013,Project_FCF!C18:J18)+Project_FCF!B18</f>
        <v>838.47901470470629</v>
      </c>
      <c r="D8013" s="4"/>
      <c r="E8013" s="4"/>
    </row>
    <row r="8014" spans="1:5" x14ac:dyDescent="0.3">
      <c r="A8014" s="9">
        <v>8006</v>
      </c>
      <c r="B8014" s="10">
        <f t="shared" ca="1" si="125"/>
        <v>9.1258243845216566E-2</v>
      </c>
      <c r="C8014" s="10">
        <f ca="1">NPV(B8014,Project_FCF!C18:J18)+Project_FCF!B18</f>
        <v>847.69720423164335</v>
      </c>
      <c r="D8014" s="4"/>
      <c r="E8014" s="4"/>
    </row>
    <row r="8015" spans="1:5" x14ac:dyDescent="0.3">
      <c r="A8015" s="9">
        <v>8007</v>
      </c>
      <c r="B8015" s="10">
        <f t="shared" ca="1" si="125"/>
        <v>8.8599082898658435E-2</v>
      </c>
      <c r="C8015" s="10">
        <f ca="1">NPV(B8015,Project_FCF!C18:J18)+Project_FCF!B18</f>
        <v>868.38794211818959</v>
      </c>
      <c r="D8015" s="4"/>
      <c r="E8015" s="4"/>
    </row>
    <row r="8016" spans="1:5" x14ac:dyDescent="0.3">
      <c r="A8016" s="9">
        <v>8008</v>
      </c>
      <c r="B8016" s="10">
        <f t="shared" ca="1" si="125"/>
        <v>7.4900449587923384E-2</v>
      </c>
      <c r="C8016" s="10">
        <f ca="1">NPV(B8016,Project_FCF!C18:J18)+Project_FCF!B18</f>
        <v>982.14408950567486</v>
      </c>
      <c r="D8016" s="4"/>
      <c r="E8016" s="4"/>
    </row>
    <row r="8017" spans="1:5" x14ac:dyDescent="0.3">
      <c r="A8017" s="9">
        <v>8009</v>
      </c>
      <c r="B8017" s="10">
        <f t="shared" ca="1" si="125"/>
        <v>8.1978934359236477E-2</v>
      </c>
      <c r="C8017" s="10">
        <f ca="1">NPV(B8017,Project_FCF!C18:J18)+Project_FCF!B18</f>
        <v>921.82196851946424</v>
      </c>
      <c r="D8017" s="4"/>
      <c r="E8017" s="4"/>
    </row>
    <row r="8018" spans="1:5" x14ac:dyDescent="0.3">
      <c r="A8018" s="9">
        <v>8010</v>
      </c>
      <c r="B8018" s="10">
        <f t="shared" ca="1" si="125"/>
        <v>7.2362094946647984E-2</v>
      </c>
      <c r="C8018" s="10">
        <f ca="1">NPV(B8018,Project_FCF!C18:J18)+Project_FCF!B18</f>
        <v>1004.6185356824278</v>
      </c>
      <c r="D8018" s="4"/>
      <c r="E8018" s="4"/>
    </row>
    <row r="8019" spans="1:5" x14ac:dyDescent="0.3">
      <c r="A8019" s="9">
        <v>8011</v>
      </c>
      <c r="B8019" s="10">
        <f t="shared" ca="1" si="125"/>
        <v>8.8023066426022423E-2</v>
      </c>
      <c r="C8019" s="10">
        <f ca="1">NPV(B8019,Project_FCF!C18:J18)+Project_FCF!B18</f>
        <v>872.92717167087267</v>
      </c>
      <c r="D8019" s="4"/>
      <c r="E8019" s="4"/>
    </row>
    <row r="8020" spans="1:5" x14ac:dyDescent="0.3">
      <c r="A8020" s="9">
        <v>8012</v>
      </c>
      <c r="B8020" s="10">
        <f t="shared" ca="1" si="125"/>
        <v>7.6187427805530117E-2</v>
      </c>
      <c r="C8020" s="10">
        <f ca="1">NPV(B8020,Project_FCF!C18:J18)+Project_FCF!B18</f>
        <v>970.9222166668153</v>
      </c>
      <c r="D8020" s="4"/>
      <c r="E8020" s="4"/>
    </row>
    <row r="8021" spans="1:5" x14ac:dyDescent="0.3">
      <c r="A8021" s="9">
        <v>8013</v>
      </c>
      <c r="B8021" s="10">
        <f t="shared" ca="1" si="125"/>
        <v>7.9752137041509061E-2</v>
      </c>
      <c r="C8021" s="10">
        <f ca="1">NPV(B8021,Project_FCF!C18:J18)+Project_FCF!B18</f>
        <v>940.43373923934496</v>
      </c>
      <c r="D8021" s="4"/>
      <c r="E8021" s="4"/>
    </row>
    <row r="8022" spans="1:5" x14ac:dyDescent="0.3">
      <c r="A8022" s="9">
        <v>8014</v>
      </c>
      <c r="B8022" s="10">
        <f t="shared" ca="1" si="125"/>
        <v>9.6804127561875508E-2</v>
      </c>
      <c r="C8022" s="10">
        <f ca="1">NPV(B8022,Project_FCF!C18:J18)+Project_FCF!B18</f>
        <v>805.90799509909107</v>
      </c>
      <c r="D8022" s="4"/>
      <c r="E8022" s="4"/>
    </row>
    <row r="8023" spans="1:5" x14ac:dyDescent="0.3">
      <c r="A8023" s="9">
        <v>8015</v>
      </c>
      <c r="B8023" s="10">
        <f t="shared" ca="1" si="125"/>
        <v>9.1054844800378926E-2</v>
      </c>
      <c r="C8023" s="10">
        <f ca="1">NPV(B8023,Project_FCF!C18:J18)+Project_FCF!B18</f>
        <v>849.26462026124091</v>
      </c>
      <c r="D8023" s="4"/>
      <c r="E8023" s="4"/>
    </row>
    <row r="8024" spans="1:5" x14ac:dyDescent="0.3">
      <c r="A8024" s="9">
        <v>8016</v>
      </c>
      <c r="B8024" s="10">
        <f t="shared" ca="1" si="125"/>
        <v>7.9541635663640503E-2</v>
      </c>
      <c r="C8024" s="10">
        <f ca="1">NPV(B8024,Project_FCF!C18:J18)+Project_FCF!B18</f>
        <v>942.21020901714974</v>
      </c>
      <c r="D8024" s="4"/>
      <c r="E8024" s="4"/>
    </row>
    <row r="8025" spans="1:5" x14ac:dyDescent="0.3">
      <c r="A8025" s="9">
        <v>8017</v>
      </c>
      <c r="B8025" s="10">
        <f t="shared" ca="1" si="125"/>
        <v>8.6268601441452403E-2</v>
      </c>
      <c r="C8025" s="10">
        <f ca="1">NPV(B8025,Project_FCF!C18:J18)+Project_FCF!B18</f>
        <v>886.88060390071314</v>
      </c>
      <c r="D8025" s="4"/>
      <c r="E8025" s="4"/>
    </row>
    <row r="8026" spans="1:5" x14ac:dyDescent="0.3">
      <c r="A8026" s="9">
        <v>8018</v>
      </c>
      <c r="B8026" s="10">
        <f t="shared" ca="1" si="125"/>
        <v>0.1034923293927488</v>
      </c>
      <c r="C8026" s="10">
        <f ca="1">NPV(B8026,Project_FCF!C18:J18)+Project_FCF!B18</f>
        <v>757.85637856308585</v>
      </c>
      <c r="D8026" s="4"/>
      <c r="E8026" s="4"/>
    </row>
    <row r="8027" spans="1:5" x14ac:dyDescent="0.3">
      <c r="A8027" s="9">
        <v>8019</v>
      </c>
      <c r="B8027" s="10">
        <f t="shared" ca="1" si="125"/>
        <v>9.7675112071289205E-2</v>
      </c>
      <c r="C8027" s="10">
        <f ca="1">NPV(B8027,Project_FCF!C18:J18)+Project_FCF!B18</f>
        <v>799.50791368854425</v>
      </c>
      <c r="D8027" s="4"/>
      <c r="E8027" s="4"/>
    </row>
    <row r="8028" spans="1:5" x14ac:dyDescent="0.3">
      <c r="A8028" s="9">
        <v>8020</v>
      </c>
      <c r="B8028" s="10">
        <f t="shared" ca="1" si="125"/>
        <v>7.1736483972878365E-2</v>
      </c>
      <c r="C8028" s="10">
        <f ca="1">NPV(B8028,Project_FCF!C18:J18)+Project_FCF!B18</f>
        <v>1010.2281430792302</v>
      </c>
      <c r="D8028" s="4"/>
      <c r="E8028" s="4"/>
    </row>
    <row r="8029" spans="1:5" x14ac:dyDescent="0.3">
      <c r="A8029" s="9">
        <v>8021</v>
      </c>
      <c r="B8029" s="10">
        <f t="shared" ca="1" si="125"/>
        <v>6.6457637753677176E-2</v>
      </c>
      <c r="C8029" s="10">
        <f ca="1">NPV(B8029,Project_FCF!C18:J18)+Project_FCF!B18</f>
        <v>1058.7002295443676</v>
      </c>
      <c r="D8029" s="4"/>
      <c r="E8029" s="4"/>
    </row>
    <row r="8030" spans="1:5" x14ac:dyDescent="0.3">
      <c r="A8030" s="9">
        <v>8022</v>
      </c>
      <c r="B8030" s="10">
        <f t="shared" ca="1" si="125"/>
        <v>9.0220867323910284E-2</v>
      </c>
      <c r="C8030" s="10">
        <f ca="1">NPV(B8030,Project_FCF!C18:J18)+Project_FCF!B18</f>
        <v>855.71757414130911</v>
      </c>
      <c r="D8030" s="4"/>
      <c r="E8030" s="4"/>
    </row>
    <row r="8031" spans="1:5" x14ac:dyDescent="0.3">
      <c r="A8031" s="9">
        <v>8023</v>
      </c>
      <c r="B8031" s="10">
        <f t="shared" ca="1" si="125"/>
        <v>7.2124212814470151E-2</v>
      </c>
      <c r="C8031" s="10">
        <f ca="1">NPV(B8031,Project_FCF!C18:J18)+Project_FCF!B18</f>
        <v>1006.7482191435563</v>
      </c>
      <c r="D8031" s="4"/>
      <c r="E8031" s="4"/>
    </row>
    <row r="8032" spans="1:5" x14ac:dyDescent="0.3">
      <c r="A8032" s="9">
        <v>8024</v>
      </c>
      <c r="B8032" s="10">
        <f t="shared" ca="1" si="125"/>
        <v>6.9105164420764614E-2</v>
      </c>
      <c r="C8032" s="10">
        <f ca="1">NPV(B8032,Project_FCF!C18:J18)+Project_FCF!B18</f>
        <v>1034.1327292352253</v>
      </c>
      <c r="D8032" s="4"/>
      <c r="E8032" s="4"/>
    </row>
    <row r="8033" spans="1:5" x14ac:dyDescent="0.3">
      <c r="A8033" s="9">
        <v>8025</v>
      </c>
      <c r="B8033" s="10">
        <f t="shared" ca="1" si="125"/>
        <v>6.6190171521305907E-2</v>
      </c>
      <c r="C8033" s="10">
        <f ca="1">NPV(B8033,Project_FCF!C18:J18)+Project_FCF!B18</f>
        <v>1061.2114167902475</v>
      </c>
      <c r="D8033" s="4"/>
      <c r="E8033" s="4"/>
    </row>
    <row r="8034" spans="1:5" x14ac:dyDescent="0.3">
      <c r="A8034" s="9">
        <v>8026</v>
      </c>
      <c r="B8034" s="10">
        <f t="shared" ca="1" si="125"/>
        <v>7.9152825742676292E-2</v>
      </c>
      <c r="C8034" s="10">
        <f ca="1">NPV(B8034,Project_FCF!C18:J18)+Project_FCF!B18</f>
        <v>945.49928955012865</v>
      </c>
      <c r="D8034" s="4"/>
      <c r="E8034" s="4"/>
    </row>
    <row r="8035" spans="1:5" x14ac:dyDescent="0.3">
      <c r="A8035" s="9">
        <v>8027</v>
      </c>
      <c r="B8035" s="10">
        <f t="shared" ca="1" si="125"/>
        <v>6.5433910443674581E-2</v>
      </c>
      <c r="C8035" s="10">
        <f ca="1">NPV(B8035,Project_FCF!C18:J18)+Project_FCF!B18</f>
        <v>1068.3411804222619</v>
      </c>
      <c r="D8035" s="4"/>
      <c r="E8035" s="4"/>
    </row>
    <row r="8036" spans="1:5" x14ac:dyDescent="0.3">
      <c r="A8036" s="9">
        <v>8028</v>
      </c>
      <c r="B8036" s="10">
        <f t="shared" ca="1" si="125"/>
        <v>0.10109140779273196</v>
      </c>
      <c r="C8036" s="10">
        <f ca="1">NPV(B8036,Project_FCF!C18:J18)+Project_FCF!B18</f>
        <v>774.81936389538487</v>
      </c>
      <c r="D8036" s="4"/>
      <c r="E8036" s="4"/>
    </row>
    <row r="8037" spans="1:5" x14ac:dyDescent="0.3">
      <c r="A8037" s="9">
        <v>8029</v>
      </c>
      <c r="B8037" s="10">
        <f t="shared" ca="1" si="125"/>
        <v>0.1027388975613526</v>
      </c>
      <c r="C8037" s="10">
        <f ca="1">NPV(B8037,Project_FCF!C18:J18)+Project_FCF!B18</f>
        <v>763.14557374775904</v>
      </c>
      <c r="D8037" s="4"/>
      <c r="E8037" s="4"/>
    </row>
    <row r="8038" spans="1:5" x14ac:dyDescent="0.3">
      <c r="A8038" s="9">
        <v>8030</v>
      </c>
      <c r="B8038" s="10">
        <f t="shared" ca="1" si="125"/>
        <v>8.3713569219565825E-2</v>
      </c>
      <c r="C8038" s="10">
        <f ca="1">NPV(B8038,Project_FCF!C18:J18)+Project_FCF!B18</f>
        <v>907.54965612281057</v>
      </c>
      <c r="D8038" s="4"/>
      <c r="E8038" s="4"/>
    </row>
    <row r="8039" spans="1:5" x14ac:dyDescent="0.3">
      <c r="A8039" s="9">
        <v>8031</v>
      </c>
      <c r="B8039" s="10">
        <f t="shared" ca="1" si="125"/>
        <v>8.6710899955755621E-2</v>
      </c>
      <c r="C8039" s="10">
        <f ca="1">NPV(B8039,Project_FCF!C18:J18)+Project_FCF!B18</f>
        <v>883.34474910240556</v>
      </c>
      <c r="D8039" s="4"/>
      <c r="E8039" s="4"/>
    </row>
    <row r="8040" spans="1:5" x14ac:dyDescent="0.3">
      <c r="A8040" s="9">
        <v>8032</v>
      </c>
      <c r="B8040" s="10">
        <f t="shared" ca="1" si="125"/>
        <v>8.0807949280203045E-2</v>
      </c>
      <c r="C8040" s="10">
        <f ca="1">NPV(B8040,Project_FCF!C18:J18)+Project_FCF!B18</f>
        <v>931.56816309092574</v>
      </c>
      <c r="D8040" s="4"/>
      <c r="E8040" s="4"/>
    </row>
    <row r="8041" spans="1:5" x14ac:dyDescent="0.3">
      <c r="A8041" s="9">
        <v>8033</v>
      </c>
      <c r="B8041" s="10">
        <f t="shared" ca="1" si="125"/>
        <v>6.6457463347369253E-2</v>
      </c>
      <c r="C8041" s="10">
        <f ca="1">NPV(B8041,Project_FCF!C18:J18)+Project_FCF!B18</f>
        <v>1058.7018652470229</v>
      </c>
      <c r="D8041" s="4"/>
      <c r="E8041" s="4"/>
    </row>
    <row r="8042" spans="1:5" x14ac:dyDescent="0.3">
      <c r="A8042" s="9">
        <v>8034</v>
      </c>
      <c r="B8042" s="10">
        <f t="shared" ca="1" si="125"/>
        <v>8.9467932673877246E-2</v>
      </c>
      <c r="C8042" s="10">
        <f ca="1">NPV(B8042,Project_FCF!C18:J18)+Project_FCF!B18</f>
        <v>861.57987240909847</v>
      </c>
      <c r="D8042" s="4"/>
      <c r="E8042" s="4"/>
    </row>
    <row r="8043" spans="1:5" x14ac:dyDescent="0.3">
      <c r="A8043" s="9">
        <v>8035</v>
      </c>
      <c r="B8043" s="10">
        <f t="shared" ca="1" si="125"/>
        <v>9.1866163612628782E-2</v>
      </c>
      <c r="C8043" s="10">
        <f ca="1">NPV(B8043,Project_FCF!C18:J18)+Project_FCF!B18</f>
        <v>843.027385839011</v>
      </c>
      <c r="D8043" s="4"/>
      <c r="E8043" s="4"/>
    </row>
    <row r="8044" spans="1:5" x14ac:dyDescent="0.3">
      <c r="A8044" s="9">
        <v>8036</v>
      </c>
      <c r="B8044" s="10">
        <f t="shared" ca="1" si="125"/>
        <v>8.1445658809257554E-2</v>
      </c>
      <c r="C8044" s="10">
        <f ca="1">NPV(B8044,Project_FCF!C18:J18)+Project_FCF!B18</f>
        <v>926.24923875194304</v>
      </c>
      <c r="D8044" s="4"/>
      <c r="E8044" s="4"/>
    </row>
    <row r="8045" spans="1:5" x14ac:dyDescent="0.3">
      <c r="A8045" s="9">
        <v>8037</v>
      </c>
      <c r="B8045" s="10">
        <f t="shared" ca="1" si="125"/>
        <v>6.5307923614177532E-2</v>
      </c>
      <c r="C8045" s="10">
        <f ca="1">NPV(B8045,Project_FCF!C18:J18)+Project_FCF!B18</f>
        <v>1069.5331726793015</v>
      </c>
      <c r="D8045" s="4"/>
      <c r="E8045" s="4"/>
    </row>
    <row r="8046" spans="1:5" x14ac:dyDescent="0.3">
      <c r="A8046" s="9">
        <v>8038</v>
      </c>
      <c r="B8046" s="10">
        <f t="shared" ca="1" si="125"/>
        <v>9.8850030799089467E-2</v>
      </c>
      <c r="C8046" s="10">
        <f ca="1">NPV(B8046,Project_FCF!C18:J18)+Project_FCF!B18</f>
        <v>790.94300876930856</v>
      </c>
      <c r="D8046" s="4"/>
      <c r="E8046" s="4"/>
    </row>
    <row r="8047" spans="1:5" x14ac:dyDescent="0.3">
      <c r="A8047" s="9">
        <v>8039</v>
      </c>
      <c r="B8047" s="10">
        <f t="shared" ca="1" si="125"/>
        <v>0.10140766125489822</v>
      </c>
      <c r="C8047" s="10">
        <f ca="1">NPV(B8047,Project_FCF!C18:J18)+Project_FCF!B18</f>
        <v>772.56686807330789</v>
      </c>
      <c r="D8047" s="4"/>
      <c r="E8047" s="4"/>
    </row>
    <row r="8048" spans="1:5" x14ac:dyDescent="0.3">
      <c r="A8048" s="9">
        <v>8040</v>
      </c>
      <c r="B8048" s="10">
        <f t="shared" ca="1" si="125"/>
        <v>0.10266353873825135</v>
      </c>
      <c r="C8048" s="10">
        <f ca="1">NPV(B8048,Project_FCF!C18:J18)+Project_FCF!B18</f>
        <v>763.67630338811477</v>
      </c>
      <c r="D8048" s="4"/>
      <c r="E8048" s="4"/>
    </row>
    <row r="8049" spans="1:5" x14ac:dyDescent="0.3">
      <c r="A8049" s="9">
        <v>8041</v>
      </c>
      <c r="B8049" s="10">
        <f t="shared" ca="1" si="125"/>
        <v>7.8683769353311506E-2</v>
      </c>
      <c r="C8049" s="10">
        <f ca="1">NPV(B8049,Project_FCF!C18:J18)+Project_FCF!B18</f>
        <v>949.48075732786015</v>
      </c>
      <c r="D8049" s="4"/>
      <c r="E8049" s="4"/>
    </row>
    <row r="8050" spans="1:5" x14ac:dyDescent="0.3">
      <c r="A8050" s="9">
        <v>8042</v>
      </c>
      <c r="B8050" s="10">
        <f t="shared" ca="1" si="125"/>
        <v>8.0800392443560937E-2</v>
      </c>
      <c r="C8050" s="10">
        <f ca="1">NPV(B8050,Project_FCF!C18:J18)+Project_FCF!B18</f>
        <v>931.63135363353604</v>
      </c>
      <c r="D8050" s="4"/>
      <c r="E8050" s="4"/>
    </row>
    <row r="8051" spans="1:5" x14ac:dyDescent="0.3">
      <c r="A8051" s="9">
        <v>8043</v>
      </c>
      <c r="B8051" s="10">
        <f t="shared" ca="1" si="125"/>
        <v>9.5281348641435254E-2</v>
      </c>
      <c r="C8051" s="10">
        <f ca="1">NPV(B8051,Project_FCF!C18:J18)+Project_FCF!B18</f>
        <v>817.202530155369</v>
      </c>
      <c r="D8051" s="4"/>
      <c r="E8051" s="4"/>
    </row>
    <row r="8052" spans="1:5" x14ac:dyDescent="0.3">
      <c r="A8052" s="9">
        <v>8044</v>
      </c>
      <c r="B8052" s="10">
        <f t="shared" ca="1" si="125"/>
        <v>9.9054116457607616E-2</v>
      </c>
      <c r="C8052" s="10">
        <f ca="1">NPV(B8052,Project_FCF!C18:J18)+Project_FCF!B18</f>
        <v>789.46323683754463</v>
      </c>
      <c r="D8052" s="4"/>
      <c r="E8052" s="4"/>
    </row>
    <row r="8053" spans="1:5" x14ac:dyDescent="0.3">
      <c r="A8053" s="9">
        <v>8045</v>
      </c>
      <c r="B8053" s="10">
        <f t="shared" ca="1" si="125"/>
        <v>9.1104008789406415E-2</v>
      </c>
      <c r="C8053" s="10">
        <f ca="1">NPV(B8053,Project_FCF!C18:J18)+Project_FCF!B18</f>
        <v>848.88552771678496</v>
      </c>
      <c r="D8053" s="4"/>
      <c r="E8053" s="4"/>
    </row>
    <row r="8054" spans="1:5" x14ac:dyDescent="0.3">
      <c r="A8054" s="9">
        <v>8046</v>
      </c>
      <c r="B8054" s="10">
        <f t="shared" ca="1" si="125"/>
        <v>8.8930959482852887E-2</v>
      </c>
      <c r="C8054" s="10">
        <f ca="1">NPV(B8054,Project_FCF!C18:J18)+Project_FCF!B18</f>
        <v>865.78195504789164</v>
      </c>
      <c r="D8054" s="4"/>
      <c r="E8054" s="4"/>
    </row>
    <row r="8055" spans="1:5" x14ac:dyDescent="0.3">
      <c r="A8055" s="9">
        <v>8047</v>
      </c>
      <c r="B8055" s="10">
        <f t="shared" ca="1" si="125"/>
        <v>8.7220804170359351E-2</v>
      </c>
      <c r="C8055" s="10">
        <f ca="1">NPV(B8055,Project_FCF!C18:J18)+Project_FCF!B18</f>
        <v>879.28370786115784</v>
      </c>
      <c r="D8055" s="4"/>
      <c r="E8055" s="4"/>
    </row>
    <row r="8056" spans="1:5" x14ac:dyDescent="0.3">
      <c r="A8056" s="9">
        <v>8048</v>
      </c>
      <c r="B8056" s="10">
        <f t="shared" ca="1" si="125"/>
        <v>8.9692652594953751E-2</v>
      </c>
      <c r="C8056" s="10">
        <f ca="1">NPV(B8056,Project_FCF!C18:J18)+Project_FCF!B18</f>
        <v>859.82658564224153</v>
      </c>
      <c r="D8056" s="4"/>
      <c r="E8056" s="4"/>
    </row>
    <row r="8057" spans="1:5" x14ac:dyDescent="0.3">
      <c r="A8057" s="9">
        <v>8049</v>
      </c>
      <c r="B8057" s="10">
        <f t="shared" ca="1" si="125"/>
        <v>8.2250670862024811E-2</v>
      </c>
      <c r="C8057" s="10">
        <f ca="1">NPV(B8057,Project_FCF!C18:J18)+Project_FCF!B18</f>
        <v>919.57319035721002</v>
      </c>
      <c r="D8057" s="4"/>
      <c r="E8057" s="4"/>
    </row>
    <row r="8058" spans="1:5" x14ac:dyDescent="0.3">
      <c r="A8058" s="9">
        <v>8050</v>
      </c>
      <c r="B8058" s="10">
        <f t="shared" ca="1" si="125"/>
        <v>7.9177719785458581E-2</v>
      </c>
      <c r="C8058" s="10">
        <f ca="1">NPV(B8058,Project_FCF!C18:J18)+Project_FCF!B18</f>
        <v>945.28839734402163</v>
      </c>
      <c r="D8058" s="4"/>
      <c r="E8058" s="4"/>
    </row>
    <row r="8059" spans="1:5" x14ac:dyDescent="0.3">
      <c r="A8059" s="9">
        <v>8051</v>
      </c>
      <c r="B8059" s="10">
        <f t="shared" ca="1" si="125"/>
        <v>0.10294776479499433</v>
      </c>
      <c r="C8059" s="10">
        <f ca="1">NPV(B8059,Project_FCF!C18:J18)+Project_FCF!B18</f>
        <v>761.67620308588539</v>
      </c>
      <c r="D8059" s="4"/>
      <c r="E8059" s="4"/>
    </row>
    <row r="8060" spans="1:5" x14ac:dyDescent="0.3">
      <c r="A8060" s="9">
        <v>8052</v>
      </c>
      <c r="B8060" s="10">
        <f t="shared" ca="1" si="125"/>
        <v>9.9168491707862322E-2</v>
      </c>
      <c r="C8060" s="10">
        <f ca="1">NPV(B8060,Project_FCF!C18:J18)+Project_FCF!B18</f>
        <v>788.63495847837066</v>
      </c>
      <c r="D8060" s="4"/>
      <c r="E8060" s="4"/>
    </row>
    <row r="8061" spans="1:5" x14ac:dyDescent="0.3">
      <c r="A8061" s="9">
        <v>8053</v>
      </c>
      <c r="B8061" s="10">
        <f t="shared" ca="1" si="125"/>
        <v>8.5160688349972591E-2</v>
      </c>
      <c r="C8061" s="10">
        <f ca="1">NPV(B8061,Project_FCF!C18:J18)+Project_FCF!B18</f>
        <v>895.79191926471412</v>
      </c>
      <c r="D8061" s="4"/>
      <c r="E8061" s="4"/>
    </row>
    <row r="8062" spans="1:5" x14ac:dyDescent="0.3">
      <c r="A8062" s="9">
        <v>8054</v>
      </c>
      <c r="B8062" s="10">
        <f t="shared" ca="1" si="125"/>
        <v>8.0590699690662168E-2</v>
      </c>
      <c r="C8062" s="10">
        <f ca="1">NPV(B8062,Project_FCF!C18:J18)+Project_FCF!B18</f>
        <v>933.38632443868755</v>
      </c>
      <c r="D8062" s="4"/>
      <c r="E8062" s="4"/>
    </row>
    <row r="8063" spans="1:5" x14ac:dyDescent="0.3">
      <c r="A8063" s="9">
        <v>8055</v>
      </c>
      <c r="B8063" s="10">
        <f t="shared" ca="1" si="125"/>
        <v>9.8166662997711443E-2</v>
      </c>
      <c r="C8063" s="10">
        <f ca="1">NPV(B8063,Project_FCF!C18:J18)+Project_FCF!B18</f>
        <v>795.91507708826111</v>
      </c>
      <c r="D8063" s="4"/>
      <c r="E8063" s="4"/>
    </row>
    <row r="8064" spans="1:5" x14ac:dyDescent="0.3">
      <c r="A8064" s="9">
        <v>8056</v>
      </c>
      <c r="B8064" s="10">
        <f t="shared" ca="1" si="125"/>
        <v>9.094652193664822E-2</v>
      </c>
      <c r="C8064" s="10">
        <f ca="1">NPV(B8064,Project_FCF!C18:J18)+Project_FCF!B18</f>
        <v>850.10039000204006</v>
      </c>
      <c r="D8064" s="4"/>
      <c r="E8064" s="4"/>
    </row>
    <row r="8065" spans="1:5" x14ac:dyDescent="0.3">
      <c r="A8065" s="9">
        <v>8057</v>
      </c>
      <c r="B8065" s="10">
        <f t="shared" ca="1" si="125"/>
        <v>9.3499781178994004E-2</v>
      </c>
      <c r="C8065" s="10">
        <f ca="1">NPV(B8065,Project_FCF!C18:J18)+Project_FCF!B18</f>
        <v>830.58820532341224</v>
      </c>
      <c r="D8065" s="4"/>
      <c r="E8065" s="4"/>
    </row>
    <row r="8066" spans="1:5" x14ac:dyDescent="0.3">
      <c r="A8066" s="9">
        <v>8058</v>
      </c>
      <c r="B8066" s="10">
        <f t="shared" ca="1" si="125"/>
        <v>7.864601667065127E-2</v>
      </c>
      <c r="C8066" s="10">
        <f ca="1">NPV(B8066,Project_FCF!C18:J18)+Project_FCF!B18</f>
        <v>949.80185775656741</v>
      </c>
      <c r="D8066" s="4"/>
      <c r="E8066" s="4"/>
    </row>
    <row r="8067" spans="1:5" x14ac:dyDescent="0.3">
      <c r="A8067" s="9">
        <v>8059</v>
      </c>
      <c r="B8067" s="10">
        <f t="shared" ca="1" si="125"/>
        <v>7.2201037596972564E-2</v>
      </c>
      <c r="C8067" s="10">
        <f ca="1">NPV(B8067,Project_FCF!C18:J18)+Project_FCF!B18</f>
        <v>1006.0599874937093</v>
      </c>
      <c r="D8067" s="4"/>
      <c r="E8067" s="4"/>
    </row>
    <row r="8068" spans="1:5" x14ac:dyDescent="0.3">
      <c r="A8068" s="9">
        <v>8060</v>
      </c>
      <c r="B8068" s="10">
        <f t="shared" ca="1" si="125"/>
        <v>0.10241009712835586</v>
      </c>
      <c r="C8068" s="10">
        <f ca="1">NPV(B8068,Project_FCF!C18:J18)+Project_FCF!B18</f>
        <v>765.46349266984407</v>
      </c>
      <c r="D8068" s="4"/>
      <c r="E8068" s="4"/>
    </row>
    <row r="8069" spans="1:5" x14ac:dyDescent="0.3">
      <c r="A8069" s="9">
        <v>8061</v>
      </c>
      <c r="B8069" s="10">
        <f t="shared" ca="1" si="125"/>
        <v>9.4826826447037091E-2</v>
      </c>
      <c r="C8069" s="10">
        <f ca="1">NPV(B8069,Project_FCF!C18:J18)+Project_FCF!B18</f>
        <v>820.59985434404553</v>
      </c>
      <c r="D8069" s="4"/>
      <c r="E8069" s="4"/>
    </row>
    <row r="8070" spans="1:5" x14ac:dyDescent="0.3">
      <c r="A8070" s="9">
        <v>8062</v>
      </c>
      <c r="B8070" s="10">
        <f t="shared" ca="1" si="125"/>
        <v>9.2331623391865666E-2</v>
      </c>
      <c r="C8070" s="10">
        <f ca="1">NPV(B8070,Project_FCF!C18:J18)+Project_FCF!B18</f>
        <v>839.4669091637536</v>
      </c>
      <c r="D8070" s="4"/>
      <c r="E8070" s="4"/>
    </row>
    <row r="8071" spans="1:5" x14ac:dyDescent="0.3">
      <c r="A8071" s="9">
        <v>8063</v>
      </c>
      <c r="B8071" s="10">
        <f t="shared" ca="1" si="125"/>
        <v>8.6361455818493249E-2</v>
      </c>
      <c r="C8071" s="10">
        <f ca="1">NPV(B8071,Project_FCF!C18:J18)+Project_FCF!B18</f>
        <v>886.1372774921133</v>
      </c>
      <c r="D8071" s="4"/>
      <c r="E8071" s="4"/>
    </row>
    <row r="8072" spans="1:5" x14ac:dyDescent="0.3">
      <c r="A8072" s="9">
        <v>8064</v>
      </c>
      <c r="B8072" s="10">
        <f t="shared" ca="1" si="125"/>
        <v>6.5246921814747297E-2</v>
      </c>
      <c r="C8072" s="10">
        <f ca="1">NPV(B8072,Project_FCF!C18:J18)+Project_FCF!B18</f>
        <v>1070.1107612706269</v>
      </c>
      <c r="D8072" s="4"/>
      <c r="E8072" s="4"/>
    </row>
    <row r="8073" spans="1:5" x14ac:dyDescent="0.3">
      <c r="A8073" s="9">
        <v>8065</v>
      </c>
      <c r="B8073" s="10">
        <f t="shared" ref="B8073:B8136" ca="1" si="126">$B$4+RAND()*($B$5-$B$4)</f>
        <v>7.8254265686166322E-2</v>
      </c>
      <c r="C8073" s="10">
        <f ca="1">NPV(B8073,Project_FCF!C18:J18)+Project_FCF!B18</f>
        <v>953.13954206248695</v>
      </c>
      <c r="D8073" s="4"/>
      <c r="E8073" s="4"/>
    </row>
    <row r="8074" spans="1:5" x14ac:dyDescent="0.3">
      <c r="A8074" s="9">
        <v>8066</v>
      </c>
      <c r="B8074" s="10">
        <f t="shared" ca="1" si="126"/>
        <v>6.9169367319419375E-2</v>
      </c>
      <c r="C8074" s="10">
        <f ca="1">NPV(B8074,Project_FCF!C18:J18)+Project_FCF!B18</f>
        <v>1033.5434379568894</v>
      </c>
      <c r="D8074" s="4"/>
      <c r="E8074" s="4"/>
    </row>
    <row r="8075" spans="1:5" x14ac:dyDescent="0.3">
      <c r="A8075" s="9">
        <v>8067</v>
      </c>
      <c r="B8075" s="10">
        <f t="shared" ca="1" si="126"/>
        <v>7.2509374401797069E-2</v>
      </c>
      <c r="C8075" s="10">
        <f ca="1">NPV(B8075,Project_FCF!C18:J18)+Project_FCF!B18</f>
        <v>1003.3020215246288</v>
      </c>
      <c r="D8075" s="4"/>
      <c r="E8075" s="4"/>
    </row>
    <row r="8076" spans="1:5" x14ac:dyDescent="0.3">
      <c r="A8076" s="9">
        <v>8068</v>
      </c>
      <c r="B8076" s="10">
        <f t="shared" ca="1" si="126"/>
        <v>7.298040908296495E-2</v>
      </c>
      <c r="C8076" s="10">
        <f ca="1">NPV(B8076,Project_FCF!C18:J18)+Project_FCF!B18</f>
        <v>999.10190331877243</v>
      </c>
      <c r="D8076" s="4"/>
      <c r="E8076" s="4"/>
    </row>
    <row r="8077" spans="1:5" x14ac:dyDescent="0.3">
      <c r="A8077" s="9">
        <v>8069</v>
      </c>
      <c r="B8077" s="10">
        <f t="shared" ca="1" si="126"/>
        <v>7.019362095536133E-2</v>
      </c>
      <c r="C8077" s="10">
        <f ca="1">NPV(B8077,Project_FCF!C18:J18)+Project_FCF!B18</f>
        <v>1024.1832341357363</v>
      </c>
      <c r="D8077" s="4"/>
      <c r="E8077" s="4"/>
    </row>
    <row r="8078" spans="1:5" x14ac:dyDescent="0.3">
      <c r="A8078" s="9">
        <v>8070</v>
      </c>
      <c r="B8078" s="10">
        <f t="shared" ca="1" si="126"/>
        <v>9.2404888030512569E-2</v>
      </c>
      <c r="C8078" s="10">
        <f ca="1">NPV(B8078,Project_FCF!C18:J18)+Project_FCF!B18</f>
        <v>838.90766263956175</v>
      </c>
      <c r="D8078" s="4"/>
      <c r="E8078" s="4"/>
    </row>
    <row r="8079" spans="1:5" x14ac:dyDescent="0.3">
      <c r="A8079" s="9">
        <v>8071</v>
      </c>
      <c r="B8079" s="10">
        <f t="shared" ca="1" si="126"/>
        <v>0.10016888043081922</v>
      </c>
      <c r="C8079" s="10">
        <f ca="1">NPV(B8079,Project_FCF!C18:J18)+Project_FCF!B18</f>
        <v>781.42169608919562</v>
      </c>
      <c r="D8079" s="4"/>
      <c r="E8079" s="4"/>
    </row>
    <row r="8080" spans="1:5" x14ac:dyDescent="0.3">
      <c r="A8080" s="9">
        <v>8072</v>
      </c>
      <c r="B8080" s="10">
        <f t="shared" ca="1" si="126"/>
        <v>8.7757958244010642E-2</v>
      </c>
      <c r="C8080" s="10">
        <f ca="1">NPV(B8080,Project_FCF!C18:J18)+Project_FCF!B18</f>
        <v>875.0232521344069</v>
      </c>
      <c r="D8080" s="4"/>
      <c r="E8080" s="4"/>
    </row>
    <row r="8081" spans="1:5" x14ac:dyDescent="0.3">
      <c r="A8081" s="9">
        <v>8073</v>
      </c>
      <c r="B8081" s="10">
        <f t="shared" ca="1" si="126"/>
        <v>9.7411512442883291E-2</v>
      </c>
      <c r="C8081" s="10">
        <f ca="1">NPV(B8081,Project_FCF!C18:J18)+Project_FCF!B18</f>
        <v>801.44028715378681</v>
      </c>
      <c r="D8081" s="4"/>
      <c r="E8081" s="4"/>
    </row>
    <row r="8082" spans="1:5" x14ac:dyDescent="0.3">
      <c r="A8082" s="9">
        <v>8074</v>
      </c>
      <c r="B8082" s="10">
        <f t="shared" ca="1" si="126"/>
        <v>9.0745252050719538E-2</v>
      </c>
      <c r="C8082" s="10">
        <f ca="1">NPV(B8082,Project_FCF!C18:J18)+Project_FCF!B18</f>
        <v>851.65518445108478</v>
      </c>
      <c r="D8082" s="4"/>
      <c r="E8082" s="4"/>
    </row>
    <row r="8083" spans="1:5" x14ac:dyDescent="0.3">
      <c r="A8083" s="9">
        <v>8075</v>
      </c>
      <c r="B8083" s="10">
        <f t="shared" ca="1" si="126"/>
        <v>7.1980539691078108E-2</v>
      </c>
      <c r="C8083" s="10">
        <f ca="1">NPV(B8083,Project_FCF!C18:J18)+Project_FCF!B18</f>
        <v>1008.0364461911304</v>
      </c>
      <c r="D8083" s="4"/>
      <c r="E8083" s="4"/>
    </row>
    <row r="8084" spans="1:5" x14ac:dyDescent="0.3">
      <c r="A8084" s="9">
        <v>8076</v>
      </c>
      <c r="B8084" s="10">
        <f t="shared" ca="1" si="126"/>
        <v>7.0939602319571041E-2</v>
      </c>
      <c r="C8084" s="10">
        <f ca="1">NPV(B8084,Project_FCF!C18:J18)+Project_FCF!B18</f>
        <v>1017.4143186646079</v>
      </c>
      <c r="D8084" s="4"/>
      <c r="E8084" s="4"/>
    </row>
    <row r="8085" spans="1:5" x14ac:dyDescent="0.3">
      <c r="A8085" s="9">
        <v>8077</v>
      </c>
      <c r="B8085" s="10">
        <f t="shared" ca="1" si="126"/>
        <v>8.040748925826495E-2</v>
      </c>
      <c r="C8085" s="10">
        <f ca="1">NPV(B8085,Project_FCF!C18:J18)+Project_FCF!B18</f>
        <v>934.92205076600976</v>
      </c>
      <c r="D8085" s="4"/>
      <c r="E8085" s="4"/>
    </row>
    <row r="8086" spans="1:5" x14ac:dyDescent="0.3">
      <c r="A8086" s="9">
        <v>8078</v>
      </c>
      <c r="B8086" s="10">
        <f t="shared" ca="1" si="126"/>
        <v>9.5480940845995343E-2</v>
      </c>
      <c r="C8086" s="10">
        <f ca="1">NPV(B8086,Project_FCF!C18:J18)+Project_FCF!B18</f>
        <v>815.71448661863178</v>
      </c>
      <c r="D8086" s="4"/>
      <c r="E8086" s="4"/>
    </row>
    <row r="8087" spans="1:5" x14ac:dyDescent="0.3">
      <c r="A8087" s="9">
        <v>8079</v>
      </c>
      <c r="B8087" s="10">
        <f t="shared" ca="1" si="126"/>
        <v>7.8763652978897924E-2</v>
      </c>
      <c r="C8087" s="10">
        <f ca="1">NPV(B8087,Project_FCF!C18:J18)+Project_FCF!B18</f>
        <v>948.80163552196586</v>
      </c>
      <c r="D8087" s="4"/>
      <c r="E8087" s="4"/>
    </row>
    <row r="8088" spans="1:5" x14ac:dyDescent="0.3">
      <c r="A8088" s="9">
        <v>8080</v>
      </c>
      <c r="B8088" s="10">
        <f t="shared" ca="1" si="126"/>
        <v>8.0139153443819611E-2</v>
      </c>
      <c r="C8088" s="10">
        <f ca="1">NPV(B8088,Project_FCF!C18:J18)+Project_FCF!B18</f>
        <v>937.17535970440144</v>
      </c>
      <c r="D8088" s="4"/>
      <c r="E8088" s="4"/>
    </row>
    <row r="8089" spans="1:5" x14ac:dyDescent="0.3">
      <c r="A8089" s="9">
        <v>8081</v>
      </c>
      <c r="B8089" s="10">
        <f t="shared" ca="1" si="126"/>
        <v>9.7859924693945027E-2</v>
      </c>
      <c r="C8089" s="10">
        <f ca="1">NPV(B8089,Project_FCF!C18:J18)+Project_FCF!B18</f>
        <v>798.15547001997948</v>
      </c>
      <c r="D8089" s="4"/>
      <c r="E8089" s="4"/>
    </row>
    <row r="8090" spans="1:5" x14ac:dyDescent="0.3">
      <c r="A8090" s="9">
        <v>8082</v>
      </c>
      <c r="B8090" s="10">
        <f t="shared" ca="1" si="126"/>
        <v>6.4671685062044751E-2</v>
      </c>
      <c r="C8090" s="10">
        <f ca="1">NPV(B8090,Project_FCF!C18:J18)+Project_FCF!B18</f>
        <v>1075.57133474537</v>
      </c>
      <c r="D8090" s="4"/>
      <c r="E8090" s="4"/>
    </row>
    <row r="8091" spans="1:5" x14ac:dyDescent="0.3">
      <c r="A8091" s="9">
        <v>8083</v>
      </c>
      <c r="B8091" s="10">
        <f t="shared" ca="1" si="126"/>
        <v>9.0905045203866622E-2</v>
      </c>
      <c r="C8091" s="10">
        <f ca="1">NPV(B8091,Project_FCF!C18:J18)+Project_FCF!B18</f>
        <v>850.42059368766627</v>
      </c>
      <c r="D8091" s="4"/>
      <c r="E8091" s="4"/>
    </row>
    <row r="8092" spans="1:5" x14ac:dyDescent="0.3">
      <c r="A8092" s="9">
        <v>8084</v>
      </c>
      <c r="B8092" s="10">
        <f t="shared" ca="1" si="126"/>
        <v>9.4721595966598085E-2</v>
      </c>
      <c r="C8092" s="10">
        <f ca="1">NPV(B8092,Project_FCF!C18:J18)+Project_FCF!B18</f>
        <v>821.38812083791231</v>
      </c>
      <c r="D8092" s="4"/>
      <c r="E8092" s="4"/>
    </row>
    <row r="8093" spans="1:5" x14ac:dyDescent="0.3">
      <c r="A8093" s="9">
        <v>8085</v>
      </c>
      <c r="B8093" s="10">
        <f t="shared" ca="1" si="126"/>
        <v>8.5270707044539804E-2</v>
      </c>
      <c r="C8093" s="10">
        <f ca="1">NPV(B8093,Project_FCF!C18:J18)+Project_FCF!B18</f>
        <v>894.90351252693949</v>
      </c>
      <c r="D8093" s="4"/>
      <c r="E8093" s="4"/>
    </row>
    <row r="8094" spans="1:5" x14ac:dyDescent="0.3">
      <c r="A8094" s="9">
        <v>8086</v>
      </c>
      <c r="B8094" s="10">
        <f t="shared" ca="1" si="126"/>
        <v>7.4878766008112302E-2</v>
      </c>
      <c r="C8094" s="10">
        <f ca="1">NPV(B8094,Project_FCF!C18:J18)+Project_FCF!B18</f>
        <v>982.33414992844223</v>
      </c>
      <c r="D8094" s="4"/>
      <c r="E8094" s="4"/>
    </row>
    <row r="8095" spans="1:5" x14ac:dyDescent="0.3">
      <c r="A8095" s="9">
        <v>8087</v>
      </c>
      <c r="B8095" s="10">
        <f t="shared" ca="1" si="126"/>
        <v>6.9546593809274651E-2</v>
      </c>
      <c r="C8095" s="10">
        <f ca="1">NPV(B8095,Project_FCF!C18:J18)+Project_FCF!B18</f>
        <v>1030.0871694916652</v>
      </c>
      <c r="D8095" s="4"/>
      <c r="E8095" s="4"/>
    </row>
    <row r="8096" spans="1:5" x14ac:dyDescent="0.3">
      <c r="A8096" s="9">
        <v>8088</v>
      </c>
      <c r="B8096" s="10">
        <f t="shared" ca="1" si="126"/>
        <v>7.0262260967119058E-2</v>
      </c>
      <c r="C8096" s="10">
        <f ca="1">NPV(B8096,Project_FCF!C18:J18)+Project_FCF!B18</f>
        <v>1023.558711508329</v>
      </c>
      <c r="D8096" s="4"/>
      <c r="E8096" s="4"/>
    </row>
    <row r="8097" spans="1:5" x14ac:dyDescent="0.3">
      <c r="A8097" s="9">
        <v>8089</v>
      </c>
      <c r="B8097" s="10">
        <f t="shared" ca="1" si="126"/>
        <v>7.0640461724984879E-2</v>
      </c>
      <c r="C8097" s="10">
        <f ca="1">NPV(B8097,Project_FCF!C18:J18)+Project_FCF!B18</f>
        <v>1020.1238073845334</v>
      </c>
      <c r="D8097" s="4"/>
      <c r="E8097" s="4"/>
    </row>
    <row r="8098" spans="1:5" x14ac:dyDescent="0.3">
      <c r="A8098" s="9">
        <v>8090</v>
      </c>
      <c r="B8098" s="10">
        <f t="shared" ca="1" si="126"/>
        <v>0.10076351508356679</v>
      </c>
      <c r="C8098" s="10">
        <f ca="1">NPV(B8098,Project_FCF!C18:J18)+Project_FCF!B18</f>
        <v>777.16060572494325</v>
      </c>
      <c r="D8098" s="4"/>
      <c r="E8098" s="4"/>
    </row>
    <row r="8099" spans="1:5" x14ac:dyDescent="0.3">
      <c r="A8099" s="9">
        <v>8091</v>
      </c>
      <c r="B8099" s="10">
        <f t="shared" ca="1" si="126"/>
        <v>9.8006333576111077E-2</v>
      </c>
      <c r="C8099" s="10">
        <f ca="1">NPV(B8099,Project_FCF!C18:J18)+Project_FCF!B18</f>
        <v>797.08544314503501</v>
      </c>
      <c r="D8099" s="4"/>
      <c r="E8099" s="4"/>
    </row>
    <row r="8100" spans="1:5" x14ac:dyDescent="0.3">
      <c r="A8100" s="9">
        <v>8092</v>
      </c>
      <c r="B8100" s="10">
        <f t="shared" ca="1" si="126"/>
        <v>7.359023424796203E-2</v>
      </c>
      <c r="C8100" s="10">
        <f ca="1">NPV(B8100,Project_FCF!C18:J18)+Project_FCF!B18</f>
        <v>993.68768383858173</v>
      </c>
      <c r="D8100" s="4"/>
      <c r="E8100" s="4"/>
    </row>
    <row r="8101" spans="1:5" x14ac:dyDescent="0.3">
      <c r="A8101" s="9">
        <v>8093</v>
      </c>
      <c r="B8101" s="10">
        <f t="shared" ca="1" si="126"/>
        <v>6.9551730659728986E-2</v>
      </c>
      <c r="C8101" s="10">
        <f ca="1">NPV(B8101,Project_FCF!C18:J18)+Project_FCF!B18</f>
        <v>1030.0401762976869</v>
      </c>
      <c r="D8101" s="4"/>
      <c r="E8101" s="4"/>
    </row>
    <row r="8102" spans="1:5" x14ac:dyDescent="0.3">
      <c r="A8102" s="9">
        <v>8094</v>
      </c>
      <c r="B8102" s="10">
        <f t="shared" ca="1" si="126"/>
        <v>8.3973279319753291E-2</v>
      </c>
      <c r="C8102" s="10">
        <f ca="1">NPV(B8102,Project_FCF!C18:J18)+Project_FCF!B18</f>
        <v>905.42961484201214</v>
      </c>
      <c r="D8102" s="4"/>
      <c r="E8102" s="4"/>
    </row>
    <row r="8103" spans="1:5" x14ac:dyDescent="0.3">
      <c r="A8103" s="9">
        <v>8095</v>
      </c>
      <c r="B8103" s="10">
        <f t="shared" ca="1" si="126"/>
        <v>7.1113483101440736E-2</v>
      </c>
      <c r="C8103" s="10">
        <f ca="1">NPV(B8103,Project_FCF!C18:J18)+Project_FCF!B18</f>
        <v>1015.842365525051</v>
      </c>
      <c r="D8103" s="4"/>
      <c r="E8103" s="4"/>
    </row>
    <row r="8104" spans="1:5" x14ac:dyDescent="0.3">
      <c r="A8104" s="9">
        <v>8096</v>
      </c>
      <c r="B8104" s="10">
        <f t="shared" ca="1" si="126"/>
        <v>9.9122893726156902E-2</v>
      </c>
      <c r="C8104" s="10">
        <f ca="1">NPV(B8104,Project_FCF!C18:J18)+Project_FCF!B18</f>
        <v>788.9650798826076</v>
      </c>
      <c r="D8104" s="4"/>
      <c r="E8104" s="4"/>
    </row>
    <row r="8105" spans="1:5" x14ac:dyDescent="0.3">
      <c r="A8105" s="9">
        <v>8097</v>
      </c>
      <c r="B8105" s="10">
        <f t="shared" ca="1" si="126"/>
        <v>9.7923508615274657E-2</v>
      </c>
      <c r="C8105" s="10">
        <f ca="1">NPV(B8105,Project_FCF!C18:J18)+Project_FCF!B18</f>
        <v>797.69061808781385</v>
      </c>
      <c r="D8105" s="4"/>
      <c r="E8105" s="4"/>
    </row>
    <row r="8106" spans="1:5" x14ac:dyDescent="0.3">
      <c r="A8106" s="9">
        <v>8098</v>
      </c>
      <c r="B8106" s="10">
        <f t="shared" ca="1" si="126"/>
        <v>0.10297628591850536</v>
      </c>
      <c r="C8106" s="10">
        <f ca="1">NPV(B8106,Project_FCF!C18:J18)+Project_FCF!B18</f>
        <v>761.4757428406599</v>
      </c>
      <c r="D8106" s="4"/>
      <c r="E8106" s="4"/>
    </row>
    <row r="8107" spans="1:5" x14ac:dyDescent="0.3">
      <c r="A8107" s="9">
        <v>8099</v>
      </c>
      <c r="B8107" s="10">
        <f t="shared" ca="1" si="126"/>
        <v>6.4959910564173273E-2</v>
      </c>
      <c r="C8107" s="10">
        <f ca="1">NPV(B8107,Project_FCF!C18:J18)+Project_FCF!B18</f>
        <v>1072.8321147298002</v>
      </c>
      <c r="D8107" s="4"/>
      <c r="E8107" s="4"/>
    </row>
    <row r="8108" spans="1:5" x14ac:dyDescent="0.3">
      <c r="A8108" s="9">
        <v>8100</v>
      </c>
      <c r="B8108" s="10">
        <f t="shared" ca="1" si="126"/>
        <v>6.9066057480054246E-2</v>
      </c>
      <c r="C8108" s="10">
        <f ca="1">NPV(B8108,Project_FCF!C18:J18)+Project_FCF!B18</f>
        <v>1034.4918243646041</v>
      </c>
      <c r="D8108" s="4"/>
      <c r="E8108" s="4"/>
    </row>
    <row r="8109" spans="1:5" x14ac:dyDescent="0.3">
      <c r="A8109" s="9">
        <v>8101</v>
      </c>
      <c r="B8109" s="10">
        <f t="shared" ca="1" si="126"/>
        <v>8.6743465561944164E-2</v>
      </c>
      <c r="C8109" s="10">
        <f ca="1">NPV(B8109,Project_FCF!C18:J18)+Project_FCF!B18</f>
        <v>883.08489788285146</v>
      </c>
      <c r="D8109" s="4"/>
      <c r="E8109" s="4"/>
    </row>
    <row r="8110" spans="1:5" x14ac:dyDescent="0.3">
      <c r="A8110" s="9">
        <v>8102</v>
      </c>
      <c r="B8110" s="10">
        <f t="shared" ca="1" si="126"/>
        <v>7.3245830370312154E-2</v>
      </c>
      <c r="C8110" s="10">
        <f ca="1">NPV(B8110,Project_FCF!C18:J18)+Project_FCF!B18</f>
        <v>996.74216278723179</v>
      </c>
      <c r="D8110" s="4"/>
      <c r="E8110" s="4"/>
    </row>
    <row r="8111" spans="1:5" x14ac:dyDescent="0.3">
      <c r="A8111" s="9">
        <v>8103</v>
      </c>
      <c r="B8111" s="10">
        <f t="shared" ca="1" si="126"/>
        <v>9.733815299364916E-2</v>
      </c>
      <c r="C8111" s="10">
        <f ca="1">NPV(B8111,Project_FCF!C18:J18)+Project_FCF!B18</f>
        <v>801.97877075043175</v>
      </c>
      <c r="D8111" s="4"/>
      <c r="E8111" s="4"/>
    </row>
    <row r="8112" spans="1:5" x14ac:dyDescent="0.3">
      <c r="A8112" s="9">
        <v>8104</v>
      </c>
      <c r="B8112" s="10">
        <f t="shared" ca="1" si="126"/>
        <v>9.8231748034235594E-2</v>
      </c>
      <c r="C8112" s="10">
        <f ca="1">NPV(B8112,Project_FCF!C18:J18)+Project_FCF!B18</f>
        <v>795.4403888855677</v>
      </c>
      <c r="D8112" s="4"/>
      <c r="E8112" s="4"/>
    </row>
    <row r="8113" spans="1:5" x14ac:dyDescent="0.3">
      <c r="A8113" s="9">
        <v>8105</v>
      </c>
      <c r="B8113" s="10">
        <f t="shared" ca="1" si="126"/>
        <v>9.2996838533200801E-2</v>
      </c>
      <c r="C8113" s="10">
        <f ca="1">NPV(B8113,Project_FCF!C18:J18)+Project_FCF!B18</f>
        <v>834.40091776616691</v>
      </c>
      <c r="D8113" s="4"/>
      <c r="E8113" s="4"/>
    </row>
    <row r="8114" spans="1:5" x14ac:dyDescent="0.3">
      <c r="A8114" s="9">
        <v>8106</v>
      </c>
      <c r="B8114" s="10">
        <f t="shared" ca="1" si="126"/>
        <v>9.2944658946760059E-2</v>
      </c>
      <c r="C8114" s="10">
        <f ca="1">NPV(B8114,Project_FCF!C18:J18)+Project_FCF!B18</f>
        <v>834.79734159713439</v>
      </c>
      <c r="D8114" s="4"/>
      <c r="E8114" s="4"/>
    </row>
    <row r="8115" spans="1:5" x14ac:dyDescent="0.3">
      <c r="A8115" s="9">
        <v>8107</v>
      </c>
      <c r="B8115" s="10">
        <f t="shared" ca="1" si="126"/>
        <v>9.5521769497567105E-2</v>
      </c>
      <c r="C8115" s="10">
        <f ca="1">NPV(B8115,Project_FCF!C18:J18)+Project_FCF!B18</f>
        <v>815.41037759547294</v>
      </c>
      <c r="D8115" s="4"/>
      <c r="E8115" s="4"/>
    </row>
    <row r="8116" spans="1:5" x14ac:dyDescent="0.3">
      <c r="A8116" s="9">
        <v>8108</v>
      </c>
      <c r="B8116" s="10">
        <f t="shared" ca="1" si="126"/>
        <v>8.2616550262659058E-2</v>
      </c>
      <c r="C8116" s="10">
        <f ca="1">NPV(B8116,Project_FCF!C18:J18)+Project_FCF!B18</f>
        <v>916.55296227562781</v>
      </c>
      <c r="D8116" s="4"/>
      <c r="E8116" s="4"/>
    </row>
    <row r="8117" spans="1:5" x14ac:dyDescent="0.3">
      <c r="A8117" s="9">
        <v>8109</v>
      </c>
      <c r="B8117" s="10">
        <f t="shared" ca="1" si="126"/>
        <v>9.2396203369848787E-2</v>
      </c>
      <c r="C8117" s="10">
        <f ca="1">NPV(B8117,Project_FCF!C18:J18)+Project_FCF!B18</f>
        <v>838.97393796062693</v>
      </c>
      <c r="D8117" s="4"/>
      <c r="E8117" s="4"/>
    </row>
    <row r="8118" spans="1:5" x14ac:dyDescent="0.3">
      <c r="A8118" s="9">
        <v>8110</v>
      </c>
      <c r="B8118" s="10">
        <f t="shared" ca="1" si="126"/>
        <v>9.8043812234475836E-2</v>
      </c>
      <c r="C8118" s="10">
        <f ca="1">NPV(B8118,Project_FCF!C18:J18)+Project_FCF!B18</f>
        <v>796.81172709775069</v>
      </c>
      <c r="D8118" s="4"/>
      <c r="E8118" s="4"/>
    </row>
    <row r="8119" spans="1:5" x14ac:dyDescent="0.3">
      <c r="A8119" s="9">
        <v>8111</v>
      </c>
      <c r="B8119" s="10">
        <f t="shared" ca="1" si="126"/>
        <v>0.10251194319628817</v>
      </c>
      <c r="C8119" s="10">
        <f ca="1">NPV(B8119,Project_FCF!C18:J18)+Project_FCF!B18</f>
        <v>764.74488478325952</v>
      </c>
      <c r="D8119" s="4"/>
      <c r="E8119" s="4"/>
    </row>
    <row r="8120" spans="1:5" x14ac:dyDescent="0.3">
      <c r="A8120" s="9">
        <v>8112</v>
      </c>
      <c r="B8120" s="10">
        <f t="shared" ca="1" si="126"/>
        <v>0.10185970208843098</v>
      </c>
      <c r="C8120" s="10">
        <f ca="1">NPV(B8120,Project_FCF!C18:J18)+Project_FCF!B18</f>
        <v>769.35681711564098</v>
      </c>
      <c r="D8120" s="4"/>
      <c r="E8120" s="4"/>
    </row>
    <row r="8121" spans="1:5" x14ac:dyDescent="0.3">
      <c r="A8121" s="9">
        <v>8113</v>
      </c>
      <c r="B8121" s="10">
        <f t="shared" ca="1" si="126"/>
        <v>6.6491737029332421E-2</v>
      </c>
      <c r="C8121" s="10">
        <f ca="1">NPV(B8121,Project_FCF!C18:J18)+Project_FCF!B18</f>
        <v>1058.3804671865023</v>
      </c>
      <c r="D8121" s="4"/>
      <c r="E8121" s="4"/>
    </row>
    <row r="8122" spans="1:5" x14ac:dyDescent="0.3">
      <c r="A8122" s="9">
        <v>8114</v>
      </c>
      <c r="B8122" s="10">
        <f t="shared" ca="1" si="126"/>
        <v>8.9069962481103437E-2</v>
      </c>
      <c r="C8122" s="10">
        <f ca="1">NPV(B8122,Project_FCF!C18:J18)+Project_FCF!B18</f>
        <v>864.69248471823789</v>
      </c>
      <c r="D8122" s="4"/>
      <c r="E8122" s="4"/>
    </row>
    <row r="8123" spans="1:5" x14ac:dyDescent="0.3">
      <c r="A8123" s="9">
        <v>8115</v>
      </c>
      <c r="B8123" s="10">
        <f t="shared" ca="1" si="126"/>
        <v>6.7560020825784758E-2</v>
      </c>
      <c r="C8123" s="10">
        <f ca="1">NPV(B8123,Project_FCF!C18:J18)+Project_FCF!B18</f>
        <v>1048.407107555817</v>
      </c>
      <c r="D8123" s="4"/>
      <c r="E8123" s="4"/>
    </row>
    <row r="8124" spans="1:5" x14ac:dyDescent="0.3">
      <c r="A8124" s="9">
        <v>8116</v>
      </c>
      <c r="B8124" s="10">
        <f t="shared" ca="1" si="126"/>
        <v>0.10198740040986627</v>
      </c>
      <c r="C8124" s="10">
        <f ca="1">NPV(B8124,Project_FCF!C18:J18)+Project_FCF!B18</f>
        <v>768.45203770249918</v>
      </c>
      <c r="D8124" s="4"/>
      <c r="E8124" s="4"/>
    </row>
    <row r="8125" spans="1:5" x14ac:dyDescent="0.3">
      <c r="A8125" s="9">
        <v>8117</v>
      </c>
      <c r="B8125" s="10">
        <f t="shared" ca="1" si="126"/>
        <v>8.655924805488846E-2</v>
      </c>
      <c r="C8125" s="10">
        <f ca="1">NPV(B8125,Project_FCF!C18:J18)+Project_FCF!B18</f>
        <v>884.55570655957627</v>
      </c>
      <c r="D8125" s="4"/>
      <c r="E8125" s="4"/>
    </row>
    <row r="8126" spans="1:5" x14ac:dyDescent="0.3">
      <c r="A8126" s="9">
        <v>8118</v>
      </c>
      <c r="B8126" s="10">
        <f t="shared" ca="1" si="126"/>
        <v>7.4881720094602588E-2</v>
      </c>
      <c r="C8126" s="10">
        <f ca="1">NPV(B8126,Project_FCF!C18:J18)+Project_FCF!B18</f>
        <v>982.30825489979952</v>
      </c>
      <c r="D8126" s="4"/>
      <c r="E8126" s="4"/>
    </row>
    <row r="8127" spans="1:5" x14ac:dyDescent="0.3">
      <c r="A8127" s="9">
        <v>8119</v>
      </c>
      <c r="B8127" s="10">
        <f t="shared" ca="1" si="126"/>
        <v>9.5796994580311226E-2</v>
      </c>
      <c r="C8127" s="10">
        <f ca="1">NPV(B8127,Project_FCF!C18:J18)+Project_FCF!B18</f>
        <v>813.36291282547359</v>
      </c>
      <c r="D8127" s="4"/>
      <c r="E8127" s="4"/>
    </row>
    <row r="8128" spans="1:5" x14ac:dyDescent="0.3">
      <c r="A8128" s="9">
        <v>8120</v>
      </c>
      <c r="B8128" s="10">
        <f t="shared" ca="1" si="126"/>
        <v>6.8218298550666939E-2</v>
      </c>
      <c r="C8128" s="10">
        <f ca="1">NPV(B8128,Project_FCF!C18:J18)+Project_FCF!B18</f>
        <v>1042.3040933330435</v>
      </c>
      <c r="D8128" s="4"/>
      <c r="E8128" s="4"/>
    </row>
    <row r="8129" spans="1:5" x14ac:dyDescent="0.3">
      <c r="A8129" s="9">
        <v>8121</v>
      </c>
      <c r="B8129" s="10">
        <f t="shared" ca="1" si="126"/>
        <v>0.10152467806265802</v>
      </c>
      <c r="C8129" s="10">
        <f ca="1">NPV(B8129,Project_FCF!C18:J18)+Project_FCF!B18</f>
        <v>771.73482325845612</v>
      </c>
      <c r="D8129" s="4"/>
      <c r="E8129" s="4"/>
    </row>
    <row r="8130" spans="1:5" x14ac:dyDescent="0.3">
      <c r="A8130" s="9">
        <v>8122</v>
      </c>
      <c r="B8130" s="10">
        <f t="shared" ca="1" si="126"/>
        <v>7.1878382436193614E-2</v>
      </c>
      <c r="C8130" s="10">
        <f ca="1">NPV(B8130,Project_FCF!C18:J18)+Project_FCF!B18</f>
        <v>1008.953328854079</v>
      </c>
      <c r="D8130" s="4"/>
      <c r="E8130" s="4"/>
    </row>
    <row r="8131" spans="1:5" x14ac:dyDescent="0.3">
      <c r="A8131" s="9">
        <v>8123</v>
      </c>
      <c r="B8131" s="10">
        <f t="shared" ca="1" si="126"/>
        <v>9.5511211557564146E-2</v>
      </c>
      <c r="C8131" s="10">
        <f ca="1">NPV(B8131,Project_FCF!C18:J18)+Project_FCF!B18</f>
        <v>815.48900829199647</v>
      </c>
      <c r="D8131" s="4"/>
      <c r="E8131" s="4"/>
    </row>
    <row r="8132" spans="1:5" x14ac:dyDescent="0.3">
      <c r="A8132" s="9">
        <v>8124</v>
      </c>
      <c r="B8132" s="10">
        <f t="shared" ca="1" si="126"/>
        <v>7.998530473267354E-2</v>
      </c>
      <c r="C8132" s="10">
        <f ca="1">NPV(B8132,Project_FCF!C18:J18)+Project_FCF!B18</f>
        <v>938.46944789116583</v>
      </c>
      <c r="D8132" s="4"/>
      <c r="E8132" s="4"/>
    </row>
    <row r="8133" spans="1:5" x14ac:dyDescent="0.3">
      <c r="A8133" s="9">
        <v>8125</v>
      </c>
      <c r="B8133" s="10">
        <f t="shared" ca="1" si="126"/>
        <v>7.9383307309432813E-2</v>
      </c>
      <c r="C8133" s="10">
        <f ca="1">NPV(B8133,Project_FCF!C18:J18)+Project_FCF!B18</f>
        <v>943.54833792291947</v>
      </c>
      <c r="D8133" s="4"/>
      <c r="E8133" s="4"/>
    </row>
    <row r="8134" spans="1:5" x14ac:dyDescent="0.3">
      <c r="A8134" s="9">
        <v>8126</v>
      </c>
      <c r="B8134" s="10">
        <f t="shared" ca="1" si="126"/>
        <v>8.4799964705908337E-2</v>
      </c>
      <c r="C8134" s="10">
        <f ca="1">NPV(B8134,Project_FCF!C18:J18)+Project_FCF!B18</f>
        <v>898.71020278328137</v>
      </c>
      <c r="D8134" s="4"/>
      <c r="E8134" s="4"/>
    </row>
    <row r="8135" spans="1:5" x14ac:dyDescent="0.3">
      <c r="A8135" s="9">
        <v>8127</v>
      </c>
      <c r="B8135" s="10">
        <f t="shared" ca="1" si="126"/>
        <v>7.7221112463253638E-2</v>
      </c>
      <c r="C8135" s="10">
        <f ca="1">NPV(B8135,Project_FCF!C18:J18)+Project_FCF!B18</f>
        <v>961.99199462641354</v>
      </c>
      <c r="D8135" s="4"/>
      <c r="E8135" s="4"/>
    </row>
    <row r="8136" spans="1:5" x14ac:dyDescent="0.3">
      <c r="A8136" s="9">
        <v>8128</v>
      </c>
      <c r="B8136" s="10">
        <f t="shared" ca="1" si="126"/>
        <v>8.148044887159725E-2</v>
      </c>
      <c r="C8136" s="10">
        <f ca="1">NPV(B8136,Project_FCF!C18:J18)+Project_FCF!B18</f>
        <v>925.95983949318429</v>
      </c>
      <c r="D8136" s="4"/>
      <c r="E8136" s="4"/>
    </row>
    <row r="8137" spans="1:5" x14ac:dyDescent="0.3">
      <c r="A8137" s="9">
        <v>8129</v>
      </c>
      <c r="B8137" s="10">
        <f t="shared" ref="B8137:B8200" ca="1" si="127">$B$4+RAND()*($B$5-$B$4)</f>
        <v>9.6390419031003954E-2</v>
      </c>
      <c r="C8137" s="10">
        <f ca="1">NPV(B8137,Project_FCF!C18:J18)+Project_FCF!B18</f>
        <v>808.96322660681176</v>
      </c>
      <c r="D8137" s="4"/>
      <c r="E8137" s="4"/>
    </row>
    <row r="8138" spans="1:5" x14ac:dyDescent="0.3">
      <c r="A8138" s="9">
        <v>8130</v>
      </c>
      <c r="B8138" s="10">
        <f t="shared" ca="1" si="127"/>
        <v>9.468586349053193E-2</v>
      </c>
      <c r="C8138" s="10">
        <f ca="1">NPV(B8138,Project_FCF!C18:J18)+Project_FCF!B18</f>
        <v>821.65593519976369</v>
      </c>
      <c r="D8138" s="4"/>
      <c r="E8138" s="4"/>
    </row>
    <row r="8139" spans="1:5" x14ac:dyDescent="0.3">
      <c r="A8139" s="9">
        <v>8131</v>
      </c>
      <c r="B8139" s="10">
        <f t="shared" ca="1" si="127"/>
        <v>0.10020146536633479</v>
      </c>
      <c r="C8139" s="10">
        <f ca="1">NPV(B8139,Project_FCF!C18:J18)+Project_FCF!B18</f>
        <v>781.18768569240842</v>
      </c>
      <c r="D8139" s="4"/>
      <c r="E8139" s="4"/>
    </row>
    <row r="8140" spans="1:5" x14ac:dyDescent="0.3">
      <c r="A8140" s="9">
        <v>8132</v>
      </c>
      <c r="B8140" s="10">
        <f t="shared" ca="1" si="127"/>
        <v>0.10104457292927405</v>
      </c>
      <c r="C8140" s="10">
        <f ca="1">NPV(B8140,Project_FCF!C18:J18)+Project_FCF!B18</f>
        <v>775.15341263150617</v>
      </c>
      <c r="D8140" s="4"/>
      <c r="E8140" s="4"/>
    </row>
    <row r="8141" spans="1:5" x14ac:dyDescent="0.3">
      <c r="A8141" s="9">
        <v>8133</v>
      </c>
      <c r="B8141" s="10">
        <f t="shared" ca="1" si="127"/>
        <v>6.7158179358692602E-2</v>
      </c>
      <c r="C8141" s="10">
        <f ca="1">NPV(B8141,Project_FCF!C18:J18)+Project_FCF!B18</f>
        <v>1052.1485817674766</v>
      </c>
      <c r="D8141" s="4"/>
      <c r="E8141" s="4"/>
    </row>
    <row r="8142" spans="1:5" x14ac:dyDescent="0.3">
      <c r="A8142" s="9">
        <v>8134</v>
      </c>
      <c r="B8142" s="10">
        <f t="shared" ca="1" si="127"/>
        <v>6.5232548340908386E-2</v>
      </c>
      <c r="C8142" s="10">
        <f ca="1">NPV(B8142,Project_FCF!C18:J18)+Project_FCF!B18</f>
        <v>1070.2468962719022</v>
      </c>
      <c r="D8142" s="4"/>
      <c r="E8142" s="4"/>
    </row>
    <row r="8143" spans="1:5" x14ac:dyDescent="0.3">
      <c r="A8143" s="9">
        <v>8135</v>
      </c>
      <c r="B8143" s="10">
        <f t="shared" ca="1" si="127"/>
        <v>9.5233887222440181E-2</v>
      </c>
      <c r="C8143" s="10">
        <f ca="1">NPV(B8143,Project_FCF!C18:J18)+Project_FCF!B18</f>
        <v>817.55671647589861</v>
      </c>
      <c r="D8143" s="4"/>
      <c r="E8143" s="4"/>
    </row>
    <row r="8144" spans="1:5" x14ac:dyDescent="0.3">
      <c r="A8144" s="9">
        <v>8136</v>
      </c>
      <c r="B8144" s="10">
        <f t="shared" ca="1" si="127"/>
        <v>7.8284805618963421E-2</v>
      </c>
      <c r="C8144" s="10">
        <f ca="1">NPV(B8144,Project_FCF!C18:J18)+Project_FCF!B18</f>
        <v>952.87897044835336</v>
      </c>
      <c r="D8144" s="4"/>
      <c r="E8144" s="4"/>
    </row>
    <row r="8145" spans="1:5" x14ac:dyDescent="0.3">
      <c r="A8145" s="9">
        <v>8137</v>
      </c>
      <c r="B8145" s="10">
        <f t="shared" ca="1" si="127"/>
        <v>7.4768860667683734E-2</v>
      </c>
      <c r="C8145" s="10">
        <f ca="1">NPV(B8145,Project_FCF!C18:J18)+Project_FCF!B18</f>
        <v>983.29799611786734</v>
      </c>
      <c r="D8145" s="4"/>
      <c r="E8145" s="4"/>
    </row>
    <row r="8146" spans="1:5" x14ac:dyDescent="0.3">
      <c r="A8146" s="9">
        <v>8138</v>
      </c>
      <c r="B8146" s="10">
        <f t="shared" ca="1" si="127"/>
        <v>8.8516093255009753E-2</v>
      </c>
      <c r="C8146" s="10">
        <f ca="1">NPV(B8146,Project_FCF!C18:J18)+Project_FCF!B18</f>
        <v>869.04066404091122</v>
      </c>
      <c r="D8146" s="4"/>
      <c r="E8146" s="4"/>
    </row>
    <row r="8147" spans="1:5" x14ac:dyDescent="0.3">
      <c r="A8147" s="9">
        <v>8139</v>
      </c>
      <c r="B8147" s="10">
        <f t="shared" ca="1" si="127"/>
        <v>7.7764389773750275E-2</v>
      </c>
      <c r="C8147" s="10">
        <f ca="1">NPV(B8147,Project_FCF!C18:J18)+Project_FCF!B18</f>
        <v>957.32790937795585</v>
      </c>
      <c r="D8147" s="4"/>
      <c r="E8147" s="4"/>
    </row>
    <row r="8148" spans="1:5" x14ac:dyDescent="0.3">
      <c r="A8148" s="9">
        <v>8140</v>
      </c>
      <c r="B8148" s="10">
        <f t="shared" ca="1" si="127"/>
        <v>6.6352655915707659E-2</v>
      </c>
      <c r="C8148" s="10">
        <f ca="1">NPV(B8148,Project_FCF!C18:J18)+Project_FCF!B18</f>
        <v>1059.6852376519143</v>
      </c>
      <c r="D8148" s="4"/>
      <c r="E8148" s="4"/>
    </row>
    <row r="8149" spans="1:5" x14ac:dyDescent="0.3">
      <c r="A8149" s="9">
        <v>8141</v>
      </c>
      <c r="B8149" s="10">
        <f t="shared" ca="1" si="127"/>
        <v>8.3502200053338776E-2</v>
      </c>
      <c r="C8149" s="10">
        <f ca="1">NPV(B8149,Project_FCF!C18:J18)+Project_FCF!B18</f>
        <v>909.27830278112083</v>
      </c>
      <c r="D8149" s="4"/>
      <c r="E8149" s="4"/>
    </row>
    <row r="8150" spans="1:5" x14ac:dyDescent="0.3">
      <c r="A8150" s="9">
        <v>8142</v>
      </c>
      <c r="B8150" s="10">
        <f t="shared" ca="1" si="127"/>
        <v>9.9707818405041587E-2</v>
      </c>
      <c r="C8150" s="10">
        <f ca="1">NPV(B8150,Project_FCF!C18:J18)+Project_FCF!B18</f>
        <v>784.73919615525278</v>
      </c>
      <c r="D8150" s="4"/>
      <c r="E8150" s="4"/>
    </row>
    <row r="8151" spans="1:5" x14ac:dyDescent="0.3">
      <c r="A8151" s="9">
        <v>8143</v>
      </c>
      <c r="B8151" s="10">
        <f t="shared" ca="1" si="127"/>
        <v>6.9675691581237556E-2</v>
      </c>
      <c r="C8151" s="10">
        <f ca="1">NPV(B8151,Project_FCF!C18:J18)+Project_FCF!B18</f>
        <v>1028.9067385560454</v>
      </c>
      <c r="D8151" s="4"/>
      <c r="E8151" s="4"/>
    </row>
    <row r="8152" spans="1:5" x14ac:dyDescent="0.3">
      <c r="A8152" s="9">
        <v>8144</v>
      </c>
      <c r="B8152" s="10">
        <f t="shared" ca="1" si="127"/>
        <v>8.2016152095679307E-2</v>
      </c>
      <c r="C8152" s="10">
        <f ca="1">NPV(B8152,Project_FCF!C18:J18)+Project_FCF!B18</f>
        <v>921.51368376503365</v>
      </c>
      <c r="D8152" s="4"/>
      <c r="E8152" s="4"/>
    </row>
    <row r="8153" spans="1:5" x14ac:dyDescent="0.3">
      <c r="A8153" s="9">
        <v>8145</v>
      </c>
      <c r="B8153" s="10">
        <f t="shared" ca="1" si="127"/>
        <v>0.10163487495094495</v>
      </c>
      <c r="C8153" s="10">
        <f ca="1">NPV(B8153,Project_FCF!C18:J18)+Project_FCF!B18</f>
        <v>770.95196167806921</v>
      </c>
      <c r="D8153" s="4"/>
      <c r="E8153" s="4"/>
    </row>
    <row r="8154" spans="1:5" x14ac:dyDescent="0.3">
      <c r="A8154" s="9">
        <v>8146</v>
      </c>
      <c r="B8154" s="10">
        <f t="shared" ca="1" si="127"/>
        <v>6.5800000215742491E-2</v>
      </c>
      <c r="C8154" s="10">
        <f ca="1">NPV(B8154,Project_FCF!C18:J18)+Project_FCF!B18</f>
        <v>1064.8843835606374</v>
      </c>
      <c r="D8154" s="4"/>
      <c r="E8154" s="4"/>
    </row>
    <row r="8155" spans="1:5" x14ac:dyDescent="0.3">
      <c r="A8155" s="9">
        <v>8147</v>
      </c>
      <c r="B8155" s="10">
        <f t="shared" ca="1" si="127"/>
        <v>8.8143272668494421E-2</v>
      </c>
      <c r="C8155" s="10">
        <f ca="1">NPV(B8155,Project_FCF!C18:J18)+Project_FCF!B18</f>
        <v>871.97820056459182</v>
      </c>
      <c r="D8155" s="4"/>
      <c r="E8155" s="4"/>
    </row>
    <row r="8156" spans="1:5" x14ac:dyDescent="0.3">
      <c r="A8156" s="9">
        <v>8148</v>
      </c>
      <c r="B8156" s="10">
        <f t="shared" ca="1" si="127"/>
        <v>8.8144234438357769E-2</v>
      </c>
      <c r="C8156" s="10">
        <f ca="1">NPV(B8156,Project_FCF!C18:J18)+Project_FCF!B18</f>
        <v>871.97061146977398</v>
      </c>
      <c r="D8156" s="4"/>
      <c r="E8156" s="4"/>
    </row>
    <row r="8157" spans="1:5" x14ac:dyDescent="0.3">
      <c r="A8157" s="9">
        <v>8149</v>
      </c>
      <c r="B8157" s="10">
        <f t="shared" ca="1" si="127"/>
        <v>9.2602754389199904E-2</v>
      </c>
      <c r="C8157" s="10">
        <f ca="1">NPV(B8157,Project_FCF!C18:J18)+Project_FCF!B18</f>
        <v>837.3989047349387</v>
      </c>
      <c r="D8157" s="4"/>
      <c r="E8157" s="4"/>
    </row>
    <row r="8158" spans="1:5" x14ac:dyDescent="0.3">
      <c r="A8158" s="9">
        <v>8150</v>
      </c>
      <c r="B8158" s="10">
        <f t="shared" ca="1" si="127"/>
        <v>0.10273888795300945</v>
      </c>
      <c r="C8158" s="10">
        <f ca="1">NPV(B8158,Project_FCF!C18:J18)+Project_FCF!B18</f>
        <v>763.14564139669164</v>
      </c>
      <c r="D8158" s="4"/>
      <c r="E8158" s="4"/>
    </row>
    <row r="8159" spans="1:5" x14ac:dyDescent="0.3">
      <c r="A8159" s="9">
        <v>8151</v>
      </c>
      <c r="B8159" s="10">
        <f t="shared" ca="1" si="127"/>
        <v>6.6103363385374259E-2</v>
      </c>
      <c r="C8159" s="10">
        <f ca="1">NPV(B8159,Project_FCF!C18:J18)+Project_FCF!B18</f>
        <v>1062.0276057450687</v>
      </c>
      <c r="D8159" s="4"/>
      <c r="E8159" s="4"/>
    </row>
    <row r="8160" spans="1:5" x14ac:dyDescent="0.3">
      <c r="A8160" s="9">
        <v>8152</v>
      </c>
      <c r="B8160" s="10">
        <f t="shared" ca="1" si="127"/>
        <v>6.9881331289675483E-2</v>
      </c>
      <c r="C8160" s="10">
        <f ca="1">NPV(B8160,Project_FCF!C18:J18)+Project_FCF!B18</f>
        <v>1027.0289571579917</v>
      </c>
      <c r="D8160" s="4"/>
      <c r="E8160" s="4"/>
    </row>
    <row r="8161" spans="1:5" x14ac:dyDescent="0.3">
      <c r="A8161" s="9">
        <v>8153</v>
      </c>
      <c r="B8161" s="10">
        <f t="shared" ca="1" si="127"/>
        <v>9.2484052063132038E-2</v>
      </c>
      <c r="C8161" s="10">
        <f ca="1">NPV(B8161,Project_FCF!C18:J18)+Project_FCF!B18</f>
        <v>838.30374540007392</v>
      </c>
      <c r="D8161" s="4"/>
      <c r="E8161" s="4"/>
    </row>
    <row r="8162" spans="1:5" x14ac:dyDescent="0.3">
      <c r="A8162" s="9">
        <v>8154</v>
      </c>
      <c r="B8162" s="10">
        <f t="shared" ca="1" si="127"/>
        <v>7.80531832646639E-2</v>
      </c>
      <c r="C8162" s="10">
        <f ca="1">NPV(B8162,Project_FCF!C18:J18)+Project_FCF!B18</f>
        <v>954.85679165862666</v>
      </c>
      <c r="D8162" s="4"/>
      <c r="E8162" s="4"/>
    </row>
    <row r="8163" spans="1:5" x14ac:dyDescent="0.3">
      <c r="A8163" s="9">
        <v>8155</v>
      </c>
      <c r="B8163" s="10">
        <f t="shared" ca="1" si="127"/>
        <v>7.3072453191838083E-2</v>
      </c>
      <c r="C8163" s="10">
        <f ca="1">NPV(B8163,Project_FCF!C18:J18)+Project_FCF!B18</f>
        <v>998.28301308357209</v>
      </c>
      <c r="D8163" s="4"/>
      <c r="E8163" s="4"/>
    </row>
    <row r="8164" spans="1:5" x14ac:dyDescent="0.3">
      <c r="A8164" s="9">
        <v>8156</v>
      </c>
      <c r="B8164" s="10">
        <f t="shared" ca="1" si="127"/>
        <v>7.8660378153886906E-2</v>
      </c>
      <c r="C8164" s="10">
        <f ca="1">NPV(B8164,Project_FCF!C18:J18)+Project_FCF!B18</f>
        <v>949.67969670520915</v>
      </c>
      <c r="D8164" s="4"/>
      <c r="E8164" s="4"/>
    </row>
    <row r="8165" spans="1:5" x14ac:dyDescent="0.3">
      <c r="A8165" s="9">
        <v>8157</v>
      </c>
      <c r="B8165" s="10">
        <f t="shared" ca="1" si="127"/>
        <v>8.6236757028840941E-2</v>
      </c>
      <c r="C8165" s="10">
        <f ca="1">NPV(B8165,Project_FCF!C18:J18)+Project_FCF!B18</f>
        <v>887.13565312614128</v>
      </c>
      <c r="D8165" s="4"/>
      <c r="E8165" s="4"/>
    </row>
    <row r="8166" spans="1:5" x14ac:dyDescent="0.3">
      <c r="A8166" s="9">
        <v>8158</v>
      </c>
      <c r="B8166" s="10">
        <f t="shared" ca="1" si="127"/>
        <v>0.10153320712963612</v>
      </c>
      <c r="C8166" s="10">
        <f ca="1">NPV(B8166,Project_FCF!C18:J18)+Project_FCF!B18</f>
        <v>771.67420709458997</v>
      </c>
      <c r="D8166" s="4"/>
      <c r="E8166" s="4"/>
    </row>
    <row r="8167" spans="1:5" x14ac:dyDescent="0.3">
      <c r="A8167" s="9">
        <v>8159</v>
      </c>
      <c r="B8167" s="10">
        <f t="shared" ca="1" si="127"/>
        <v>7.7678146165400419E-2</v>
      </c>
      <c r="C8167" s="10">
        <f ca="1">NPV(B8167,Project_FCF!C18:J18)+Project_FCF!B18</f>
        <v>958.06697191830881</v>
      </c>
      <c r="D8167" s="4"/>
      <c r="E8167" s="4"/>
    </row>
    <row r="8168" spans="1:5" x14ac:dyDescent="0.3">
      <c r="A8168" s="9">
        <v>8160</v>
      </c>
      <c r="B8168" s="10">
        <f t="shared" ca="1" si="127"/>
        <v>9.9305988760381617E-2</v>
      </c>
      <c r="C8168" s="10">
        <f ca="1">NPV(B8168,Project_FCF!C18:J18)+Project_FCF!B18</f>
        <v>787.64021246511902</v>
      </c>
      <c r="D8168" s="4"/>
      <c r="E8168" s="4"/>
    </row>
    <row r="8169" spans="1:5" x14ac:dyDescent="0.3">
      <c r="A8169" s="9">
        <v>8161</v>
      </c>
      <c r="B8169" s="10">
        <f t="shared" ca="1" si="127"/>
        <v>7.5509773886512407E-2</v>
      </c>
      <c r="C8169" s="10">
        <f ca="1">NPV(B8169,Project_FCF!C18:J18)+Project_FCF!B18</f>
        <v>976.8166864236839</v>
      </c>
      <c r="D8169" s="4"/>
      <c r="E8169" s="4"/>
    </row>
    <row r="8170" spans="1:5" x14ac:dyDescent="0.3">
      <c r="A8170" s="9">
        <v>8162</v>
      </c>
      <c r="B8170" s="10">
        <f t="shared" ca="1" si="127"/>
        <v>8.3162026070869088E-2</v>
      </c>
      <c r="C8170" s="10">
        <f ca="1">NPV(B8170,Project_FCF!C18:J18)+Project_FCF!B18</f>
        <v>912.06643524238257</v>
      </c>
      <c r="D8170" s="4"/>
      <c r="E8170" s="4"/>
    </row>
    <row r="8171" spans="1:5" x14ac:dyDescent="0.3">
      <c r="A8171" s="9">
        <v>8163</v>
      </c>
      <c r="B8171" s="10">
        <f t="shared" ca="1" si="127"/>
        <v>0.10266467946820271</v>
      </c>
      <c r="C8171" s="10">
        <f ca="1">NPV(B8171,Project_FCF!C18:J18)+Project_FCF!B18</f>
        <v>763.66826725793931</v>
      </c>
      <c r="D8171" s="4"/>
      <c r="E8171" s="4"/>
    </row>
    <row r="8172" spans="1:5" x14ac:dyDescent="0.3">
      <c r="A8172" s="9">
        <v>8164</v>
      </c>
      <c r="B8172" s="10">
        <f t="shared" ca="1" si="127"/>
        <v>7.7320189690712637E-2</v>
      </c>
      <c r="C8172" s="10">
        <f ca="1">NPV(B8172,Project_FCF!C18:J18)+Project_FCF!B18</f>
        <v>961.13990231297157</v>
      </c>
      <c r="D8172" s="4"/>
      <c r="E8172" s="4"/>
    </row>
    <row r="8173" spans="1:5" x14ac:dyDescent="0.3">
      <c r="A8173" s="9">
        <v>8165</v>
      </c>
      <c r="B8173" s="10">
        <f t="shared" ca="1" si="127"/>
        <v>9.9606578392535089E-2</v>
      </c>
      <c r="C8173" s="10">
        <f ca="1">NPV(B8173,Project_FCF!C18:J18)+Project_FCF!B18</f>
        <v>785.46924629248269</v>
      </c>
      <c r="D8173" s="4"/>
      <c r="E8173" s="4"/>
    </row>
    <row r="8174" spans="1:5" x14ac:dyDescent="0.3">
      <c r="A8174" s="9">
        <v>8166</v>
      </c>
      <c r="B8174" s="10">
        <f t="shared" ca="1" si="127"/>
        <v>9.4723877864312855E-2</v>
      </c>
      <c r="C8174" s="10">
        <f ca="1">NPV(B8174,Project_FCF!C18:J18)+Project_FCF!B18</f>
        <v>821.3710205902114</v>
      </c>
      <c r="D8174" s="4"/>
      <c r="E8174" s="4"/>
    </row>
    <row r="8175" spans="1:5" x14ac:dyDescent="0.3">
      <c r="A8175" s="9">
        <v>8167</v>
      </c>
      <c r="B8175" s="10">
        <f t="shared" ca="1" si="127"/>
        <v>8.0348983018328601E-2</v>
      </c>
      <c r="C8175" s="10">
        <f ca="1">NPV(B8175,Project_FCF!C18:J18)+Project_FCF!B18</f>
        <v>935.41293880378703</v>
      </c>
      <c r="D8175" s="4"/>
      <c r="E8175" s="4"/>
    </row>
    <row r="8176" spans="1:5" x14ac:dyDescent="0.3">
      <c r="A8176" s="9">
        <v>8168</v>
      </c>
      <c r="B8176" s="10">
        <f t="shared" ca="1" si="127"/>
        <v>8.3694824566749176E-2</v>
      </c>
      <c r="C8176" s="10">
        <f ca="1">NPV(B8176,Project_FCF!C18:J18)+Project_FCF!B18</f>
        <v>907.70283929344032</v>
      </c>
      <c r="D8176" s="4"/>
      <c r="E8176" s="4"/>
    </row>
    <row r="8177" spans="1:5" x14ac:dyDescent="0.3">
      <c r="A8177" s="9">
        <v>8169</v>
      </c>
      <c r="B8177" s="10">
        <f t="shared" ca="1" si="127"/>
        <v>7.4773315473033633E-2</v>
      </c>
      <c r="C8177" s="10">
        <f ca="1">NPV(B8177,Project_FCF!C18:J18)+Project_FCF!B18</f>
        <v>983.25891197869896</v>
      </c>
      <c r="D8177" s="4"/>
      <c r="E8177" s="4"/>
    </row>
    <row r="8178" spans="1:5" x14ac:dyDescent="0.3">
      <c r="A8178" s="9">
        <v>8170</v>
      </c>
      <c r="B8178" s="10">
        <f t="shared" ca="1" si="127"/>
        <v>7.4183939654798664E-2</v>
      </c>
      <c r="C8178" s="10">
        <f ca="1">NPV(B8178,Project_FCF!C18:J18)+Project_FCF!B18</f>
        <v>988.44188891633917</v>
      </c>
      <c r="D8178" s="4"/>
      <c r="E8178" s="4"/>
    </row>
    <row r="8179" spans="1:5" x14ac:dyDescent="0.3">
      <c r="A8179" s="9">
        <v>8171</v>
      </c>
      <c r="B8179" s="10">
        <f t="shared" ca="1" si="127"/>
        <v>8.0358935754894181E-2</v>
      </c>
      <c r="C8179" s="10">
        <f ca="1">NPV(B8179,Project_FCF!C18:J18)+Project_FCF!B18</f>
        <v>935.32941572994741</v>
      </c>
      <c r="D8179" s="4"/>
      <c r="E8179" s="4"/>
    </row>
    <row r="8180" spans="1:5" x14ac:dyDescent="0.3">
      <c r="A8180" s="9">
        <v>8172</v>
      </c>
      <c r="B8180" s="10">
        <f t="shared" ca="1" si="127"/>
        <v>9.3583245481323851E-2</v>
      </c>
      <c r="C8180" s="10">
        <f ca="1">NPV(B8180,Project_FCF!C18:J18)+Project_FCF!B18</f>
        <v>829.95692927040318</v>
      </c>
      <c r="D8180" s="4"/>
      <c r="E8180" s="4"/>
    </row>
    <row r="8181" spans="1:5" x14ac:dyDescent="0.3">
      <c r="A8181" s="9">
        <v>8173</v>
      </c>
      <c r="B8181" s="10">
        <f t="shared" ca="1" si="127"/>
        <v>9.9973857778618461E-2</v>
      </c>
      <c r="C8181" s="10">
        <f ca="1">NPV(B8181,Project_FCF!C18:J18)+Project_FCF!B18</f>
        <v>782.82350060460453</v>
      </c>
      <c r="D8181" s="4"/>
      <c r="E8181" s="4"/>
    </row>
    <row r="8182" spans="1:5" x14ac:dyDescent="0.3">
      <c r="A8182" s="9">
        <v>8174</v>
      </c>
      <c r="B8182" s="10">
        <f t="shared" ca="1" si="127"/>
        <v>7.4749486154343209E-2</v>
      </c>
      <c r="C8182" s="10">
        <f ca="1">NPV(B8182,Project_FCF!C18:J18)+Project_FCF!B18</f>
        <v>983.46799417301509</v>
      </c>
      <c r="D8182" s="4"/>
      <c r="E8182" s="4"/>
    </row>
    <row r="8183" spans="1:5" x14ac:dyDescent="0.3">
      <c r="A8183" s="9">
        <v>8175</v>
      </c>
      <c r="B8183" s="10">
        <f t="shared" ca="1" si="127"/>
        <v>6.7308347767207524E-2</v>
      </c>
      <c r="C8183" s="10">
        <f ca="1">NPV(B8183,Project_FCF!C18:J18)+Project_FCF!B18</f>
        <v>1050.7489735166828</v>
      </c>
      <c r="D8183" s="4"/>
      <c r="E8183" s="4"/>
    </row>
    <row r="8184" spans="1:5" x14ac:dyDescent="0.3">
      <c r="A8184" s="9">
        <v>8176</v>
      </c>
      <c r="B8184" s="10">
        <f t="shared" ca="1" si="127"/>
        <v>8.4395133568014896E-2</v>
      </c>
      <c r="C8184" s="10">
        <f ca="1">NPV(B8184,Project_FCF!C18:J18)+Project_FCF!B18</f>
        <v>901.99523975012607</v>
      </c>
      <c r="D8184" s="4"/>
      <c r="E8184" s="4"/>
    </row>
    <row r="8185" spans="1:5" x14ac:dyDescent="0.3">
      <c r="A8185" s="9">
        <v>8177</v>
      </c>
      <c r="B8185" s="10">
        <f t="shared" ca="1" si="127"/>
        <v>7.8616869155942778E-2</v>
      </c>
      <c r="C8185" s="10">
        <f ca="1">NPV(B8185,Project_FCF!C18:J18)+Project_FCF!B18</f>
        <v>950.04983403877463</v>
      </c>
      <c r="D8185" s="4"/>
      <c r="E8185" s="4"/>
    </row>
    <row r="8186" spans="1:5" x14ac:dyDescent="0.3">
      <c r="A8186" s="9">
        <v>8178</v>
      </c>
      <c r="B8186" s="10">
        <f t="shared" ca="1" si="127"/>
        <v>9.5221931868804094E-2</v>
      </c>
      <c r="C8186" s="10">
        <f ca="1">NPV(B8186,Project_FCF!C18:J18)+Project_FCF!B18</f>
        <v>817.64595539061293</v>
      </c>
      <c r="D8186" s="4"/>
      <c r="E8186" s="4"/>
    </row>
    <row r="8187" spans="1:5" x14ac:dyDescent="0.3">
      <c r="A8187" s="9">
        <v>8179</v>
      </c>
      <c r="B8187" s="10">
        <f t="shared" ca="1" si="127"/>
        <v>7.7592751085431663E-2</v>
      </c>
      <c r="C8187" s="10">
        <f ca="1">NPV(B8187,Project_FCF!C18:J18)+Project_FCF!B18</f>
        <v>958.79926323023437</v>
      </c>
      <c r="D8187" s="4"/>
      <c r="E8187" s="4"/>
    </row>
    <row r="8188" spans="1:5" x14ac:dyDescent="0.3">
      <c r="A8188" s="9">
        <v>8180</v>
      </c>
      <c r="B8188" s="10">
        <f t="shared" ca="1" si="127"/>
        <v>8.9275967096543424E-2</v>
      </c>
      <c r="C8188" s="10">
        <f ca="1">NPV(B8188,Project_FCF!C18:J18)+Project_FCF!B18</f>
        <v>863.08006145075092</v>
      </c>
      <c r="D8188" s="4"/>
      <c r="E8188" s="4"/>
    </row>
    <row r="8189" spans="1:5" x14ac:dyDescent="0.3">
      <c r="A8189" s="9">
        <v>8181</v>
      </c>
      <c r="B8189" s="10">
        <f t="shared" ca="1" si="127"/>
        <v>6.737904852545086E-2</v>
      </c>
      <c r="C8189" s="10">
        <f ca="1">NPV(B8189,Project_FCF!C18:J18)+Project_FCF!B18</f>
        <v>1050.0906100380241</v>
      </c>
      <c r="D8189" s="4"/>
      <c r="E8189" s="4"/>
    </row>
    <row r="8190" spans="1:5" x14ac:dyDescent="0.3">
      <c r="A8190" s="9">
        <v>8182</v>
      </c>
      <c r="B8190" s="10">
        <f t="shared" ca="1" si="127"/>
        <v>8.015990088711579E-2</v>
      </c>
      <c r="C8190" s="10">
        <f ca="1">NPV(B8190,Project_FCF!C18:J18)+Project_FCF!B18</f>
        <v>937.00096492127182</v>
      </c>
      <c r="D8190" s="4"/>
      <c r="E8190" s="4"/>
    </row>
    <row r="8191" spans="1:5" x14ac:dyDescent="0.3">
      <c r="A8191" s="9">
        <v>8183</v>
      </c>
      <c r="B8191" s="10">
        <f t="shared" ca="1" si="127"/>
        <v>9.1898693754302666E-2</v>
      </c>
      <c r="C8191" s="10">
        <f ca="1">NPV(B8191,Project_FCF!C18:J18)+Project_FCF!B18</f>
        <v>842.77812810076784</v>
      </c>
      <c r="D8191" s="4"/>
      <c r="E8191" s="4"/>
    </row>
    <row r="8192" spans="1:5" x14ac:dyDescent="0.3">
      <c r="A8192" s="9">
        <v>8184</v>
      </c>
      <c r="B8192" s="10">
        <f t="shared" ca="1" si="127"/>
        <v>8.1919050748084379E-2</v>
      </c>
      <c r="C8192" s="10">
        <f ca="1">NPV(B8192,Project_FCF!C18:J18)+Project_FCF!B18</f>
        <v>922.31819185129484</v>
      </c>
      <c r="D8192" s="4"/>
      <c r="E8192" s="4"/>
    </row>
    <row r="8193" spans="1:5" x14ac:dyDescent="0.3">
      <c r="A8193" s="9">
        <v>8185</v>
      </c>
      <c r="B8193" s="10">
        <f t="shared" ca="1" si="127"/>
        <v>8.7890039054566008E-2</v>
      </c>
      <c r="C8193" s="10">
        <f ca="1">NPV(B8193,Project_FCF!C18:J18)+Project_FCF!B18</f>
        <v>873.97840694358047</v>
      </c>
      <c r="D8193" s="4"/>
      <c r="E8193" s="4"/>
    </row>
    <row r="8194" spans="1:5" x14ac:dyDescent="0.3">
      <c r="A8194" s="9">
        <v>8186</v>
      </c>
      <c r="B8194" s="10">
        <f t="shared" ca="1" si="127"/>
        <v>7.2571804240945101E-2</v>
      </c>
      <c r="C8194" s="10">
        <f ca="1">NPV(B8194,Project_FCF!C18:J18)+Project_FCF!B18</f>
        <v>1002.7444367369276</v>
      </c>
      <c r="D8194" s="4"/>
      <c r="E8194" s="4"/>
    </row>
    <row r="8195" spans="1:5" x14ac:dyDescent="0.3">
      <c r="A8195" s="9">
        <v>8187</v>
      </c>
      <c r="B8195" s="10">
        <f t="shared" ca="1" si="127"/>
        <v>0.10395728563759404</v>
      </c>
      <c r="C8195" s="10">
        <f ca="1">NPV(B8195,Project_FCF!C18:J18)+Project_FCF!B18</f>
        <v>754.60768552580544</v>
      </c>
      <c r="D8195" s="4"/>
      <c r="E8195" s="4"/>
    </row>
    <row r="8196" spans="1:5" x14ac:dyDescent="0.3">
      <c r="A8196" s="9">
        <v>8188</v>
      </c>
      <c r="B8196" s="10">
        <f t="shared" ca="1" si="127"/>
        <v>7.3177398788620354E-2</v>
      </c>
      <c r="C8196" s="10">
        <f ca="1">NPV(B8196,Project_FCF!C18:J18)+Project_FCF!B18</f>
        <v>997.35007759212067</v>
      </c>
      <c r="D8196" s="4"/>
      <c r="E8196" s="4"/>
    </row>
    <row r="8197" spans="1:5" x14ac:dyDescent="0.3">
      <c r="A8197" s="9">
        <v>8189</v>
      </c>
      <c r="B8197" s="10">
        <f t="shared" ca="1" si="127"/>
        <v>8.3975509662599437E-2</v>
      </c>
      <c r="C8197" s="10">
        <f ca="1">NPV(B8197,Project_FCF!C18:J18)+Project_FCF!B18</f>
        <v>905.41142716695458</v>
      </c>
      <c r="D8197" s="4"/>
      <c r="E8197" s="4"/>
    </row>
    <row r="8198" spans="1:5" x14ac:dyDescent="0.3">
      <c r="A8198" s="9">
        <v>8190</v>
      </c>
      <c r="B8198" s="10">
        <f t="shared" ca="1" si="127"/>
        <v>9.6990605885656472E-2</v>
      </c>
      <c r="C8198" s="10">
        <f ca="1">NPV(B8198,Project_FCF!C18:J18)+Project_FCF!B18</f>
        <v>804.53407532337224</v>
      </c>
      <c r="D8198" s="4"/>
      <c r="E8198" s="4"/>
    </row>
    <row r="8199" spans="1:5" x14ac:dyDescent="0.3">
      <c r="A8199" s="9">
        <v>8191</v>
      </c>
      <c r="B8199" s="10">
        <f t="shared" ca="1" si="127"/>
        <v>7.4444178480852996E-2</v>
      </c>
      <c r="C8199" s="10">
        <f ca="1">NPV(B8199,Project_FCF!C18:J18)+Project_FCF!B18</f>
        <v>986.1503364848827</v>
      </c>
      <c r="D8199" s="4"/>
      <c r="E8199" s="4"/>
    </row>
    <row r="8200" spans="1:5" x14ac:dyDescent="0.3">
      <c r="A8200" s="9">
        <v>8192</v>
      </c>
      <c r="B8200" s="10">
        <f t="shared" ca="1" si="127"/>
        <v>9.8101905803837652E-2</v>
      </c>
      <c r="C8200" s="10">
        <f ca="1">NPV(B8200,Project_FCF!C18:J18)+Project_FCF!B18</f>
        <v>796.38761305092066</v>
      </c>
      <c r="D8200" s="4"/>
      <c r="E8200" s="4"/>
    </row>
    <row r="8201" spans="1:5" x14ac:dyDescent="0.3">
      <c r="A8201" s="9">
        <v>8193</v>
      </c>
      <c r="B8201" s="10">
        <f t="shared" ref="B8201:B8264" ca="1" si="128">$B$4+RAND()*($B$5-$B$4)</f>
        <v>7.752306002151918E-2</v>
      </c>
      <c r="C8201" s="10">
        <f ca="1">NPV(B8201,Project_FCF!C18:J18)+Project_FCF!B18</f>
        <v>959.39725648964304</v>
      </c>
      <c r="D8201" s="4"/>
      <c r="E8201" s="4"/>
    </row>
    <row r="8202" spans="1:5" x14ac:dyDescent="0.3">
      <c r="A8202" s="9">
        <v>8194</v>
      </c>
      <c r="B8202" s="10">
        <f t="shared" ca="1" si="128"/>
        <v>8.5873808613691816E-2</v>
      </c>
      <c r="C8202" s="10">
        <f ca="1">NPV(B8202,Project_FCF!C18:J18)+Project_FCF!B18</f>
        <v>890.04712210614412</v>
      </c>
      <c r="D8202" s="4"/>
      <c r="E8202" s="4"/>
    </row>
    <row r="8203" spans="1:5" x14ac:dyDescent="0.3">
      <c r="A8203" s="9">
        <v>8195</v>
      </c>
      <c r="B8203" s="10">
        <f t="shared" ca="1" si="128"/>
        <v>9.2163761997818311E-2</v>
      </c>
      <c r="C8203" s="10">
        <f ca="1">NPV(B8203,Project_FCF!C18:J18)+Project_FCF!B18</f>
        <v>840.7494466486005</v>
      </c>
      <c r="D8203" s="4"/>
      <c r="E8203" s="4"/>
    </row>
    <row r="8204" spans="1:5" x14ac:dyDescent="0.3">
      <c r="A8204" s="9">
        <v>8196</v>
      </c>
      <c r="B8204" s="10">
        <f t="shared" ca="1" si="128"/>
        <v>9.808572312318857E-2</v>
      </c>
      <c r="C8204" s="10">
        <f ca="1">NPV(B8204,Project_FCF!C18:J18)+Project_FCF!B18</f>
        <v>796.50573597222819</v>
      </c>
      <c r="D8204" s="4"/>
      <c r="E8204" s="4"/>
    </row>
    <row r="8205" spans="1:5" x14ac:dyDescent="0.3">
      <c r="A8205" s="9">
        <v>8197</v>
      </c>
      <c r="B8205" s="10">
        <f t="shared" ca="1" si="128"/>
        <v>6.657147960262369E-2</v>
      </c>
      <c r="C8205" s="10">
        <f ca="1">NPV(B8205,Project_FCF!C18:J18)+Project_FCF!B18</f>
        <v>1057.6330325980223</v>
      </c>
      <c r="D8205" s="4"/>
      <c r="E8205" s="4"/>
    </row>
    <row r="8206" spans="1:5" x14ac:dyDescent="0.3">
      <c r="A8206" s="9">
        <v>8198</v>
      </c>
      <c r="B8206" s="10">
        <f t="shared" ca="1" si="128"/>
        <v>7.0886681853896238E-2</v>
      </c>
      <c r="C8206" s="10">
        <f ca="1">NPV(B8206,Project_FCF!C18:J18)+Project_FCF!B18</f>
        <v>1017.8931765530747</v>
      </c>
      <c r="D8206" s="4"/>
      <c r="E8206" s="4"/>
    </row>
    <row r="8207" spans="1:5" x14ac:dyDescent="0.3">
      <c r="A8207" s="9">
        <v>8199</v>
      </c>
      <c r="B8207" s="10">
        <f t="shared" ca="1" si="128"/>
        <v>0.102212995859635</v>
      </c>
      <c r="C8207" s="10">
        <f ca="1">NPV(B8207,Project_FCF!C18:J18)+Project_FCF!B18</f>
        <v>766.85581689725996</v>
      </c>
      <c r="D8207" s="4"/>
      <c r="E8207" s="4"/>
    </row>
    <row r="8208" spans="1:5" x14ac:dyDescent="0.3">
      <c r="A8208" s="9">
        <v>8200</v>
      </c>
      <c r="B8208" s="10">
        <f t="shared" ca="1" si="128"/>
        <v>8.0447305555885029E-2</v>
      </c>
      <c r="C8208" s="10">
        <f ca="1">NPV(B8208,Project_FCF!C18:J18)+Project_FCF!B18</f>
        <v>934.58810830902371</v>
      </c>
      <c r="D8208" s="4"/>
      <c r="E8208" s="4"/>
    </row>
    <row r="8209" spans="1:5" x14ac:dyDescent="0.3">
      <c r="A8209" s="9">
        <v>8201</v>
      </c>
      <c r="B8209" s="10">
        <f t="shared" ca="1" si="128"/>
        <v>0.1029880210203829</v>
      </c>
      <c r="C8209" s="10">
        <f ca="1">NPV(B8209,Project_FCF!C18:J18)+Project_FCF!B18</f>
        <v>761.39327573134824</v>
      </c>
      <c r="D8209" s="4"/>
      <c r="E8209" s="4"/>
    </row>
    <row r="8210" spans="1:5" x14ac:dyDescent="0.3">
      <c r="A8210" s="9">
        <v>8202</v>
      </c>
      <c r="B8210" s="10">
        <f t="shared" ca="1" si="128"/>
        <v>9.856809324393509E-2</v>
      </c>
      <c r="C8210" s="10">
        <f ca="1">NPV(B8210,Project_FCF!C18:J18)+Project_FCF!B18</f>
        <v>792.99113414053932</v>
      </c>
      <c r="D8210" s="4"/>
      <c r="E8210" s="4"/>
    </row>
    <row r="8211" spans="1:5" x14ac:dyDescent="0.3">
      <c r="A8211" s="9">
        <v>8203</v>
      </c>
      <c r="B8211" s="10">
        <f t="shared" ca="1" si="128"/>
        <v>0.10166950125078075</v>
      </c>
      <c r="C8211" s="10">
        <f ca="1">NPV(B8211,Project_FCF!C18:J18)+Project_FCF!B18</f>
        <v>770.70610741697806</v>
      </c>
      <c r="D8211" s="4"/>
      <c r="E8211" s="4"/>
    </row>
    <row r="8212" spans="1:5" x14ac:dyDescent="0.3">
      <c r="A8212" s="9">
        <v>8204</v>
      </c>
      <c r="B8212" s="10">
        <f t="shared" ca="1" si="128"/>
        <v>9.5208786996789946E-2</v>
      </c>
      <c r="C8212" s="10">
        <f ca="1">NPV(B8212,Project_FCF!C18:J18)+Project_FCF!B18</f>
        <v>817.74408290411452</v>
      </c>
      <c r="D8212" s="4"/>
      <c r="E8212" s="4"/>
    </row>
    <row r="8213" spans="1:5" x14ac:dyDescent="0.3">
      <c r="A8213" s="9">
        <v>8205</v>
      </c>
      <c r="B8213" s="10">
        <f t="shared" ca="1" si="128"/>
        <v>0.10396555184942664</v>
      </c>
      <c r="C8213" s="10">
        <f ca="1">NPV(B8213,Project_FCF!C18:J18)+Project_FCF!B18</f>
        <v>754.55003443335136</v>
      </c>
      <c r="D8213" s="4"/>
      <c r="E8213" s="4"/>
    </row>
    <row r="8214" spans="1:5" x14ac:dyDescent="0.3">
      <c r="A8214" s="9">
        <v>8206</v>
      </c>
      <c r="B8214" s="10">
        <f t="shared" ca="1" si="128"/>
        <v>8.6764350314056382E-2</v>
      </c>
      <c r="C8214" s="10">
        <f ca="1">NPV(B8214,Project_FCF!C18:J18)+Project_FCF!B18</f>
        <v>882.91828698376776</v>
      </c>
      <c r="D8214" s="4"/>
      <c r="E8214" s="4"/>
    </row>
    <row r="8215" spans="1:5" x14ac:dyDescent="0.3">
      <c r="A8215" s="9">
        <v>8207</v>
      </c>
      <c r="B8215" s="10">
        <f t="shared" ca="1" si="128"/>
        <v>9.6594374931713897E-2</v>
      </c>
      <c r="C8215" s="10">
        <f ca="1">NPV(B8215,Project_FCF!C18:J18)+Project_FCF!B18</f>
        <v>807.45578301947899</v>
      </c>
      <c r="D8215" s="4"/>
      <c r="E8215" s="4"/>
    </row>
    <row r="8216" spans="1:5" x14ac:dyDescent="0.3">
      <c r="A8216" s="9">
        <v>8208</v>
      </c>
      <c r="B8216" s="10">
        <f t="shared" ca="1" si="128"/>
        <v>8.1771616618040263E-2</v>
      </c>
      <c r="C8216" s="10">
        <f ca="1">NPV(B8216,Project_FCF!C18:J18)+Project_FCF!B18</f>
        <v>923.54090353183869</v>
      </c>
      <c r="D8216" s="4"/>
      <c r="E8216" s="4"/>
    </row>
    <row r="8217" spans="1:5" x14ac:dyDescent="0.3">
      <c r="A8217" s="9">
        <v>8209</v>
      </c>
      <c r="B8217" s="10">
        <f t="shared" ca="1" si="128"/>
        <v>8.2360239945945504E-2</v>
      </c>
      <c r="C8217" s="10">
        <f ca="1">NPV(B8217,Project_FCF!C18:J18)+Project_FCF!B18</f>
        <v>918.66781106780786</v>
      </c>
      <c r="D8217" s="4"/>
      <c r="E8217" s="4"/>
    </row>
    <row r="8218" spans="1:5" x14ac:dyDescent="0.3">
      <c r="A8218" s="9">
        <v>8210</v>
      </c>
      <c r="B8218" s="10">
        <f t="shared" ca="1" si="128"/>
        <v>8.8918681140251393E-2</v>
      </c>
      <c r="C8218" s="10">
        <f ca="1">NPV(B8218,Project_FCF!C18:J18)+Project_FCF!B18</f>
        <v>865.87824685501346</v>
      </c>
      <c r="D8218" s="4"/>
      <c r="E8218" s="4"/>
    </row>
    <row r="8219" spans="1:5" x14ac:dyDescent="0.3">
      <c r="A8219" s="9">
        <v>8211</v>
      </c>
      <c r="B8219" s="10">
        <f t="shared" ca="1" si="128"/>
        <v>6.5630096888374054E-2</v>
      </c>
      <c r="C8219" s="10">
        <f ca="1">NPV(B8219,Project_FCF!C18:J18)+Project_FCF!B18</f>
        <v>1066.4874234434005</v>
      </c>
      <c r="D8219" s="4"/>
      <c r="E8219" s="4"/>
    </row>
    <row r="8220" spans="1:5" x14ac:dyDescent="0.3">
      <c r="A8220" s="9">
        <v>8212</v>
      </c>
      <c r="B8220" s="10">
        <f t="shared" ca="1" si="128"/>
        <v>9.9720341979655819E-2</v>
      </c>
      <c r="C8220" s="10">
        <f ca="1">NPV(B8220,Project_FCF!C18:J18)+Project_FCF!B18</f>
        <v>784.64892754915309</v>
      </c>
      <c r="D8220" s="4"/>
      <c r="E8220" s="4"/>
    </row>
    <row r="8221" spans="1:5" x14ac:dyDescent="0.3">
      <c r="A8221" s="9">
        <v>8213</v>
      </c>
      <c r="B8221" s="10">
        <f t="shared" ca="1" si="128"/>
        <v>0.10239460697982244</v>
      </c>
      <c r="C8221" s="10">
        <f ca="1">NPV(B8221,Project_FCF!C18:J18)+Project_FCF!B18</f>
        <v>765.5728381365418</v>
      </c>
      <c r="D8221" s="4"/>
      <c r="E8221" s="4"/>
    </row>
    <row r="8222" spans="1:5" x14ac:dyDescent="0.3">
      <c r="A8222" s="9">
        <v>8214</v>
      </c>
      <c r="B8222" s="10">
        <f t="shared" ca="1" si="128"/>
        <v>6.7565168747323615E-2</v>
      </c>
      <c r="C8222" s="10">
        <f ca="1">NPV(B8222,Project_FCF!C18:J18)+Project_FCF!B18</f>
        <v>1048.3592546689119</v>
      </c>
      <c r="D8222" s="4"/>
      <c r="E8222" s="4"/>
    </row>
    <row r="8223" spans="1:5" x14ac:dyDescent="0.3">
      <c r="A8223" s="9">
        <v>8215</v>
      </c>
      <c r="B8223" s="10">
        <f t="shared" ca="1" si="128"/>
        <v>8.4933689781105395E-2</v>
      </c>
      <c r="C8223" s="10">
        <f ca="1">NPV(B8223,Project_FCF!C18:J18)+Project_FCF!B18</f>
        <v>897.62738600644411</v>
      </c>
      <c r="D8223" s="4"/>
      <c r="E8223" s="4"/>
    </row>
    <row r="8224" spans="1:5" x14ac:dyDescent="0.3">
      <c r="A8224" s="9">
        <v>8216</v>
      </c>
      <c r="B8224" s="10">
        <f t="shared" ca="1" si="128"/>
        <v>9.9192739825943399E-2</v>
      </c>
      <c r="C8224" s="10">
        <f ca="1">NPV(B8224,Project_FCF!C18:J18)+Project_FCF!B18</f>
        <v>788.4594540337082</v>
      </c>
      <c r="D8224" s="4"/>
      <c r="E8224" s="4"/>
    </row>
    <row r="8225" spans="1:5" x14ac:dyDescent="0.3">
      <c r="A8225" s="9">
        <v>8217</v>
      </c>
      <c r="B8225" s="10">
        <f t="shared" ca="1" si="128"/>
        <v>7.9801859638739758E-2</v>
      </c>
      <c r="C8225" s="10">
        <f ca="1">NPV(B8225,Project_FCF!C18:J18)+Project_FCF!B18</f>
        <v>940.01455233768547</v>
      </c>
      <c r="D8225" s="4"/>
      <c r="E8225" s="4"/>
    </row>
    <row r="8226" spans="1:5" x14ac:dyDescent="0.3">
      <c r="A8226" s="9">
        <v>8218</v>
      </c>
      <c r="B8226" s="10">
        <f t="shared" ca="1" si="128"/>
        <v>8.2305085770835437E-2</v>
      </c>
      <c r="C8226" s="10">
        <f ca="1">NPV(B8226,Project_FCF!C18:J18)+Project_FCF!B18</f>
        <v>919.12345679132659</v>
      </c>
      <c r="D8226" s="4"/>
      <c r="E8226" s="4"/>
    </row>
    <row r="8227" spans="1:5" x14ac:dyDescent="0.3">
      <c r="A8227" s="9">
        <v>8219</v>
      </c>
      <c r="B8227" s="10">
        <f t="shared" ca="1" si="128"/>
        <v>9.5341158301304435E-2</v>
      </c>
      <c r="C8227" s="10">
        <f ca="1">NPV(B8227,Project_FCF!C18:J18)+Project_FCF!B18</f>
        <v>816.75638062459257</v>
      </c>
      <c r="D8227" s="4"/>
      <c r="E8227" s="4"/>
    </row>
    <row r="8228" spans="1:5" x14ac:dyDescent="0.3">
      <c r="A8228" s="9">
        <v>8220</v>
      </c>
      <c r="B8228" s="10">
        <f t="shared" ca="1" si="128"/>
        <v>0.10170000916227034</v>
      </c>
      <c r="C8228" s="10">
        <f ca="1">NPV(B8228,Project_FCF!C18:J18)+Project_FCF!B18</f>
        <v>770.48954932934771</v>
      </c>
      <c r="D8228" s="4"/>
      <c r="E8228" s="4"/>
    </row>
    <row r="8229" spans="1:5" x14ac:dyDescent="0.3">
      <c r="A8229" s="9">
        <v>8221</v>
      </c>
      <c r="B8229" s="10">
        <f t="shared" ca="1" si="128"/>
        <v>8.9837367600447873E-2</v>
      </c>
      <c r="C8229" s="10">
        <f ca="1">NPV(B8229,Project_FCF!C18:J18)+Project_FCF!B18</f>
        <v>858.69914306209512</v>
      </c>
      <c r="D8229" s="4"/>
      <c r="E8229" s="4"/>
    </row>
    <row r="8230" spans="1:5" x14ac:dyDescent="0.3">
      <c r="A8230" s="9">
        <v>8222</v>
      </c>
      <c r="B8230" s="10">
        <f t="shared" ca="1" si="128"/>
        <v>9.5171953294847428E-2</v>
      </c>
      <c r="C8230" s="10">
        <f ca="1">NPV(B8230,Project_FCF!C18:J18)+Project_FCF!B18</f>
        <v>818.0191030999847</v>
      </c>
      <c r="D8230" s="4"/>
      <c r="E8230" s="4"/>
    </row>
    <row r="8231" spans="1:5" x14ac:dyDescent="0.3">
      <c r="A8231" s="9">
        <v>8223</v>
      </c>
      <c r="B8231" s="10">
        <f t="shared" ca="1" si="128"/>
        <v>8.8246310069084982E-2</v>
      </c>
      <c r="C8231" s="10">
        <f ca="1">NPV(B8231,Project_FCF!C18:J18)+Project_FCF!B18</f>
        <v>871.1654837677097</v>
      </c>
      <c r="D8231" s="4"/>
      <c r="E8231" s="4"/>
    </row>
    <row r="8232" spans="1:5" x14ac:dyDescent="0.3">
      <c r="A8232" s="9">
        <v>8224</v>
      </c>
      <c r="B8232" s="10">
        <f t="shared" ca="1" si="128"/>
        <v>7.0549528661120187E-2</v>
      </c>
      <c r="C8232" s="10">
        <f ca="1">NPV(B8232,Project_FCF!C18:J18)+Project_FCF!B18</f>
        <v>1020.9487301693293</v>
      </c>
      <c r="D8232" s="4"/>
      <c r="E8232" s="4"/>
    </row>
    <row r="8233" spans="1:5" x14ac:dyDescent="0.3">
      <c r="A8233" s="9">
        <v>8225</v>
      </c>
      <c r="B8233" s="10">
        <f t="shared" ca="1" si="128"/>
        <v>6.5311859256381707E-2</v>
      </c>
      <c r="C8233" s="10">
        <f ca="1">NPV(B8233,Project_FCF!C18:J18)+Project_FCF!B18</f>
        <v>1069.4959182632197</v>
      </c>
      <c r="D8233" s="4"/>
      <c r="E8233" s="4"/>
    </row>
    <row r="8234" spans="1:5" x14ac:dyDescent="0.3">
      <c r="A8234" s="9">
        <v>8226</v>
      </c>
      <c r="B8234" s="10">
        <f t="shared" ca="1" si="128"/>
        <v>7.7533032457982473E-2</v>
      </c>
      <c r="C8234" s="10">
        <f ca="1">NPV(B8234,Project_FCF!C18:J18)+Project_FCF!B18</f>
        <v>959.31166635026329</v>
      </c>
      <c r="D8234" s="4"/>
      <c r="E8234" s="4"/>
    </row>
    <row r="8235" spans="1:5" x14ac:dyDescent="0.3">
      <c r="A8235" s="9">
        <v>8227</v>
      </c>
      <c r="B8235" s="10">
        <f t="shared" ca="1" si="128"/>
        <v>9.6117192416461633E-2</v>
      </c>
      <c r="C8235" s="10">
        <f ca="1">NPV(B8235,Project_FCF!C18:J18)+Project_FCF!B18</f>
        <v>810.98641491257763</v>
      </c>
      <c r="D8235" s="4"/>
      <c r="E8235" s="4"/>
    </row>
    <row r="8236" spans="1:5" x14ac:dyDescent="0.3">
      <c r="A8236" s="9">
        <v>8228</v>
      </c>
      <c r="B8236" s="10">
        <f t="shared" ca="1" si="128"/>
        <v>7.111717758657278E-2</v>
      </c>
      <c r="C8236" s="10">
        <f ca="1">NPV(B8236,Project_FCF!C18:J18)+Project_FCF!B18</f>
        <v>1015.8089896508504</v>
      </c>
      <c r="D8236" s="4"/>
      <c r="E8236" s="4"/>
    </row>
    <row r="8237" spans="1:5" x14ac:dyDescent="0.3">
      <c r="A8237" s="9">
        <v>8229</v>
      </c>
      <c r="B8237" s="10">
        <f t="shared" ca="1" si="128"/>
        <v>9.6778123773010649E-2</v>
      </c>
      <c r="C8237" s="10">
        <f ca="1">NPV(B8237,Project_FCF!C18:J18)+Project_FCF!B18</f>
        <v>806.09974247183709</v>
      </c>
      <c r="D8237" s="4"/>
      <c r="E8237" s="4"/>
    </row>
    <row r="8238" spans="1:5" x14ac:dyDescent="0.3">
      <c r="A8238" s="9">
        <v>8230</v>
      </c>
      <c r="B8238" s="10">
        <f t="shared" ca="1" si="128"/>
        <v>9.9666988746165308E-2</v>
      </c>
      <c r="C8238" s="10">
        <f ca="1">NPV(B8238,Project_FCF!C18:J18)+Project_FCF!B18</f>
        <v>785.03355307619813</v>
      </c>
      <c r="D8238" s="4"/>
      <c r="E8238" s="4"/>
    </row>
    <row r="8239" spans="1:5" x14ac:dyDescent="0.3">
      <c r="A8239" s="9">
        <v>8231</v>
      </c>
      <c r="B8239" s="10">
        <f t="shared" ca="1" si="128"/>
        <v>0.10346669254380914</v>
      </c>
      <c r="C8239" s="10">
        <f ca="1">NPV(B8239,Project_FCF!C18:J18)+Project_FCF!B18</f>
        <v>758.03584601366174</v>
      </c>
      <c r="D8239" s="4"/>
      <c r="E8239" s="4"/>
    </row>
    <row r="8240" spans="1:5" x14ac:dyDescent="0.3">
      <c r="A8240" s="9">
        <v>8232</v>
      </c>
      <c r="B8240" s="10">
        <f t="shared" ca="1" si="128"/>
        <v>8.2902333160646283E-2</v>
      </c>
      <c r="C8240" s="10">
        <f ca="1">NPV(B8240,Project_FCF!C18:J18)+Project_FCF!B18</f>
        <v>914.19998761644138</v>
      </c>
      <c r="D8240" s="4"/>
      <c r="E8240" s="4"/>
    </row>
    <row r="8241" spans="1:5" x14ac:dyDescent="0.3">
      <c r="A8241" s="9">
        <v>8233</v>
      </c>
      <c r="B8241" s="10">
        <f t="shared" ca="1" si="128"/>
        <v>7.9457848610739748E-2</v>
      </c>
      <c r="C8241" s="10">
        <f ca="1">NPV(B8241,Project_FCF!C18:J18)+Project_FCF!B18</f>
        <v>942.91813445547928</v>
      </c>
      <c r="D8241" s="4"/>
      <c r="E8241" s="4"/>
    </row>
    <row r="8242" spans="1:5" x14ac:dyDescent="0.3">
      <c r="A8242" s="9">
        <v>8234</v>
      </c>
      <c r="B8242" s="10">
        <f t="shared" ca="1" si="128"/>
        <v>7.6160152553870056E-2</v>
      </c>
      <c r="C8242" s="10">
        <f ca="1">NPV(B8242,Project_FCF!C18:J18)+Project_FCF!B18</f>
        <v>971.1588513603615</v>
      </c>
      <c r="D8242" s="4"/>
      <c r="E8242" s="4"/>
    </row>
    <row r="8243" spans="1:5" x14ac:dyDescent="0.3">
      <c r="A8243" s="9">
        <v>8235</v>
      </c>
      <c r="B8243" s="10">
        <f t="shared" ca="1" si="128"/>
        <v>0.10238841448875385</v>
      </c>
      <c r="C8243" s="10">
        <f ca="1">NPV(B8243,Project_FCF!C18:J18)+Project_FCF!B18</f>
        <v>765.61655480787203</v>
      </c>
      <c r="D8243" s="4"/>
      <c r="E8243" s="4"/>
    </row>
    <row r="8244" spans="1:5" x14ac:dyDescent="0.3">
      <c r="A8244" s="9">
        <v>8236</v>
      </c>
      <c r="B8244" s="10">
        <f t="shared" ca="1" si="128"/>
        <v>9.0580766614713551E-2</v>
      </c>
      <c r="C8244" s="10">
        <f ca="1">NPV(B8244,Project_FCF!C18:J18)+Project_FCF!B18</f>
        <v>852.92764720599575</v>
      </c>
      <c r="D8244" s="4"/>
      <c r="E8244" s="4"/>
    </row>
    <row r="8245" spans="1:5" x14ac:dyDescent="0.3">
      <c r="A8245" s="9">
        <v>8237</v>
      </c>
      <c r="B8245" s="10">
        <f t="shared" ca="1" si="128"/>
        <v>0.10354592436397621</v>
      </c>
      <c r="C8245" s="10">
        <f ca="1">NPV(B8245,Project_FCF!C18:J18)+Project_FCF!B18</f>
        <v>757.48130894635915</v>
      </c>
      <c r="D8245" s="4"/>
      <c r="E8245" s="4"/>
    </row>
    <row r="8246" spans="1:5" x14ac:dyDescent="0.3">
      <c r="A8246" s="9">
        <v>8238</v>
      </c>
      <c r="B8246" s="10">
        <f t="shared" ca="1" si="128"/>
        <v>9.8898862305113411E-2</v>
      </c>
      <c r="C8246" s="10">
        <f ca="1">NPV(B8246,Project_FCF!C18:J18)+Project_FCF!B18</f>
        <v>790.58873035943338</v>
      </c>
      <c r="D8246" s="4"/>
      <c r="E8246" s="4"/>
    </row>
    <row r="8247" spans="1:5" x14ac:dyDescent="0.3">
      <c r="A8247" s="9">
        <v>8239</v>
      </c>
      <c r="B8247" s="10">
        <f t="shared" ca="1" si="128"/>
        <v>6.6043331859877319E-2</v>
      </c>
      <c r="C8247" s="10">
        <f ca="1">NPV(B8247,Project_FCF!C18:J18)+Project_FCF!B18</f>
        <v>1062.5923694335561</v>
      </c>
      <c r="D8247" s="4"/>
      <c r="E8247" s="4"/>
    </row>
    <row r="8248" spans="1:5" x14ac:dyDescent="0.3">
      <c r="A8248" s="9">
        <v>8240</v>
      </c>
      <c r="B8248" s="10">
        <f t="shared" ca="1" si="128"/>
        <v>8.7606675974298304E-2</v>
      </c>
      <c r="C8248" s="10">
        <f ca="1">NPV(B8248,Project_FCF!C18:J18)+Project_FCF!B18</f>
        <v>876.2213294782091</v>
      </c>
      <c r="D8248" s="4"/>
      <c r="E8248" s="4"/>
    </row>
    <row r="8249" spans="1:5" x14ac:dyDescent="0.3">
      <c r="A8249" s="9">
        <v>8241</v>
      </c>
      <c r="B8249" s="10">
        <f t="shared" ca="1" si="128"/>
        <v>9.2237011565284521E-2</v>
      </c>
      <c r="C8249" s="10">
        <f ca="1">NPV(B8249,Project_FCF!C18:J18)+Project_FCF!B18</f>
        <v>840.18957909963251</v>
      </c>
      <c r="D8249" s="4"/>
      <c r="E8249" s="4"/>
    </row>
    <row r="8250" spans="1:5" x14ac:dyDescent="0.3">
      <c r="A8250" s="9">
        <v>8242</v>
      </c>
      <c r="B8250" s="10">
        <f t="shared" ca="1" si="128"/>
        <v>7.5689523733757647E-2</v>
      </c>
      <c r="C8250" s="10">
        <f ca="1">NPV(B8250,Project_FCF!C18:J18)+Project_FCF!B18</f>
        <v>975.25005272876297</v>
      </c>
      <c r="D8250" s="4"/>
      <c r="E8250" s="4"/>
    </row>
    <row r="8251" spans="1:5" x14ac:dyDescent="0.3">
      <c r="A8251" s="9">
        <v>8243</v>
      </c>
      <c r="B8251" s="10">
        <f t="shared" ca="1" si="128"/>
        <v>8.5416224593328233E-2</v>
      </c>
      <c r="C8251" s="10">
        <f ca="1">NPV(B8251,Project_FCF!C18:J18)+Project_FCF!B18</f>
        <v>893.72963562487848</v>
      </c>
      <c r="D8251" s="4"/>
      <c r="E8251" s="4"/>
    </row>
    <row r="8252" spans="1:5" x14ac:dyDescent="0.3">
      <c r="A8252" s="9">
        <v>8244</v>
      </c>
      <c r="B8252" s="10">
        <f t="shared" ca="1" si="128"/>
        <v>8.6655601817276773E-2</v>
      </c>
      <c r="C8252" s="10">
        <f ca="1">NPV(B8252,Project_FCF!C18:J18)+Project_FCF!B18</f>
        <v>883.78614321732834</v>
      </c>
      <c r="D8252" s="4"/>
      <c r="E8252" s="4"/>
    </row>
    <row r="8253" spans="1:5" x14ac:dyDescent="0.3">
      <c r="A8253" s="9">
        <v>8245</v>
      </c>
      <c r="B8253" s="10">
        <f t="shared" ca="1" si="128"/>
        <v>7.2892576448756505E-2</v>
      </c>
      <c r="C8253" s="10">
        <f ca="1">NPV(B8253,Project_FCF!C18:J18)+Project_FCF!B18</f>
        <v>999.88388792165347</v>
      </c>
      <c r="D8253" s="4"/>
      <c r="E8253" s="4"/>
    </row>
    <row r="8254" spans="1:5" x14ac:dyDescent="0.3">
      <c r="A8254" s="9">
        <v>8246</v>
      </c>
      <c r="B8254" s="10">
        <f t="shared" ca="1" si="128"/>
        <v>6.8683690887704388E-2</v>
      </c>
      <c r="C8254" s="10">
        <f ca="1">NPV(B8254,Project_FCF!C18:J18)+Project_FCF!B18</f>
        <v>1038.0088171017751</v>
      </c>
      <c r="D8254" s="4"/>
      <c r="E8254" s="4"/>
    </row>
    <row r="8255" spans="1:5" x14ac:dyDescent="0.3">
      <c r="A8255" s="9">
        <v>8247</v>
      </c>
      <c r="B8255" s="10">
        <f t="shared" ca="1" si="128"/>
        <v>0.10087106396527863</v>
      </c>
      <c r="C8255" s="10">
        <f ca="1">NPV(B8255,Project_FCF!C18:J18)+Project_FCF!B18</f>
        <v>776.3920209060409</v>
      </c>
      <c r="D8255" s="4"/>
      <c r="E8255" s="4"/>
    </row>
    <row r="8256" spans="1:5" x14ac:dyDescent="0.3">
      <c r="A8256" s="9">
        <v>8248</v>
      </c>
      <c r="B8256" s="10">
        <f t="shared" ca="1" si="128"/>
        <v>6.9265167722621673E-2</v>
      </c>
      <c r="C8256" s="10">
        <f ca="1">NPV(B8256,Project_FCF!C18:J18)+Project_FCF!B18</f>
        <v>1032.6646916739705</v>
      </c>
      <c r="D8256" s="4"/>
      <c r="E8256" s="4"/>
    </row>
    <row r="8257" spans="1:5" x14ac:dyDescent="0.3">
      <c r="A8257" s="9">
        <v>8249</v>
      </c>
      <c r="B8257" s="10">
        <f t="shared" ca="1" si="128"/>
        <v>6.6037174946109264E-2</v>
      </c>
      <c r="C8257" s="10">
        <f ca="1">NPV(B8257,Project_FCF!C18:J18)+Project_FCF!B18</f>
        <v>1062.6503078141056</v>
      </c>
      <c r="D8257" s="4"/>
      <c r="E8257" s="4"/>
    </row>
    <row r="8258" spans="1:5" x14ac:dyDescent="0.3">
      <c r="A8258" s="9">
        <v>8250</v>
      </c>
      <c r="B8258" s="10">
        <f t="shared" ca="1" si="128"/>
        <v>9.0310212010596011E-2</v>
      </c>
      <c r="C8258" s="10">
        <f ca="1">NPV(B8258,Project_FCF!C18:J18)+Project_FCF!B18</f>
        <v>855.0242412366581</v>
      </c>
      <c r="D8258" s="4"/>
      <c r="E8258" s="4"/>
    </row>
    <row r="8259" spans="1:5" x14ac:dyDescent="0.3">
      <c r="A8259" s="9">
        <v>8251</v>
      </c>
      <c r="B8259" s="10">
        <f t="shared" ca="1" si="128"/>
        <v>9.2962587924711279E-2</v>
      </c>
      <c r="C8259" s="10">
        <f ca="1">NPV(B8259,Project_FCF!C18:J18)+Project_FCF!B18</f>
        <v>834.66111155356225</v>
      </c>
      <c r="D8259" s="4"/>
      <c r="E8259" s="4"/>
    </row>
    <row r="8260" spans="1:5" x14ac:dyDescent="0.3">
      <c r="A8260" s="9">
        <v>8252</v>
      </c>
      <c r="B8260" s="10">
        <f t="shared" ca="1" si="128"/>
        <v>8.786214372300255E-2</v>
      </c>
      <c r="C8260" s="10">
        <f ca="1">NPV(B8260,Project_FCF!C18:J18)+Project_FCF!B18</f>
        <v>874.19898666036988</v>
      </c>
      <c r="D8260" s="4"/>
      <c r="E8260" s="4"/>
    </row>
    <row r="8261" spans="1:5" x14ac:dyDescent="0.3">
      <c r="A8261" s="9">
        <v>8253</v>
      </c>
      <c r="B8261" s="10">
        <f t="shared" ca="1" si="128"/>
        <v>7.7222087428903019E-2</v>
      </c>
      <c r="C8261" s="10">
        <f ca="1">NPV(B8261,Project_FCF!C18:J18)+Project_FCF!B18</f>
        <v>961.98360636799021</v>
      </c>
      <c r="D8261" s="4"/>
      <c r="E8261" s="4"/>
    </row>
    <row r="8262" spans="1:5" x14ac:dyDescent="0.3">
      <c r="A8262" s="9">
        <v>8254</v>
      </c>
      <c r="B8262" s="10">
        <f t="shared" ca="1" si="128"/>
        <v>6.71523895210486E-2</v>
      </c>
      <c r="C8262" s="10">
        <f ca="1">NPV(B8262,Project_FCF!C18:J18)+Project_FCF!B18</f>
        <v>1052.2025784431178</v>
      </c>
      <c r="D8262" s="4"/>
      <c r="E8262" s="4"/>
    </row>
    <row r="8263" spans="1:5" x14ac:dyDescent="0.3">
      <c r="A8263" s="9">
        <v>8255</v>
      </c>
      <c r="B8263" s="10">
        <f t="shared" ca="1" si="128"/>
        <v>8.5772584190691642E-2</v>
      </c>
      <c r="C8263" s="10">
        <f ca="1">NPV(B8263,Project_FCF!C18:J18)+Project_FCF!B18</f>
        <v>890.86060380721551</v>
      </c>
      <c r="D8263" s="4"/>
      <c r="E8263" s="4"/>
    </row>
    <row r="8264" spans="1:5" x14ac:dyDescent="0.3">
      <c r="A8264" s="9">
        <v>8256</v>
      </c>
      <c r="B8264" s="10">
        <f t="shared" ca="1" si="128"/>
        <v>9.0137368084374073E-2</v>
      </c>
      <c r="C8264" s="10">
        <f ca="1">NPV(B8264,Project_FCF!C18:J18)+Project_FCF!B18</f>
        <v>856.36598517963034</v>
      </c>
      <c r="D8264" s="4"/>
      <c r="E8264" s="4"/>
    </row>
    <row r="8265" spans="1:5" x14ac:dyDescent="0.3">
      <c r="A8265" s="9">
        <v>8257</v>
      </c>
      <c r="B8265" s="10">
        <f t="shared" ref="B8265:B8328" ca="1" si="129">$B$4+RAND()*($B$5-$B$4)</f>
        <v>0.10052379577550336</v>
      </c>
      <c r="C8265" s="10">
        <f ca="1">NPV(B8265,Project_FCF!C18:J18)+Project_FCF!B18</f>
        <v>778.87604193017523</v>
      </c>
      <c r="D8265" s="4"/>
      <c r="E8265" s="4"/>
    </row>
    <row r="8266" spans="1:5" x14ac:dyDescent="0.3">
      <c r="A8266" s="9">
        <v>8258</v>
      </c>
      <c r="B8266" s="10">
        <f t="shared" ca="1" si="129"/>
        <v>9.5057357644989265E-2</v>
      </c>
      <c r="C8266" s="10">
        <f ca="1">NPV(B8266,Project_FCF!C18:J18)+Project_FCF!B18</f>
        <v>818.87524206511148</v>
      </c>
      <c r="D8266" s="4"/>
      <c r="E8266" s="4"/>
    </row>
    <row r="8267" spans="1:5" x14ac:dyDescent="0.3">
      <c r="A8267" s="9">
        <v>8259</v>
      </c>
      <c r="B8267" s="10">
        <f t="shared" ca="1" si="129"/>
        <v>7.1201590330967277E-2</v>
      </c>
      <c r="C8267" s="10">
        <f ca="1">NPV(B8267,Project_FCF!C18:J18)+Project_FCF!B18</f>
        <v>1015.0466766438287</v>
      </c>
      <c r="D8267" s="4"/>
      <c r="E8267" s="4"/>
    </row>
    <row r="8268" spans="1:5" x14ac:dyDescent="0.3">
      <c r="A8268" s="9">
        <v>8260</v>
      </c>
      <c r="B8268" s="10">
        <f t="shared" ca="1" si="129"/>
        <v>9.878693975382373E-2</v>
      </c>
      <c r="C8268" s="10">
        <f ca="1">NPV(B8268,Project_FCF!C18:J18)+Project_FCF!B18</f>
        <v>791.40094121101424</v>
      </c>
      <c r="D8268" s="4"/>
      <c r="E8268" s="4"/>
    </row>
    <row r="8269" spans="1:5" x14ac:dyDescent="0.3">
      <c r="A8269" s="9">
        <v>8261</v>
      </c>
      <c r="B8269" s="10">
        <f t="shared" ca="1" si="129"/>
        <v>8.817942973769155E-2</v>
      </c>
      <c r="C8269" s="10">
        <f ca="1">NPV(B8269,Project_FCF!C18:J18)+Project_FCF!B18</f>
        <v>871.69293334237204</v>
      </c>
      <c r="D8269" s="4"/>
      <c r="E8269" s="4"/>
    </row>
    <row r="8270" spans="1:5" x14ac:dyDescent="0.3">
      <c r="A8270" s="9">
        <v>8262</v>
      </c>
      <c r="B8270" s="10">
        <f t="shared" ca="1" si="129"/>
        <v>7.9934109675960152E-2</v>
      </c>
      <c r="C8270" s="10">
        <f ca="1">NPV(B8270,Project_FCF!C18:J18)+Project_FCF!B18</f>
        <v>938.90042244608389</v>
      </c>
      <c r="D8270" s="4"/>
      <c r="E8270" s="4"/>
    </row>
    <row r="8271" spans="1:5" x14ac:dyDescent="0.3">
      <c r="A8271" s="9">
        <v>8263</v>
      </c>
      <c r="B8271" s="10">
        <f t="shared" ca="1" si="129"/>
        <v>0.10043543090453677</v>
      </c>
      <c r="C8271" s="10">
        <f ca="1">NPV(B8271,Project_FCF!C18:J18)+Project_FCF!B18</f>
        <v>779.50918883714871</v>
      </c>
      <c r="D8271" s="4"/>
      <c r="E8271" s="4"/>
    </row>
    <row r="8272" spans="1:5" x14ac:dyDescent="0.3">
      <c r="A8272" s="9">
        <v>8264</v>
      </c>
      <c r="B8272" s="10">
        <f t="shared" ca="1" si="129"/>
        <v>8.0555407203479937E-2</v>
      </c>
      <c r="C8272" s="10">
        <f ca="1">NPV(B8272,Project_FCF!C18:J18)+Project_FCF!B18</f>
        <v>933.68198330011614</v>
      </c>
      <c r="D8272" s="4"/>
      <c r="E8272" s="4"/>
    </row>
    <row r="8273" spans="1:5" x14ac:dyDescent="0.3">
      <c r="A8273" s="9">
        <v>8265</v>
      </c>
      <c r="B8273" s="10">
        <f t="shared" ca="1" si="129"/>
        <v>8.4434466449554213E-2</v>
      </c>
      <c r="C8273" s="10">
        <f ca="1">NPV(B8273,Project_FCF!C18:J18)+Project_FCF!B18</f>
        <v>901.67560854480485</v>
      </c>
      <c r="D8273" s="4"/>
      <c r="E8273" s="4"/>
    </row>
    <row r="8274" spans="1:5" x14ac:dyDescent="0.3">
      <c r="A8274" s="9">
        <v>8266</v>
      </c>
      <c r="B8274" s="10">
        <f t="shared" ca="1" si="129"/>
        <v>6.7677673348359224E-2</v>
      </c>
      <c r="C8274" s="10">
        <f ca="1">NPV(B8274,Project_FCF!C18:J18)+Project_FCF!B18</f>
        <v>1047.3139548986103</v>
      </c>
      <c r="D8274" s="4"/>
      <c r="E8274" s="4"/>
    </row>
    <row r="8275" spans="1:5" x14ac:dyDescent="0.3">
      <c r="A8275" s="9">
        <v>8267</v>
      </c>
      <c r="B8275" s="10">
        <f t="shared" ca="1" si="129"/>
        <v>7.4680927386073515E-2</v>
      </c>
      <c r="C8275" s="10">
        <f ca="1">NPV(B8275,Project_FCF!C18:J18)+Project_FCF!B18</f>
        <v>984.06976161318744</v>
      </c>
      <c r="D8275" s="4"/>
      <c r="E8275" s="4"/>
    </row>
    <row r="8276" spans="1:5" x14ac:dyDescent="0.3">
      <c r="A8276" s="9">
        <v>8268</v>
      </c>
      <c r="B8276" s="10">
        <f t="shared" ca="1" si="129"/>
        <v>9.9578345067634286E-2</v>
      </c>
      <c r="C8276" s="10">
        <f ca="1">NPV(B8276,Project_FCF!C18:J18)+Project_FCF!B18</f>
        <v>785.6729416364235</v>
      </c>
      <c r="D8276" s="4"/>
      <c r="E8276" s="4"/>
    </row>
    <row r="8277" spans="1:5" x14ac:dyDescent="0.3">
      <c r="A8277" s="9">
        <v>8269</v>
      </c>
      <c r="B8277" s="10">
        <f t="shared" ca="1" si="129"/>
        <v>7.6214555334688988E-2</v>
      </c>
      <c r="C8277" s="10">
        <f ca="1">NPV(B8277,Project_FCF!C18:J18)+Project_FCF!B18</f>
        <v>970.68691463567302</v>
      </c>
      <c r="D8277" s="4"/>
      <c r="E8277" s="4"/>
    </row>
    <row r="8278" spans="1:5" x14ac:dyDescent="0.3">
      <c r="A8278" s="9">
        <v>8270</v>
      </c>
      <c r="B8278" s="10">
        <f t="shared" ca="1" si="129"/>
        <v>6.5816341327437758E-2</v>
      </c>
      <c r="C8278" s="10">
        <f ca="1">NPV(B8278,Project_FCF!C18:J18)+Project_FCF!B18</f>
        <v>1064.7303207648499</v>
      </c>
      <c r="D8278" s="4"/>
      <c r="E8278" s="4"/>
    </row>
    <row r="8279" spans="1:5" x14ac:dyDescent="0.3">
      <c r="A8279" s="9">
        <v>8271</v>
      </c>
      <c r="B8279" s="10">
        <f t="shared" ca="1" si="129"/>
        <v>9.0678834072218745E-2</v>
      </c>
      <c r="C8279" s="10">
        <f ca="1">NPV(B8279,Project_FCF!C18:J18)+Project_FCF!B18</f>
        <v>852.16879753200169</v>
      </c>
      <c r="D8279" s="4"/>
      <c r="E8279" s="4"/>
    </row>
    <row r="8280" spans="1:5" x14ac:dyDescent="0.3">
      <c r="A8280" s="9">
        <v>8272</v>
      </c>
      <c r="B8280" s="10">
        <f t="shared" ca="1" si="129"/>
        <v>7.6052088090490647E-2</v>
      </c>
      <c r="C8280" s="10">
        <f ca="1">NPV(B8280,Project_FCF!C18:J18)+Project_FCF!B18</f>
        <v>972.0969034593104</v>
      </c>
      <c r="D8280" s="4"/>
      <c r="E8280" s="4"/>
    </row>
    <row r="8281" spans="1:5" x14ac:dyDescent="0.3">
      <c r="A8281" s="9">
        <v>8273</v>
      </c>
      <c r="B8281" s="10">
        <f t="shared" ca="1" si="129"/>
        <v>9.5419609317293458E-2</v>
      </c>
      <c r="C8281" s="10">
        <f ca="1">NPV(B8281,Project_FCF!C18:J18)+Project_FCF!B18</f>
        <v>816.1714920013053</v>
      </c>
      <c r="D8281" s="4"/>
      <c r="E8281" s="4"/>
    </row>
    <row r="8282" spans="1:5" x14ac:dyDescent="0.3">
      <c r="A8282" s="9">
        <v>8274</v>
      </c>
      <c r="B8282" s="10">
        <f t="shared" ca="1" si="129"/>
        <v>8.3611891177021974E-2</v>
      </c>
      <c r="C8282" s="10">
        <f ca="1">NPV(B8282,Project_FCF!C18:J18)+Project_FCF!B18</f>
        <v>908.38085184617421</v>
      </c>
      <c r="D8282" s="4"/>
      <c r="E8282" s="4"/>
    </row>
    <row r="8283" spans="1:5" x14ac:dyDescent="0.3">
      <c r="A8283" s="9">
        <v>8275</v>
      </c>
      <c r="B8283" s="10">
        <f t="shared" ca="1" si="129"/>
        <v>9.8695495027258717E-2</v>
      </c>
      <c r="C8283" s="10">
        <f ca="1">NPV(B8283,Project_FCF!C18:J18)+Project_FCF!B18</f>
        <v>792.06507182916584</v>
      </c>
      <c r="D8283" s="4"/>
      <c r="E8283" s="4"/>
    </row>
    <row r="8284" spans="1:5" x14ac:dyDescent="0.3">
      <c r="A8284" s="9">
        <v>8276</v>
      </c>
      <c r="B8284" s="10">
        <f t="shared" ca="1" si="129"/>
        <v>8.9218420269617849E-2</v>
      </c>
      <c r="C8284" s="10">
        <f ca="1">NPV(B8284,Project_FCF!C18:J18)+Project_FCF!B18</f>
        <v>863.53022461350656</v>
      </c>
      <c r="D8284" s="4"/>
      <c r="E8284" s="4"/>
    </row>
    <row r="8285" spans="1:5" x14ac:dyDescent="0.3">
      <c r="A8285" s="9">
        <v>8277</v>
      </c>
      <c r="B8285" s="10">
        <f t="shared" ca="1" si="129"/>
        <v>9.4451966152816133E-2</v>
      </c>
      <c r="C8285" s="10">
        <f ca="1">NPV(B8285,Project_FCF!C18:J18)+Project_FCF!B18</f>
        <v>823.4108408757113</v>
      </c>
      <c r="D8285" s="4"/>
      <c r="E8285" s="4"/>
    </row>
    <row r="8286" spans="1:5" x14ac:dyDescent="0.3">
      <c r="A8286" s="9">
        <v>8278</v>
      </c>
      <c r="B8286" s="10">
        <f t="shared" ca="1" si="129"/>
        <v>8.0720703012471723E-2</v>
      </c>
      <c r="C8286" s="10">
        <f ca="1">NPV(B8286,Project_FCF!C18:J18)+Project_FCF!B18</f>
        <v>932.29795027882938</v>
      </c>
      <c r="D8286" s="4"/>
      <c r="E8286" s="4"/>
    </row>
    <row r="8287" spans="1:5" x14ac:dyDescent="0.3">
      <c r="A8287" s="9">
        <v>8279</v>
      </c>
      <c r="B8287" s="10">
        <f t="shared" ca="1" si="129"/>
        <v>8.0893174733991699E-2</v>
      </c>
      <c r="C8287" s="10">
        <f ca="1">NPV(B8287,Project_FCF!C18:J18)+Project_FCF!B18</f>
        <v>930.85576702578715</v>
      </c>
      <c r="D8287" s="4"/>
      <c r="E8287" s="4"/>
    </row>
    <row r="8288" spans="1:5" x14ac:dyDescent="0.3">
      <c r="A8288" s="9">
        <v>8280</v>
      </c>
      <c r="B8288" s="10">
        <f t="shared" ca="1" si="129"/>
        <v>8.698928811162232E-2</v>
      </c>
      <c r="C8288" s="10">
        <f ca="1">NPV(B8288,Project_FCF!C18:J18)+Project_FCF!B18</f>
        <v>881.12555336177525</v>
      </c>
      <c r="D8288" s="4"/>
      <c r="E8288" s="4"/>
    </row>
    <row r="8289" spans="1:5" x14ac:dyDescent="0.3">
      <c r="A8289" s="9">
        <v>8281</v>
      </c>
      <c r="B8289" s="10">
        <f t="shared" ca="1" si="129"/>
        <v>7.2222933346313814E-2</v>
      </c>
      <c r="C8289" s="10">
        <f ca="1">NPV(B8289,Project_FCF!C18:J18)+Project_FCF!B18</f>
        <v>1005.8639128673819</v>
      </c>
      <c r="D8289" s="4"/>
      <c r="E8289" s="4"/>
    </row>
    <row r="8290" spans="1:5" x14ac:dyDescent="0.3">
      <c r="A8290" s="9">
        <v>8282</v>
      </c>
      <c r="B8290" s="10">
        <f t="shared" ca="1" si="129"/>
        <v>8.6087882218317535E-2</v>
      </c>
      <c r="C8290" s="10">
        <f ca="1">NPV(B8290,Project_FCF!C18:J18)+Project_FCF!B18</f>
        <v>888.32887605936935</v>
      </c>
      <c r="D8290" s="4"/>
      <c r="E8290" s="4"/>
    </row>
    <row r="8291" spans="1:5" x14ac:dyDescent="0.3">
      <c r="A8291" s="9">
        <v>8283</v>
      </c>
      <c r="B8291" s="10">
        <f t="shared" ca="1" si="129"/>
        <v>9.9412466138362923E-2</v>
      </c>
      <c r="C8291" s="10">
        <f ca="1">NPV(B8291,Project_FCF!C18:J18)+Project_FCF!B18</f>
        <v>786.87061415115068</v>
      </c>
      <c r="D8291" s="4"/>
      <c r="E8291" s="4"/>
    </row>
    <row r="8292" spans="1:5" x14ac:dyDescent="0.3">
      <c r="A8292" s="9">
        <v>8284</v>
      </c>
      <c r="B8292" s="10">
        <f t="shared" ca="1" si="129"/>
        <v>8.2959914669992696E-2</v>
      </c>
      <c r="C8292" s="10">
        <f ca="1">NPV(B8292,Project_FCF!C18:J18)+Project_FCF!B18</f>
        <v>913.72653816913862</v>
      </c>
      <c r="D8292" s="4"/>
      <c r="E8292" s="4"/>
    </row>
    <row r="8293" spans="1:5" x14ac:dyDescent="0.3">
      <c r="A8293" s="9">
        <v>8285</v>
      </c>
      <c r="B8293" s="10">
        <f t="shared" ca="1" si="129"/>
        <v>9.416993835797996E-2</v>
      </c>
      <c r="C8293" s="10">
        <f ca="1">NPV(B8293,Project_FCF!C18:J18)+Project_FCF!B18</f>
        <v>825.53113633419503</v>
      </c>
      <c r="D8293" s="4"/>
      <c r="E8293" s="4"/>
    </row>
    <row r="8294" spans="1:5" x14ac:dyDescent="0.3">
      <c r="A8294" s="9">
        <v>8286</v>
      </c>
      <c r="B8294" s="10">
        <f t="shared" ca="1" si="129"/>
        <v>9.1877691951939983E-2</v>
      </c>
      <c r="C8294" s="10">
        <f ca="1">NPV(B8294,Project_FCF!C18:J18)+Project_FCF!B18</f>
        <v>842.9390442512406</v>
      </c>
      <c r="D8294" s="4"/>
      <c r="E8294" s="4"/>
    </row>
    <row r="8295" spans="1:5" x14ac:dyDescent="0.3">
      <c r="A8295" s="9">
        <v>8287</v>
      </c>
      <c r="B8295" s="10">
        <f t="shared" ca="1" si="129"/>
        <v>8.0559669909950421E-2</v>
      </c>
      <c r="C8295" s="10">
        <f ca="1">NPV(B8295,Project_FCF!C18:J18)+Project_FCF!B18</f>
        <v>933.64626855601273</v>
      </c>
      <c r="D8295" s="4"/>
      <c r="E8295" s="4"/>
    </row>
    <row r="8296" spans="1:5" x14ac:dyDescent="0.3">
      <c r="A8296" s="9">
        <v>8288</v>
      </c>
      <c r="B8296" s="10">
        <f t="shared" ca="1" si="129"/>
        <v>7.0015649661242838E-2</v>
      </c>
      <c r="C8296" s="10">
        <f ca="1">NPV(B8296,Project_FCF!C18:J18)+Project_FCF!B18</f>
        <v>1025.8041135889091</v>
      </c>
      <c r="D8296" s="4"/>
      <c r="E8296" s="4"/>
    </row>
    <row r="8297" spans="1:5" x14ac:dyDescent="0.3">
      <c r="A8297" s="9">
        <v>8289</v>
      </c>
      <c r="B8297" s="10">
        <f t="shared" ca="1" si="129"/>
        <v>0.10396659834014725</v>
      </c>
      <c r="C8297" s="10">
        <f ca="1">NPV(B8297,Project_FCF!C18:J18)+Project_FCF!B18</f>
        <v>754.5427361496188</v>
      </c>
      <c r="D8297" s="4"/>
      <c r="E8297" s="4"/>
    </row>
    <row r="8298" spans="1:5" x14ac:dyDescent="0.3">
      <c r="A8298" s="9">
        <v>8290</v>
      </c>
      <c r="B8298" s="10">
        <f t="shared" ca="1" si="129"/>
        <v>7.2729912220846848E-2</v>
      </c>
      <c r="C8298" s="10">
        <f ca="1">NPV(B8298,Project_FCF!C18:J18)+Project_FCF!B18</f>
        <v>1001.3335599312893</v>
      </c>
      <c r="D8298" s="4"/>
      <c r="E8298" s="4"/>
    </row>
    <row r="8299" spans="1:5" x14ac:dyDescent="0.3">
      <c r="A8299" s="9">
        <v>8291</v>
      </c>
      <c r="B8299" s="10">
        <f t="shared" ca="1" si="129"/>
        <v>6.4640344140420233E-2</v>
      </c>
      <c r="C8299" s="10">
        <f ca="1">NPV(B8299,Project_FCF!C18:J18)+Project_FCF!B18</f>
        <v>1075.8695751993462</v>
      </c>
      <c r="D8299" s="4"/>
      <c r="E8299" s="4"/>
    </row>
    <row r="8300" spans="1:5" x14ac:dyDescent="0.3">
      <c r="A8300" s="9">
        <v>8292</v>
      </c>
      <c r="B8300" s="10">
        <f t="shared" ca="1" si="129"/>
        <v>7.5597348229116221E-2</v>
      </c>
      <c r="C8300" s="10">
        <f ca="1">NPV(B8300,Project_FCF!C18:J18)+Project_FCF!B18</f>
        <v>976.05313986893725</v>
      </c>
      <c r="D8300" s="4"/>
      <c r="E8300" s="4"/>
    </row>
    <row r="8301" spans="1:5" x14ac:dyDescent="0.3">
      <c r="A8301" s="9">
        <v>8293</v>
      </c>
      <c r="B8301" s="10">
        <f t="shared" ca="1" si="129"/>
        <v>0.1003120540323458</v>
      </c>
      <c r="C8301" s="10">
        <f ca="1">NPV(B8301,Project_FCF!C18:J18)+Project_FCF!B18</f>
        <v>780.39392908287255</v>
      </c>
      <c r="D8301" s="4"/>
      <c r="E8301" s="4"/>
    </row>
    <row r="8302" spans="1:5" x14ac:dyDescent="0.3">
      <c r="A8302" s="9">
        <v>8294</v>
      </c>
      <c r="B8302" s="10">
        <f t="shared" ca="1" si="129"/>
        <v>8.8500060062496694E-2</v>
      </c>
      <c r="C8302" s="10">
        <f ca="1">NPV(B8302,Project_FCF!C18:J18)+Project_FCF!B18</f>
        <v>869.16681585480796</v>
      </c>
      <c r="D8302" s="4"/>
      <c r="E8302" s="4"/>
    </row>
    <row r="8303" spans="1:5" x14ac:dyDescent="0.3">
      <c r="A8303" s="9">
        <v>8295</v>
      </c>
      <c r="B8303" s="10">
        <f t="shared" ca="1" si="129"/>
        <v>6.5725668257463871E-2</v>
      </c>
      <c r="C8303" s="10">
        <f ca="1">NPV(B8303,Project_FCF!C18:J18)+Project_FCF!B18</f>
        <v>1065.5854361182505</v>
      </c>
      <c r="D8303" s="4"/>
      <c r="E8303" s="4"/>
    </row>
    <row r="8304" spans="1:5" x14ac:dyDescent="0.3">
      <c r="A8304" s="9">
        <v>8296</v>
      </c>
      <c r="B8304" s="10">
        <f t="shared" ca="1" si="129"/>
        <v>8.0490642850945399E-2</v>
      </c>
      <c r="C8304" s="10">
        <f ca="1">NPV(B8304,Project_FCF!C18:J18)+Project_FCF!B18</f>
        <v>934.22475491015143</v>
      </c>
      <c r="D8304" s="4"/>
      <c r="E8304" s="4"/>
    </row>
    <row r="8305" spans="1:5" x14ac:dyDescent="0.3">
      <c r="A8305" s="9">
        <v>8297</v>
      </c>
      <c r="B8305" s="10">
        <f t="shared" ca="1" si="129"/>
        <v>8.7373535691165474E-2</v>
      </c>
      <c r="C8305" s="10">
        <f ca="1">NPV(B8305,Project_FCF!C18:J18)+Project_FCF!B18</f>
        <v>878.07047769974793</v>
      </c>
      <c r="D8305" s="4"/>
      <c r="E8305" s="4"/>
    </row>
    <row r="8306" spans="1:5" x14ac:dyDescent="0.3">
      <c r="A8306" s="9">
        <v>8298</v>
      </c>
      <c r="B8306" s="10">
        <f t="shared" ca="1" si="129"/>
        <v>8.7508600983848717E-2</v>
      </c>
      <c r="C8306" s="10">
        <f ca="1">NPV(B8306,Project_FCF!C18:J18)+Project_FCF!B18</f>
        <v>876.9987957942044</v>
      </c>
      <c r="D8306" s="4"/>
      <c r="E8306" s="4"/>
    </row>
    <row r="8307" spans="1:5" x14ac:dyDescent="0.3">
      <c r="A8307" s="9">
        <v>8299</v>
      </c>
      <c r="B8307" s="10">
        <f t="shared" ca="1" si="129"/>
        <v>9.8381553488964407E-2</v>
      </c>
      <c r="C8307" s="10">
        <f ca="1">NPV(B8307,Project_FCF!C18:J18)+Project_FCF!B18</f>
        <v>794.3487183334089</v>
      </c>
      <c r="D8307" s="4"/>
      <c r="E8307" s="4"/>
    </row>
    <row r="8308" spans="1:5" x14ac:dyDescent="0.3">
      <c r="A8308" s="9">
        <v>8300</v>
      </c>
      <c r="B8308" s="10">
        <f t="shared" ca="1" si="129"/>
        <v>8.0116146734352606E-2</v>
      </c>
      <c r="C8308" s="10">
        <f ca="1">NPV(B8308,Project_FCF!C18:J18)+Project_FCF!B18</f>
        <v>937.36877858216235</v>
      </c>
      <c r="D8308" s="4"/>
      <c r="E8308" s="4"/>
    </row>
    <row r="8309" spans="1:5" x14ac:dyDescent="0.3">
      <c r="A8309" s="9">
        <v>8301</v>
      </c>
      <c r="B8309" s="10">
        <f t="shared" ca="1" si="129"/>
        <v>9.6472647017909752E-2</v>
      </c>
      <c r="C8309" s="10">
        <f ca="1">NPV(B8309,Project_FCF!C18:J18)+Project_FCF!B18</f>
        <v>808.3551887396834</v>
      </c>
      <c r="D8309" s="4"/>
      <c r="E8309" s="4"/>
    </row>
    <row r="8310" spans="1:5" x14ac:dyDescent="0.3">
      <c r="A8310" s="9">
        <v>8302</v>
      </c>
      <c r="B8310" s="10">
        <f t="shared" ca="1" si="129"/>
        <v>9.4419804178138528E-2</v>
      </c>
      <c r="C8310" s="10">
        <f ca="1">NPV(B8310,Project_FCF!C18:J18)+Project_FCF!B18</f>
        <v>823.65239965392652</v>
      </c>
      <c r="D8310" s="4"/>
      <c r="E8310" s="4"/>
    </row>
    <row r="8311" spans="1:5" x14ac:dyDescent="0.3">
      <c r="A8311" s="9">
        <v>8303</v>
      </c>
      <c r="B8311" s="10">
        <f t="shared" ca="1" si="129"/>
        <v>6.5392269346326692E-2</v>
      </c>
      <c r="C8311" s="10">
        <f ca="1">NPV(B8311,Project_FCF!C18:J18)+Project_FCF!B18</f>
        <v>1068.735022970824</v>
      </c>
      <c r="D8311" s="4"/>
      <c r="E8311" s="4"/>
    </row>
    <row r="8312" spans="1:5" x14ac:dyDescent="0.3">
      <c r="A8312" s="9">
        <v>8304</v>
      </c>
      <c r="B8312" s="10">
        <f t="shared" ca="1" si="129"/>
        <v>9.2109730481775398E-2</v>
      </c>
      <c r="C8312" s="10">
        <f ca="1">NPV(B8312,Project_FCF!C18:J18)+Project_FCF!B18</f>
        <v>841.16263113979403</v>
      </c>
      <c r="D8312" s="4"/>
      <c r="E8312" s="4"/>
    </row>
    <row r="8313" spans="1:5" x14ac:dyDescent="0.3">
      <c r="A8313" s="9">
        <v>8305</v>
      </c>
      <c r="B8313" s="10">
        <f t="shared" ca="1" si="129"/>
        <v>9.0933145338619292E-2</v>
      </c>
      <c r="C8313" s="10">
        <f ca="1">NPV(B8313,Project_FCF!C18:J18)+Project_FCF!B18</f>
        <v>850.20364701850485</v>
      </c>
      <c r="D8313" s="4"/>
      <c r="E8313" s="4"/>
    </row>
    <row r="8314" spans="1:5" x14ac:dyDescent="0.3">
      <c r="A8314" s="9">
        <v>8306</v>
      </c>
      <c r="B8314" s="10">
        <f t="shared" ca="1" si="129"/>
        <v>6.6193929859614281E-2</v>
      </c>
      <c r="C8314" s="10">
        <f ca="1">NPV(B8314,Project_FCF!C18:J18)+Project_FCF!B18</f>
        <v>1061.1760929772884</v>
      </c>
      <c r="D8314" s="4"/>
      <c r="E8314" s="4"/>
    </row>
    <row r="8315" spans="1:5" x14ac:dyDescent="0.3">
      <c r="A8315" s="9">
        <v>8307</v>
      </c>
      <c r="B8315" s="10">
        <f t="shared" ca="1" si="129"/>
        <v>6.9186107126371313E-2</v>
      </c>
      <c r="C8315" s="10">
        <f ca="1">NPV(B8315,Project_FCF!C18:J18)+Project_FCF!B18</f>
        <v>1033.3898403100548</v>
      </c>
      <c r="D8315" s="4"/>
      <c r="E8315" s="4"/>
    </row>
    <row r="8316" spans="1:5" x14ac:dyDescent="0.3">
      <c r="A8316" s="9">
        <v>8308</v>
      </c>
      <c r="B8316" s="10">
        <f t="shared" ca="1" si="129"/>
        <v>6.7396901468183404E-2</v>
      </c>
      <c r="C8316" s="10">
        <f ca="1">NPV(B8316,Project_FCF!C18:J18)+Project_FCF!B18</f>
        <v>1049.9244231998327</v>
      </c>
      <c r="D8316" s="4"/>
      <c r="E8316" s="4"/>
    </row>
    <row r="8317" spans="1:5" x14ac:dyDescent="0.3">
      <c r="A8317" s="9">
        <v>8309</v>
      </c>
      <c r="B8317" s="10">
        <f t="shared" ca="1" si="129"/>
        <v>6.4946881618741473E-2</v>
      </c>
      <c r="C8317" s="10">
        <f ca="1">NPV(B8317,Project_FCF!C18:J18)+Project_FCF!B18</f>
        <v>1072.9558009062991</v>
      </c>
      <c r="D8317" s="4"/>
      <c r="E8317" s="4"/>
    </row>
    <row r="8318" spans="1:5" x14ac:dyDescent="0.3">
      <c r="A8318" s="9">
        <v>8310</v>
      </c>
      <c r="B8318" s="10">
        <f t="shared" ca="1" si="129"/>
        <v>7.2901120164937744E-2</v>
      </c>
      <c r="C8318" s="10">
        <f ca="1">NPV(B8318,Project_FCF!C18:J18)+Project_FCF!B18</f>
        <v>999.80779804163421</v>
      </c>
      <c r="D8318" s="4"/>
      <c r="E8318" s="4"/>
    </row>
    <row r="8319" spans="1:5" x14ac:dyDescent="0.3">
      <c r="A8319" s="9">
        <v>8311</v>
      </c>
      <c r="B8319" s="10">
        <f t="shared" ca="1" si="129"/>
        <v>7.5257035348408483E-2</v>
      </c>
      <c r="C8319" s="10">
        <f ca="1">NPV(B8319,Project_FCF!C18:J18)+Project_FCF!B18</f>
        <v>979.02326802300672</v>
      </c>
      <c r="D8319" s="4"/>
      <c r="E8319" s="4"/>
    </row>
    <row r="8320" spans="1:5" x14ac:dyDescent="0.3">
      <c r="A8320" s="9">
        <v>8312</v>
      </c>
      <c r="B8320" s="10">
        <f t="shared" ca="1" si="129"/>
        <v>6.6886634162847625E-2</v>
      </c>
      <c r="C8320" s="10">
        <f ca="1">NPV(B8320,Project_FCF!C18:J18)+Project_FCF!B18</f>
        <v>1054.6837552619675</v>
      </c>
      <c r="D8320" s="4"/>
      <c r="E8320" s="4"/>
    </row>
    <row r="8321" spans="1:5" x14ac:dyDescent="0.3">
      <c r="A8321" s="9">
        <v>8313</v>
      </c>
      <c r="B8321" s="10">
        <f t="shared" ca="1" si="129"/>
        <v>8.5490118513406738E-2</v>
      </c>
      <c r="C8321" s="10">
        <f ca="1">NPV(B8321,Project_FCF!C18:J18)+Project_FCF!B18</f>
        <v>893.13405620064805</v>
      </c>
      <c r="D8321" s="4"/>
      <c r="E8321" s="4"/>
    </row>
    <row r="8322" spans="1:5" x14ac:dyDescent="0.3">
      <c r="A8322" s="9">
        <v>8314</v>
      </c>
      <c r="B8322" s="10">
        <f t="shared" ca="1" si="129"/>
        <v>8.3675063482378714E-2</v>
      </c>
      <c r="C8322" s="10">
        <f ca="1">NPV(B8322,Project_FCF!C18:J18)+Project_FCF!B18</f>
        <v>907.86435344019742</v>
      </c>
      <c r="D8322" s="4"/>
      <c r="E8322" s="4"/>
    </row>
    <row r="8323" spans="1:5" x14ac:dyDescent="0.3">
      <c r="A8323" s="9">
        <v>8315</v>
      </c>
      <c r="B8323" s="10">
        <f t="shared" ca="1" si="129"/>
        <v>8.8857741949454991E-2</v>
      </c>
      <c r="C8323" s="10">
        <f ca="1">NPV(B8323,Project_FCF!C18:J18)+Project_FCF!B18</f>
        <v>866.35629466625846</v>
      </c>
      <c r="D8323" s="4"/>
      <c r="E8323" s="4"/>
    </row>
    <row r="8324" spans="1:5" x14ac:dyDescent="0.3">
      <c r="A8324" s="9">
        <v>8316</v>
      </c>
      <c r="B8324" s="10">
        <f t="shared" ca="1" si="129"/>
        <v>7.7949706476320019E-2</v>
      </c>
      <c r="C8324" s="10">
        <f ca="1">NPV(B8324,Project_FCF!C18:J18)+Project_FCF!B18</f>
        <v>955.7415579487224</v>
      </c>
      <c r="D8324" s="4"/>
      <c r="E8324" s="4"/>
    </row>
    <row r="8325" spans="1:5" x14ac:dyDescent="0.3">
      <c r="A8325" s="9">
        <v>8317</v>
      </c>
      <c r="B8325" s="10">
        <f t="shared" ca="1" si="129"/>
        <v>6.9586572634438112E-2</v>
      </c>
      <c r="C8325" s="10">
        <f ca="1">NPV(B8325,Project_FCF!C18:J18)+Project_FCF!B18</f>
        <v>1029.7214843676784</v>
      </c>
      <c r="D8325" s="4"/>
      <c r="E8325" s="4"/>
    </row>
    <row r="8326" spans="1:5" x14ac:dyDescent="0.3">
      <c r="A8326" s="9">
        <v>8318</v>
      </c>
      <c r="B8326" s="10">
        <f t="shared" ca="1" si="129"/>
        <v>6.5142723387127066E-2</v>
      </c>
      <c r="C8326" s="10">
        <f ca="1">NPV(B8326,Project_FCF!C18:J18)+Project_FCF!B18</f>
        <v>1071.0980101948514</v>
      </c>
      <c r="D8326" s="4"/>
      <c r="E8326" s="4"/>
    </row>
    <row r="8327" spans="1:5" x14ac:dyDescent="0.3">
      <c r="A8327" s="9">
        <v>8319</v>
      </c>
      <c r="B8327" s="10">
        <f t="shared" ca="1" si="129"/>
        <v>6.5288076989591715E-2</v>
      </c>
      <c r="C8327" s="10">
        <f ca="1">NPV(B8327,Project_FCF!C18:J18)+Project_FCF!B18</f>
        <v>1069.7210569767469</v>
      </c>
      <c r="D8327" s="4"/>
      <c r="E8327" s="4"/>
    </row>
    <row r="8328" spans="1:5" x14ac:dyDescent="0.3">
      <c r="A8328" s="9">
        <v>8320</v>
      </c>
      <c r="B8328" s="10">
        <f t="shared" ca="1" si="129"/>
        <v>9.7159169238638127E-2</v>
      </c>
      <c r="C8328" s="10">
        <f ca="1">NPV(B8328,Project_FCF!C18:J18)+Project_FCF!B18</f>
        <v>803.29386586672808</v>
      </c>
      <c r="D8328" s="4"/>
      <c r="E8328" s="4"/>
    </row>
    <row r="8329" spans="1:5" x14ac:dyDescent="0.3">
      <c r="A8329" s="9">
        <v>8321</v>
      </c>
      <c r="B8329" s="10">
        <f t="shared" ref="B8329:B8392" ca="1" si="130">$B$4+RAND()*($B$5-$B$4)</f>
        <v>7.0871258181822591E-2</v>
      </c>
      <c r="C8329" s="10">
        <f ca="1">NPV(B8329,Project_FCF!C18:J18)+Project_FCF!B18</f>
        <v>1018.0327779652737</v>
      </c>
      <c r="D8329" s="4"/>
      <c r="E8329" s="4"/>
    </row>
    <row r="8330" spans="1:5" x14ac:dyDescent="0.3">
      <c r="A8330" s="9">
        <v>8322</v>
      </c>
      <c r="B8330" s="10">
        <f t="shared" ca="1" si="130"/>
        <v>7.3695104445990936E-2</v>
      </c>
      <c r="C8330" s="10">
        <f ca="1">NPV(B8330,Project_FCF!C18:J18)+Project_FCF!B18</f>
        <v>992.75927184204738</v>
      </c>
      <c r="D8330" s="4"/>
      <c r="E8330" s="4"/>
    </row>
    <row r="8331" spans="1:5" x14ac:dyDescent="0.3">
      <c r="A8331" s="9">
        <v>8323</v>
      </c>
      <c r="B8331" s="10">
        <f t="shared" ca="1" si="130"/>
        <v>8.7916649763034579E-2</v>
      </c>
      <c r="C8331" s="10">
        <f ca="1">NPV(B8331,Project_FCF!C18:J18)+Project_FCF!B18</f>
        <v>873.76803041519292</v>
      </c>
      <c r="D8331" s="4"/>
      <c r="E8331" s="4"/>
    </row>
    <row r="8332" spans="1:5" x14ac:dyDescent="0.3">
      <c r="A8332" s="9">
        <v>8324</v>
      </c>
      <c r="B8332" s="10">
        <f t="shared" ca="1" si="130"/>
        <v>9.5615659627050306E-2</v>
      </c>
      <c r="C8332" s="10">
        <f ca="1">NPV(B8332,Project_FCF!C18:J18)+Project_FCF!B18</f>
        <v>814.71141206176412</v>
      </c>
      <c r="D8332" s="4"/>
      <c r="E8332" s="4"/>
    </row>
    <row r="8333" spans="1:5" x14ac:dyDescent="0.3">
      <c r="A8333" s="9">
        <v>8325</v>
      </c>
      <c r="B8333" s="10">
        <f t="shared" ca="1" si="130"/>
        <v>6.8492589068533158E-2</v>
      </c>
      <c r="C8333" s="10">
        <f ca="1">NPV(B8333,Project_FCF!C18:J18)+Project_FCF!B18</f>
        <v>1039.7706205155491</v>
      </c>
      <c r="D8333" s="4"/>
      <c r="E8333" s="4"/>
    </row>
    <row r="8334" spans="1:5" x14ac:dyDescent="0.3">
      <c r="A8334" s="9">
        <v>8326</v>
      </c>
      <c r="B8334" s="10">
        <f t="shared" ca="1" si="130"/>
        <v>7.4660636865136937E-2</v>
      </c>
      <c r="C8334" s="10">
        <f ca="1">NPV(B8334,Project_FCF!C18:J18)+Project_FCF!B18</f>
        <v>984.24792275617665</v>
      </c>
      <c r="D8334" s="4"/>
      <c r="E8334" s="4"/>
    </row>
    <row r="8335" spans="1:5" x14ac:dyDescent="0.3">
      <c r="A8335" s="9">
        <v>8327</v>
      </c>
      <c r="B8335" s="10">
        <f t="shared" ca="1" si="130"/>
        <v>0.10003232358602207</v>
      </c>
      <c r="C8335" s="10">
        <f ca="1">NPV(B8335,Project_FCF!C18:J18)+Project_FCF!B18</f>
        <v>782.40303085881305</v>
      </c>
      <c r="D8335" s="4"/>
      <c r="E8335" s="4"/>
    </row>
    <row r="8336" spans="1:5" x14ac:dyDescent="0.3">
      <c r="A8336" s="9">
        <v>8328</v>
      </c>
      <c r="B8336" s="10">
        <f t="shared" ca="1" si="130"/>
        <v>6.5577231158957458E-2</v>
      </c>
      <c r="C8336" s="10">
        <f ca="1">NPV(B8336,Project_FCF!C18:J18)+Project_FCF!B18</f>
        <v>1066.9866605838208</v>
      </c>
      <c r="D8336" s="4"/>
      <c r="E8336" s="4"/>
    </row>
    <row r="8337" spans="1:5" x14ac:dyDescent="0.3">
      <c r="A8337" s="9">
        <v>8329</v>
      </c>
      <c r="B8337" s="10">
        <f t="shared" ca="1" si="130"/>
        <v>9.0646226510383732E-2</v>
      </c>
      <c r="C8337" s="10">
        <f ca="1">NPV(B8337,Project_FCF!C18:J18)+Project_FCF!B18</f>
        <v>852.42105123824535</v>
      </c>
      <c r="D8337" s="4"/>
      <c r="E8337" s="4"/>
    </row>
    <row r="8338" spans="1:5" x14ac:dyDescent="0.3">
      <c r="A8338" s="9">
        <v>8330</v>
      </c>
      <c r="B8338" s="10">
        <f t="shared" ca="1" si="130"/>
        <v>7.2150423396775201E-2</v>
      </c>
      <c r="C8338" s="10">
        <f ca="1">NPV(B8338,Project_FCF!C18:J18)+Project_FCF!B18</f>
        <v>1006.5133651205194</v>
      </c>
      <c r="D8338" s="4"/>
      <c r="E8338" s="4"/>
    </row>
    <row r="8339" spans="1:5" x14ac:dyDescent="0.3">
      <c r="A8339" s="9">
        <v>8331</v>
      </c>
      <c r="B8339" s="10">
        <f t="shared" ca="1" si="130"/>
        <v>9.0334544558381094E-2</v>
      </c>
      <c r="C8339" s="10">
        <f ca="1">NPV(B8339,Project_FCF!C18:J18)+Project_FCF!B18</f>
        <v>854.83550000422088</v>
      </c>
      <c r="D8339" s="4"/>
      <c r="E8339" s="4"/>
    </row>
    <row r="8340" spans="1:5" x14ac:dyDescent="0.3">
      <c r="A8340" s="9">
        <v>8332</v>
      </c>
      <c r="B8340" s="10">
        <f t="shared" ca="1" si="130"/>
        <v>6.7165779322533259E-2</v>
      </c>
      <c r="C8340" s="10">
        <f ca="1">NPV(B8340,Project_FCF!C18:J18)+Project_FCF!B18</f>
        <v>1052.0777074735558</v>
      </c>
      <c r="D8340" s="4"/>
      <c r="E8340" s="4"/>
    </row>
    <row r="8341" spans="1:5" x14ac:dyDescent="0.3">
      <c r="A8341" s="9">
        <v>8333</v>
      </c>
      <c r="B8341" s="10">
        <f t="shared" ca="1" si="130"/>
        <v>7.7294986860546297E-2</v>
      </c>
      <c r="C8341" s="10">
        <f ca="1">NPV(B8341,Project_FCF!C18:J18)+Project_FCF!B18</f>
        <v>961.35659004389186</v>
      </c>
      <c r="D8341" s="4"/>
      <c r="E8341" s="4"/>
    </row>
    <row r="8342" spans="1:5" x14ac:dyDescent="0.3">
      <c r="A8342" s="9">
        <v>8334</v>
      </c>
      <c r="B8342" s="10">
        <f t="shared" ca="1" si="130"/>
        <v>9.8453053552086417E-2</v>
      </c>
      <c r="C8342" s="10">
        <f ca="1">NPV(B8342,Project_FCF!C18:J18)+Project_FCF!B18</f>
        <v>793.8281278448901</v>
      </c>
      <c r="D8342" s="4"/>
      <c r="E8342" s="4"/>
    </row>
    <row r="8343" spans="1:5" x14ac:dyDescent="0.3">
      <c r="A8343" s="9">
        <v>8335</v>
      </c>
      <c r="B8343" s="10">
        <f t="shared" ca="1" si="130"/>
        <v>7.763145671053423E-2</v>
      </c>
      <c r="C8343" s="10">
        <f ca="1">NPV(B8343,Project_FCF!C18:J18)+Project_FCF!B18</f>
        <v>958.46728787801976</v>
      </c>
      <c r="D8343" s="4"/>
      <c r="E8343" s="4"/>
    </row>
    <row r="8344" spans="1:5" x14ac:dyDescent="0.3">
      <c r="A8344" s="9">
        <v>8336</v>
      </c>
      <c r="B8344" s="10">
        <f t="shared" ca="1" si="130"/>
        <v>6.4887376656098839E-2</v>
      </c>
      <c r="C8344" s="10">
        <f ca="1">NPV(B8344,Project_FCF!C18:J18)+Project_FCF!B18</f>
        <v>1073.5208579034097</v>
      </c>
      <c r="D8344" s="4"/>
      <c r="E8344" s="4"/>
    </row>
    <row r="8345" spans="1:5" x14ac:dyDescent="0.3">
      <c r="A8345" s="9">
        <v>8337</v>
      </c>
      <c r="B8345" s="10">
        <f t="shared" ca="1" si="130"/>
        <v>9.1264507911611087E-2</v>
      </c>
      <c r="C8345" s="10">
        <f ca="1">NPV(B8345,Project_FCF!C18:J18)+Project_FCF!B18</f>
        <v>847.64897232172916</v>
      </c>
      <c r="D8345" s="4"/>
      <c r="E8345" s="4"/>
    </row>
    <row r="8346" spans="1:5" x14ac:dyDescent="0.3">
      <c r="A8346" s="9">
        <v>8338</v>
      </c>
      <c r="B8346" s="10">
        <f t="shared" ca="1" si="130"/>
        <v>7.5454529088542055E-2</v>
      </c>
      <c r="C8346" s="10">
        <f ca="1">NPV(B8346,Project_FCF!C18:J18)+Project_FCF!B18</f>
        <v>977.29863148411005</v>
      </c>
      <c r="D8346" s="4"/>
      <c r="E8346" s="4"/>
    </row>
    <row r="8347" spans="1:5" x14ac:dyDescent="0.3">
      <c r="A8347" s="9">
        <v>8339</v>
      </c>
      <c r="B8347" s="10">
        <f t="shared" ca="1" si="130"/>
        <v>8.1786735021351031E-2</v>
      </c>
      <c r="C8347" s="10">
        <f ca="1">NPV(B8347,Project_FCF!C18:J18)+Project_FCF!B18</f>
        <v>923.41545670700179</v>
      </c>
      <c r="D8347" s="4"/>
      <c r="E8347" s="4"/>
    </row>
    <row r="8348" spans="1:5" x14ac:dyDescent="0.3">
      <c r="A8348" s="9">
        <v>8340</v>
      </c>
      <c r="B8348" s="10">
        <f t="shared" ca="1" si="130"/>
        <v>9.0074120247179992E-2</v>
      </c>
      <c r="C8348" s="10">
        <f ca="1">NPV(B8348,Project_FCF!C18:J18)+Project_FCF!B18</f>
        <v>856.85741766916772</v>
      </c>
      <c r="D8348" s="4"/>
      <c r="E8348" s="4"/>
    </row>
    <row r="8349" spans="1:5" x14ac:dyDescent="0.3">
      <c r="A8349" s="9">
        <v>8341</v>
      </c>
      <c r="B8349" s="10">
        <f t="shared" ca="1" si="130"/>
        <v>7.7725250211114774E-2</v>
      </c>
      <c r="C8349" s="10">
        <f ca="1">NPV(B8349,Project_FCF!C18:J18)+Project_FCF!B18</f>
        <v>957.66325203041106</v>
      </c>
      <c r="D8349" s="4"/>
      <c r="E8349" s="4"/>
    </row>
    <row r="8350" spans="1:5" x14ac:dyDescent="0.3">
      <c r="A8350" s="9">
        <v>8342</v>
      </c>
      <c r="B8350" s="10">
        <f t="shared" ca="1" si="130"/>
        <v>8.4927103643445967E-2</v>
      </c>
      <c r="C8350" s="10">
        <f ca="1">NPV(B8350,Project_FCF!C18:J18)+Project_FCF!B18</f>
        <v>897.68068939325462</v>
      </c>
      <c r="D8350" s="4"/>
      <c r="E8350" s="4"/>
    </row>
    <row r="8351" spans="1:5" x14ac:dyDescent="0.3">
      <c r="A8351" s="9">
        <v>8343</v>
      </c>
      <c r="B8351" s="10">
        <f t="shared" ca="1" si="130"/>
        <v>6.8417153395859798E-2</v>
      </c>
      <c r="C8351" s="10">
        <f ca="1">NPV(B8351,Project_FCF!C18:J18)+Project_FCF!B18</f>
        <v>1040.4668217951912</v>
      </c>
      <c r="D8351" s="4"/>
      <c r="E8351" s="4"/>
    </row>
    <row r="8352" spans="1:5" x14ac:dyDescent="0.3">
      <c r="A8352" s="9">
        <v>8344</v>
      </c>
      <c r="B8352" s="10">
        <f t="shared" ca="1" si="130"/>
        <v>7.0506629436750887E-2</v>
      </c>
      <c r="C8352" s="10">
        <f ca="1">NPV(B8352,Project_FCF!C18:J18)+Project_FCF!B18</f>
        <v>1021.3381105836445</v>
      </c>
      <c r="D8352" s="4"/>
      <c r="E8352" s="4"/>
    </row>
    <row r="8353" spans="1:5" x14ac:dyDescent="0.3">
      <c r="A8353" s="9">
        <v>8345</v>
      </c>
      <c r="B8353" s="10">
        <f t="shared" ca="1" si="130"/>
        <v>9.0138187911951745E-2</v>
      </c>
      <c r="C8353" s="10">
        <f ca="1">NPV(B8353,Project_FCF!C18:J18)+Project_FCF!B18</f>
        <v>856.3596167637038</v>
      </c>
      <c r="D8353" s="4"/>
      <c r="E8353" s="4"/>
    </row>
    <row r="8354" spans="1:5" x14ac:dyDescent="0.3">
      <c r="A8354" s="9">
        <v>8346</v>
      </c>
      <c r="B8354" s="10">
        <f t="shared" ca="1" si="130"/>
        <v>9.0308624292298051E-2</v>
      </c>
      <c r="C8354" s="10">
        <f ca="1">NPV(B8354,Project_FCF!C18:J18)+Project_FCF!B18</f>
        <v>855.03655800733259</v>
      </c>
      <c r="D8354" s="4"/>
      <c r="E8354" s="4"/>
    </row>
    <row r="8355" spans="1:5" x14ac:dyDescent="0.3">
      <c r="A8355" s="9">
        <v>8347</v>
      </c>
      <c r="B8355" s="10">
        <f t="shared" ca="1" si="130"/>
        <v>0.10087414829162009</v>
      </c>
      <c r="C8355" s="10">
        <f ca="1">NPV(B8355,Project_FCF!C18:J18)+Project_FCF!B18</f>
        <v>776.369988614254</v>
      </c>
      <c r="D8355" s="4"/>
      <c r="E8355" s="4"/>
    </row>
    <row r="8356" spans="1:5" x14ac:dyDescent="0.3">
      <c r="A8356" s="9">
        <v>8348</v>
      </c>
      <c r="B8356" s="10">
        <f t="shared" ca="1" si="130"/>
        <v>7.2227208388019812E-2</v>
      </c>
      <c r="C8356" s="10">
        <f ca="1">NPV(B8356,Project_FCF!C18:J18)+Project_FCF!B18</f>
        <v>1005.8256342344041</v>
      </c>
      <c r="D8356" s="4"/>
      <c r="E8356" s="4"/>
    </row>
    <row r="8357" spans="1:5" x14ac:dyDescent="0.3">
      <c r="A8357" s="9">
        <v>8349</v>
      </c>
      <c r="B8357" s="10">
        <f t="shared" ca="1" si="130"/>
        <v>7.9842781006666363E-2</v>
      </c>
      <c r="C8357" s="10">
        <f ca="1">NPV(B8357,Project_FCF!C18:J18)+Project_FCF!B18</f>
        <v>939.66968848189799</v>
      </c>
      <c r="D8357" s="4"/>
      <c r="E8357" s="4"/>
    </row>
    <row r="8358" spans="1:5" x14ac:dyDescent="0.3">
      <c r="A8358" s="9">
        <v>8350</v>
      </c>
      <c r="B8358" s="10">
        <f t="shared" ca="1" si="130"/>
        <v>8.9928441553482619E-2</v>
      </c>
      <c r="C8358" s="10">
        <f ca="1">NPV(B8358,Project_FCF!C18:J18)+Project_FCF!B18</f>
        <v>857.9902630872823</v>
      </c>
      <c r="D8358" s="4"/>
      <c r="E8358" s="4"/>
    </row>
    <row r="8359" spans="1:5" x14ac:dyDescent="0.3">
      <c r="A8359" s="9">
        <v>8351</v>
      </c>
      <c r="B8359" s="10">
        <f t="shared" ca="1" si="130"/>
        <v>7.1954674145212727E-2</v>
      </c>
      <c r="C8359" s="10">
        <f ca="1">NPV(B8359,Project_FCF!C18:J18)+Project_FCF!B18</f>
        <v>1008.268523910662</v>
      </c>
      <c r="D8359" s="4"/>
      <c r="E8359" s="4"/>
    </row>
    <row r="8360" spans="1:5" x14ac:dyDescent="0.3">
      <c r="A8360" s="9">
        <v>8352</v>
      </c>
      <c r="B8360" s="10">
        <f t="shared" ca="1" si="130"/>
        <v>8.395086863107025E-2</v>
      </c>
      <c r="C8360" s="10">
        <f ca="1">NPV(B8360,Project_FCF!C18:J18)+Project_FCF!B18</f>
        <v>905.61238406931125</v>
      </c>
      <c r="D8360" s="4"/>
      <c r="E8360" s="4"/>
    </row>
    <row r="8361" spans="1:5" x14ac:dyDescent="0.3">
      <c r="A8361" s="9">
        <v>8353</v>
      </c>
      <c r="B8361" s="10">
        <f t="shared" ca="1" si="130"/>
        <v>0.10107582739815441</v>
      </c>
      <c r="C8361" s="10">
        <f ca="1">NPV(B8361,Project_FCF!C18:J18)+Project_FCF!B18</f>
        <v>774.93047727048383</v>
      </c>
      <c r="D8361" s="4"/>
      <c r="E8361" s="4"/>
    </row>
    <row r="8362" spans="1:5" x14ac:dyDescent="0.3">
      <c r="A8362" s="9">
        <v>8354</v>
      </c>
      <c r="B8362" s="10">
        <f t="shared" ca="1" si="130"/>
        <v>9.0495530596882021E-2</v>
      </c>
      <c r="C8362" s="10">
        <f ca="1">NPV(B8362,Project_FCF!C18:J18)+Project_FCF!B18</f>
        <v>853.58768149924595</v>
      </c>
      <c r="D8362" s="4"/>
      <c r="E8362" s="4"/>
    </row>
    <row r="8363" spans="1:5" x14ac:dyDescent="0.3">
      <c r="A8363" s="9">
        <v>8355</v>
      </c>
      <c r="B8363" s="10">
        <f t="shared" ca="1" si="130"/>
        <v>0.10020892112268931</v>
      </c>
      <c r="C8363" s="10">
        <f ca="1">NPV(B8363,Project_FCF!C18:J18)+Project_FCF!B18</f>
        <v>781.13415012207111</v>
      </c>
      <c r="D8363" s="4"/>
      <c r="E8363" s="4"/>
    </row>
    <row r="8364" spans="1:5" x14ac:dyDescent="0.3">
      <c r="A8364" s="9">
        <v>8356</v>
      </c>
      <c r="B8364" s="10">
        <f t="shared" ca="1" si="130"/>
        <v>0.1011364514445369</v>
      </c>
      <c r="C8364" s="10">
        <f ca="1">NPV(B8364,Project_FCF!C18:J18)+Project_FCF!B18</f>
        <v>774.49820548986349</v>
      </c>
      <c r="D8364" s="4"/>
      <c r="E8364" s="4"/>
    </row>
    <row r="8365" spans="1:5" x14ac:dyDescent="0.3">
      <c r="A8365" s="9">
        <v>8357</v>
      </c>
      <c r="B8365" s="10">
        <f t="shared" ca="1" si="130"/>
        <v>7.2689845972804645E-2</v>
      </c>
      <c r="C8365" s="10">
        <f ca="1">NPV(B8365,Project_FCF!C18:J18)+Project_FCF!B18</f>
        <v>1001.69092223695</v>
      </c>
      <c r="D8365" s="4"/>
      <c r="E8365" s="4"/>
    </row>
    <row r="8366" spans="1:5" x14ac:dyDescent="0.3">
      <c r="A8366" s="9">
        <v>8358</v>
      </c>
      <c r="B8366" s="10">
        <f t="shared" ca="1" si="130"/>
        <v>8.7301799487112294E-2</v>
      </c>
      <c r="C8366" s="10">
        <f ca="1">NPV(B8366,Project_FCF!C18:J18)+Project_FCF!B18</f>
        <v>878.64013584466829</v>
      </c>
      <c r="D8366" s="4"/>
      <c r="E8366" s="4"/>
    </row>
    <row r="8367" spans="1:5" x14ac:dyDescent="0.3">
      <c r="A8367" s="9">
        <v>8359</v>
      </c>
      <c r="B8367" s="10">
        <f t="shared" ca="1" si="130"/>
        <v>8.8326837619411847E-2</v>
      </c>
      <c r="C8367" s="10">
        <f ca="1">NPV(B8367,Project_FCF!C18:J18)+Project_FCF!B18</f>
        <v>870.5307741688689</v>
      </c>
      <c r="D8367" s="4"/>
      <c r="E8367" s="4"/>
    </row>
    <row r="8368" spans="1:5" x14ac:dyDescent="0.3">
      <c r="A8368" s="9">
        <v>8360</v>
      </c>
      <c r="B8368" s="10">
        <f t="shared" ca="1" si="130"/>
        <v>7.6198045403608361E-2</v>
      </c>
      <c r="C8368" s="10">
        <f ca="1">NPV(B8368,Project_FCF!C18:J18)+Project_FCF!B18</f>
        <v>970.83011440211817</v>
      </c>
      <c r="D8368" s="4"/>
      <c r="E8368" s="4"/>
    </row>
    <row r="8369" spans="1:5" x14ac:dyDescent="0.3">
      <c r="A8369" s="9">
        <v>8361</v>
      </c>
      <c r="B8369" s="10">
        <f t="shared" ca="1" si="130"/>
        <v>7.1403068246414014E-2</v>
      </c>
      <c r="C8369" s="10">
        <f ca="1">NPV(B8369,Project_FCF!C18:J18)+Project_FCF!B18</f>
        <v>1013.2292578448594</v>
      </c>
      <c r="D8369" s="4"/>
      <c r="E8369" s="4"/>
    </row>
    <row r="8370" spans="1:5" x14ac:dyDescent="0.3">
      <c r="A8370" s="9">
        <v>8362</v>
      </c>
      <c r="B8370" s="10">
        <f t="shared" ca="1" si="130"/>
        <v>8.6583196955454467E-2</v>
      </c>
      <c r="C8370" s="10">
        <f ca="1">NPV(B8370,Project_FCF!C18:J18)+Project_FCF!B18</f>
        <v>884.36437560238528</v>
      </c>
      <c r="D8370" s="4"/>
      <c r="E8370" s="4"/>
    </row>
    <row r="8371" spans="1:5" x14ac:dyDescent="0.3">
      <c r="A8371" s="9">
        <v>8363</v>
      </c>
      <c r="B8371" s="10">
        <f t="shared" ca="1" si="130"/>
        <v>6.5950387009388961E-2</v>
      </c>
      <c r="C8371" s="10">
        <f ca="1">NPV(B8371,Project_FCF!C18:J18)+Project_FCF!B18</f>
        <v>1063.4673141281153</v>
      </c>
      <c r="D8371" s="4"/>
      <c r="E8371" s="4"/>
    </row>
    <row r="8372" spans="1:5" x14ac:dyDescent="0.3">
      <c r="A8372" s="9">
        <v>8364</v>
      </c>
      <c r="B8372" s="10">
        <f t="shared" ca="1" si="130"/>
        <v>9.6665183761651757E-2</v>
      </c>
      <c r="C8372" s="10">
        <f ca="1">NPV(B8372,Project_FCF!C18:J18)+Project_FCF!B18</f>
        <v>806.93299366074598</v>
      </c>
      <c r="D8372" s="4"/>
      <c r="E8372" s="4"/>
    </row>
    <row r="8373" spans="1:5" x14ac:dyDescent="0.3">
      <c r="A8373" s="9">
        <v>8365</v>
      </c>
      <c r="B8373" s="10">
        <f t="shared" ca="1" si="130"/>
        <v>7.6087097852928012E-2</v>
      </c>
      <c r="C8373" s="10">
        <f ca="1">NPV(B8373,Project_FCF!C18:J18)+Project_FCF!B18</f>
        <v>971.79291315098158</v>
      </c>
      <c r="D8373" s="4"/>
      <c r="E8373" s="4"/>
    </row>
    <row r="8374" spans="1:5" x14ac:dyDescent="0.3">
      <c r="A8374" s="9">
        <v>8366</v>
      </c>
      <c r="B8374" s="10">
        <f t="shared" ca="1" si="130"/>
        <v>9.216193355541194E-2</v>
      </c>
      <c r="C8374" s="10">
        <f ca="1">NPV(B8374,Project_FCF!C18:J18)+Project_FCF!B18</f>
        <v>840.76342607298807</v>
      </c>
      <c r="D8374" s="4"/>
      <c r="E8374" s="4"/>
    </row>
    <row r="8375" spans="1:5" x14ac:dyDescent="0.3">
      <c r="A8375" s="9">
        <v>8367</v>
      </c>
      <c r="B8375" s="10">
        <f t="shared" ca="1" si="130"/>
        <v>6.5745419868927221E-2</v>
      </c>
      <c r="C8375" s="10">
        <f ca="1">NPV(B8375,Project_FCF!C18:J18)+Project_FCF!B18</f>
        <v>1065.3991102576517</v>
      </c>
      <c r="D8375" s="4"/>
      <c r="E8375" s="4"/>
    </row>
    <row r="8376" spans="1:5" x14ac:dyDescent="0.3">
      <c r="A8376" s="9">
        <v>8368</v>
      </c>
      <c r="B8376" s="10">
        <f t="shared" ca="1" si="130"/>
        <v>9.3735690728784599E-2</v>
      </c>
      <c r="C8376" s="10">
        <f ca="1">NPV(B8376,Project_FCF!C18:J18)+Project_FCF!B18</f>
        <v>828.80498474499132</v>
      </c>
      <c r="D8376" s="4"/>
      <c r="E8376" s="4"/>
    </row>
    <row r="8377" spans="1:5" x14ac:dyDescent="0.3">
      <c r="A8377" s="9">
        <v>8369</v>
      </c>
      <c r="B8377" s="10">
        <f t="shared" ca="1" si="130"/>
        <v>8.8353813630621753E-2</v>
      </c>
      <c r="C8377" s="10">
        <f ca="1">NPV(B8377,Project_FCF!C18:J18)+Project_FCF!B18</f>
        <v>870.31824205166185</v>
      </c>
      <c r="D8377" s="4"/>
      <c r="E8377" s="4"/>
    </row>
    <row r="8378" spans="1:5" x14ac:dyDescent="0.3">
      <c r="A8378" s="9">
        <v>8370</v>
      </c>
      <c r="B8378" s="10">
        <f t="shared" ca="1" si="130"/>
        <v>9.5182818368688915E-2</v>
      </c>
      <c r="C8378" s="10">
        <f ca="1">NPV(B8378,Project_FCF!C18:J18)+Project_FCF!B18</f>
        <v>817.93797039561673</v>
      </c>
      <c r="D8378" s="4"/>
      <c r="E8378" s="4"/>
    </row>
    <row r="8379" spans="1:5" x14ac:dyDescent="0.3">
      <c r="A8379" s="9">
        <v>8371</v>
      </c>
      <c r="B8379" s="10">
        <f t="shared" ca="1" si="130"/>
        <v>7.217683791624413E-2</v>
      </c>
      <c r="C8379" s="10">
        <f ca="1">NPV(B8379,Project_FCF!C18:J18)+Project_FCF!B18</f>
        <v>1006.2767336453605</v>
      </c>
      <c r="D8379" s="4"/>
      <c r="E8379" s="4"/>
    </row>
    <row r="8380" spans="1:5" x14ac:dyDescent="0.3">
      <c r="A8380" s="9">
        <v>8372</v>
      </c>
      <c r="B8380" s="10">
        <f t="shared" ca="1" si="130"/>
        <v>6.5111032378921102E-2</v>
      </c>
      <c r="C8380" s="10">
        <f ca="1">NPV(B8380,Project_FCF!C18:J18)+Project_FCF!B18</f>
        <v>1071.3984377262145</v>
      </c>
      <c r="D8380" s="4"/>
      <c r="E8380" s="4"/>
    </row>
    <row r="8381" spans="1:5" x14ac:dyDescent="0.3">
      <c r="A8381" s="9">
        <v>8373</v>
      </c>
      <c r="B8381" s="10">
        <f t="shared" ca="1" si="130"/>
        <v>0.10394863750321706</v>
      </c>
      <c r="C8381" s="10">
        <f ca="1">NPV(B8381,Project_FCF!C18:J18)+Project_FCF!B18</f>
        <v>754.66800421059065</v>
      </c>
      <c r="D8381" s="4"/>
      <c r="E8381" s="4"/>
    </row>
    <row r="8382" spans="1:5" x14ac:dyDescent="0.3">
      <c r="A8382" s="9">
        <v>8374</v>
      </c>
      <c r="B8382" s="10">
        <f t="shared" ca="1" si="130"/>
        <v>8.970750185495914E-2</v>
      </c>
      <c r="C8382" s="10">
        <f ca="1">NPV(B8382,Project_FCF!C18:J18)+Project_FCF!B18</f>
        <v>859.71083930236159</v>
      </c>
      <c r="D8382" s="4"/>
      <c r="E8382" s="4"/>
    </row>
    <row r="8383" spans="1:5" x14ac:dyDescent="0.3">
      <c r="A8383" s="9">
        <v>8375</v>
      </c>
      <c r="B8383" s="10">
        <f t="shared" ca="1" si="130"/>
        <v>9.667733257338057E-2</v>
      </c>
      <c r="C8383" s="10">
        <f ca="1">NPV(B8383,Project_FCF!C18:J18)+Project_FCF!B18</f>
        <v>806.84332666743876</v>
      </c>
      <c r="D8383" s="4"/>
      <c r="E8383" s="4"/>
    </row>
    <row r="8384" spans="1:5" x14ac:dyDescent="0.3">
      <c r="A8384" s="9">
        <v>8376</v>
      </c>
      <c r="B8384" s="10">
        <f t="shared" ca="1" si="130"/>
        <v>6.4769688665828953E-2</v>
      </c>
      <c r="C8384" s="10">
        <f ca="1">NPV(B8384,Project_FCF!C18:J18)+Project_FCF!B18</f>
        <v>1074.6392186278908</v>
      </c>
      <c r="D8384" s="4"/>
      <c r="E8384" s="4"/>
    </row>
    <row r="8385" spans="1:5" x14ac:dyDescent="0.3">
      <c r="A8385" s="9">
        <v>8377</v>
      </c>
      <c r="B8385" s="10">
        <f t="shared" ca="1" si="130"/>
        <v>0.10138796355105453</v>
      </c>
      <c r="C8385" s="10">
        <f ca="1">NPV(B8385,Project_FCF!C18:J18)+Project_FCF!B18</f>
        <v>772.70700236587254</v>
      </c>
      <c r="D8385" s="4"/>
      <c r="E8385" s="4"/>
    </row>
    <row r="8386" spans="1:5" x14ac:dyDescent="0.3">
      <c r="A8386" s="9">
        <v>8378</v>
      </c>
      <c r="B8386" s="10">
        <f t="shared" ca="1" si="130"/>
        <v>9.5020597491684525E-2</v>
      </c>
      <c r="C8386" s="10">
        <f ca="1">NPV(B8386,Project_FCF!C18:J18)+Project_FCF!B18</f>
        <v>819.15003795086568</v>
      </c>
      <c r="D8386" s="4"/>
      <c r="E8386" s="4"/>
    </row>
    <row r="8387" spans="1:5" x14ac:dyDescent="0.3">
      <c r="A8387" s="9">
        <v>8379</v>
      </c>
      <c r="B8387" s="10">
        <f t="shared" ca="1" si="130"/>
        <v>7.7705602847036676E-2</v>
      </c>
      <c r="C8387" s="10">
        <f ca="1">NPV(B8387,Project_FCF!C18:J18)+Project_FCF!B18</f>
        <v>957.83162747450137</v>
      </c>
      <c r="D8387" s="4"/>
      <c r="E8387" s="4"/>
    </row>
    <row r="8388" spans="1:5" x14ac:dyDescent="0.3">
      <c r="A8388" s="9">
        <v>8380</v>
      </c>
      <c r="B8388" s="10">
        <f t="shared" ca="1" si="130"/>
        <v>8.1031840500572397E-2</v>
      </c>
      <c r="C8388" s="10">
        <f ca="1">NPV(B8388,Project_FCF!C18:J18)+Project_FCF!B18</f>
        <v>929.6976946148593</v>
      </c>
      <c r="D8388" s="4"/>
      <c r="E8388" s="4"/>
    </row>
    <row r="8389" spans="1:5" x14ac:dyDescent="0.3">
      <c r="A8389" s="9">
        <v>8381</v>
      </c>
      <c r="B8389" s="10">
        <f t="shared" ca="1" si="130"/>
        <v>9.3834515238174612E-2</v>
      </c>
      <c r="C8389" s="10">
        <f ca="1">NPV(B8389,Project_FCF!C18:J18)+Project_FCF!B18</f>
        <v>828.05895629976203</v>
      </c>
      <c r="D8389" s="4"/>
      <c r="E8389" s="4"/>
    </row>
    <row r="8390" spans="1:5" x14ac:dyDescent="0.3">
      <c r="A8390" s="9">
        <v>8382</v>
      </c>
      <c r="B8390" s="10">
        <f t="shared" ca="1" si="130"/>
        <v>8.45128589254487E-2</v>
      </c>
      <c r="C8390" s="10">
        <f ca="1">NPV(B8390,Project_FCF!C18:J18)+Project_FCF!B18</f>
        <v>901.03886325284702</v>
      </c>
      <c r="D8390" s="4"/>
      <c r="E8390" s="4"/>
    </row>
    <row r="8391" spans="1:5" x14ac:dyDescent="0.3">
      <c r="A8391" s="9">
        <v>8383</v>
      </c>
      <c r="B8391" s="10">
        <f t="shared" ca="1" si="130"/>
        <v>7.1187879920853583E-2</v>
      </c>
      <c r="C8391" s="10">
        <f ca="1">NPV(B8391,Project_FCF!C18:J18)+Project_FCF!B18</f>
        <v>1015.170457258185</v>
      </c>
      <c r="D8391" s="4"/>
      <c r="E8391" s="4"/>
    </row>
    <row r="8392" spans="1:5" x14ac:dyDescent="0.3">
      <c r="A8392" s="9">
        <v>8384</v>
      </c>
      <c r="B8392" s="10">
        <f t="shared" ca="1" si="130"/>
        <v>7.944352639831137E-2</v>
      </c>
      <c r="C8392" s="10">
        <f ca="1">NPV(B8392,Project_FCF!C18:J18)+Project_FCF!B18</f>
        <v>943.03919148229193</v>
      </c>
      <c r="D8392" s="4"/>
      <c r="E8392" s="4"/>
    </row>
    <row r="8393" spans="1:5" x14ac:dyDescent="0.3">
      <c r="A8393" s="9">
        <v>8385</v>
      </c>
      <c r="B8393" s="10">
        <f t="shared" ref="B8393:B8456" ca="1" si="131">$B$4+RAND()*($B$5-$B$4)</f>
        <v>0.10167165684748208</v>
      </c>
      <c r="C8393" s="10">
        <f ca="1">NPV(B8393,Project_FCF!C18:J18)+Project_FCF!B18</f>
        <v>770.69080439505092</v>
      </c>
      <c r="D8393" s="4"/>
      <c r="E8393" s="4"/>
    </row>
    <row r="8394" spans="1:5" x14ac:dyDescent="0.3">
      <c r="A8394" s="9">
        <v>8386</v>
      </c>
      <c r="B8394" s="10">
        <f t="shared" ca="1" si="131"/>
        <v>9.5788101097051603E-2</v>
      </c>
      <c r="C8394" s="10">
        <f ca="1">NPV(B8394,Project_FCF!C18:J18)+Project_FCF!B18</f>
        <v>813.42900479189984</v>
      </c>
      <c r="D8394" s="4"/>
      <c r="E8394" s="4"/>
    </row>
    <row r="8395" spans="1:5" x14ac:dyDescent="0.3">
      <c r="A8395" s="9">
        <v>8387</v>
      </c>
      <c r="B8395" s="10">
        <f t="shared" ca="1" si="131"/>
        <v>8.9594158832576487E-2</v>
      </c>
      <c r="C8395" s="10">
        <f ca="1">NPV(B8395,Project_FCF!C18:J18)+Project_FCF!B18</f>
        <v>860.59466240367965</v>
      </c>
      <c r="D8395" s="4"/>
      <c r="E8395" s="4"/>
    </row>
    <row r="8396" spans="1:5" x14ac:dyDescent="0.3">
      <c r="A8396" s="9">
        <v>8388</v>
      </c>
      <c r="B8396" s="10">
        <f t="shared" ca="1" si="131"/>
        <v>9.8390750778461239E-2</v>
      </c>
      <c r="C8396" s="10">
        <f ca="1">NPV(B8396,Project_FCF!C18:J18)+Project_FCF!B18</f>
        <v>794.28173681632438</v>
      </c>
      <c r="D8396" s="4"/>
      <c r="E8396" s="4"/>
    </row>
    <row r="8397" spans="1:5" x14ac:dyDescent="0.3">
      <c r="A8397" s="9">
        <v>8389</v>
      </c>
      <c r="B8397" s="10">
        <f t="shared" ca="1" si="131"/>
        <v>0.10135040890101786</v>
      </c>
      <c r="C8397" s="10">
        <f ca="1">NPV(B8397,Project_FCF!C18:J18)+Project_FCF!B18</f>
        <v>772.97423470839453</v>
      </c>
      <c r="D8397" s="4"/>
      <c r="E8397" s="4"/>
    </row>
    <row r="8398" spans="1:5" x14ac:dyDescent="0.3">
      <c r="A8398" s="9">
        <v>8390</v>
      </c>
      <c r="B8398" s="10">
        <f t="shared" ca="1" si="131"/>
        <v>8.5016160763165413E-2</v>
      </c>
      <c r="C8398" s="10">
        <f ca="1">NPV(B8398,Project_FCF!C18:J18)+Project_FCF!B18</f>
        <v>896.96016085295855</v>
      </c>
      <c r="D8398" s="4"/>
      <c r="E8398" s="4"/>
    </row>
    <row r="8399" spans="1:5" x14ac:dyDescent="0.3">
      <c r="A8399" s="9">
        <v>8391</v>
      </c>
      <c r="B8399" s="10">
        <f t="shared" ca="1" si="131"/>
        <v>9.6985538098083302E-2</v>
      </c>
      <c r="C8399" s="10">
        <f ca="1">NPV(B8399,Project_FCF!C18:J18)+Project_FCF!B18</f>
        <v>804.57138695233243</v>
      </c>
      <c r="D8399" s="4"/>
      <c r="E8399" s="4"/>
    </row>
    <row r="8400" spans="1:5" x14ac:dyDescent="0.3">
      <c r="A8400" s="9">
        <v>8392</v>
      </c>
      <c r="B8400" s="10">
        <f t="shared" ca="1" si="131"/>
        <v>7.8819187522746248E-2</v>
      </c>
      <c r="C8400" s="10">
        <f ca="1">NPV(B8400,Project_FCF!C18:J18)+Project_FCF!B18</f>
        <v>948.32976890681425</v>
      </c>
      <c r="D8400" s="4"/>
      <c r="E8400" s="4"/>
    </row>
    <row r="8401" spans="1:5" x14ac:dyDescent="0.3">
      <c r="A8401" s="9">
        <v>8393</v>
      </c>
      <c r="B8401" s="10">
        <f t="shared" ca="1" si="131"/>
        <v>8.1372547363396275E-2</v>
      </c>
      <c r="C8401" s="10">
        <f ca="1">NPV(B8401,Project_FCF!C18:J18)+Project_FCF!B18</f>
        <v>926.85767262466857</v>
      </c>
      <c r="D8401" s="4"/>
      <c r="E8401" s="4"/>
    </row>
    <row r="8402" spans="1:5" x14ac:dyDescent="0.3">
      <c r="A8402" s="9">
        <v>8394</v>
      </c>
      <c r="B8402" s="10">
        <f t="shared" ca="1" si="131"/>
        <v>8.3593891221833527E-2</v>
      </c>
      <c r="C8402" s="10">
        <f ca="1">NPV(B8402,Project_FCF!C18:J18)+Project_FCF!B18</f>
        <v>908.52806720425224</v>
      </c>
      <c r="D8402" s="4"/>
      <c r="E8402" s="4"/>
    </row>
    <row r="8403" spans="1:5" x14ac:dyDescent="0.3">
      <c r="A8403" s="9">
        <v>8395</v>
      </c>
      <c r="B8403" s="10">
        <f t="shared" ca="1" si="131"/>
        <v>9.1627896472759818E-2</v>
      </c>
      <c r="C8403" s="10">
        <f ca="1">NPV(B8403,Project_FCF!C18:J18)+Project_FCF!B18</f>
        <v>844.85501461461649</v>
      </c>
      <c r="D8403" s="4"/>
      <c r="E8403" s="4"/>
    </row>
    <row r="8404" spans="1:5" x14ac:dyDescent="0.3">
      <c r="A8404" s="9">
        <v>8396</v>
      </c>
      <c r="B8404" s="10">
        <f t="shared" ca="1" si="131"/>
        <v>7.5468639159450429E-2</v>
      </c>
      <c r="C8404" s="10">
        <f ca="1">NPV(B8404,Project_FCF!C18:J18)+Project_FCF!B18</f>
        <v>977.175517714634</v>
      </c>
      <c r="D8404" s="4"/>
      <c r="E8404" s="4"/>
    </row>
    <row r="8405" spans="1:5" x14ac:dyDescent="0.3">
      <c r="A8405" s="9">
        <v>8397</v>
      </c>
      <c r="B8405" s="10">
        <f t="shared" ca="1" si="131"/>
        <v>7.2056645762911792E-2</v>
      </c>
      <c r="C8405" s="10">
        <f ca="1">NPV(B8405,Project_FCF!C18:J18)+Project_FCF!B18</f>
        <v>1007.3538659533826</v>
      </c>
      <c r="D8405" s="4"/>
      <c r="E8405" s="4"/>
    </row>
    <row r="8406" spans="1:5" x14ac:dyDescent="0.3">
      <c r="A8406" s="9">
        <v>8398</v>
      </c>
      <c r="B8406" s="10">
        <f t="shared" ca="1" si="131"/>
        <v>6.7786938127255836E-2</v>
      </c>
      <c r="C8406" s="10">
        <f ca="1">NPV(B8406,Project_FCF!C18:J18)+Project_FCF!B18</f>
        <v>1046.2996626206964</v>
      </c>
      <c r="D8406" s="4"/>
      <c r="E8406" s="4"/>
    </row>
    <row r="8407" spans="1:5" x14ac:dyDescent="0.3">
      <c r="A8407" s="9">
        <v>8399</v>
      </c>
      <c r="B8407" s="10">
        <f t="shared" ca="1" si="131"/>
        <v>7.7376514979080838E-2</v>
      </c>
      <c r="C8407" s="10">
        <f ca="1">NPV(B8407,Project_FCF!C18:J18)+Project_FCF!B18</f>
        <v>960.65578855881654</v>
      </c>
      <c r="D8407" s="4"/>
      <c r="E8407" s="4"/>
    </row>
    <row r="8408" spans="1:5" x14ac:dyDescent="0.3">
      <c r="A8408" s="9">
        <v>8400</v>
      </c>
      <c r="B8408" s="10">
        <f t="shared" ca="1" si="131"/>
        <v>7.5897447687355346E-2</v>
      </c>
      <c r="C8408" s="10">
        <f ca="1">NPV(B8408,Project_FCF!C18:J18)+Project_FCF!B18</f>
        <v>973.44066457869917</v>
      </c>
      <c r="D8408" s="4"/>
      <c r="E8408" s="4"/>
    </row>
    <row r="8409" spans="1:5" x14ac:dyDescent="0.3">
      <c r="A8409" s="9">
        <v>8401</v>
      </c>
      <c r="B8409" s="10">
        <f t="shared" ca="1" si="131"/>
        <v>9.220080794985859E-2</v>
      </c>
      <c r="C8409" s="10">
        <f ca="1">NPV(B8409,Project_FCF!C18:J18)+Project_FCF!B18</f>
        <v>840.4662535908767</v>
      </c>
      <c r="D8409" s="4"/>
      <c r="E8409" s="4"/>
    </row>
    <row r="8410" spans="1:5" x14ac:dyDescent="0.3">
      <c r="A8410" s="9">
        <v>8402</v>
      </c>
      <c r="B8410" s="10">
        <f t="shared" ca="1" si="131"/>
        <v>7.0880709183263724E-2</v>
      </c>
      <c r="C8410" s="10">
        <f ca="1">NPV(B8410,Project_FCF!C18:J18)+Project_FCF!B18</f>
        <v>1017.9472338259213</v>
      </c>
      <c r="D8410" s="4"/>
      <c r="E8410" s="4"/>
    </row>
    <row r="8411" spans="1:5" x14ac:dyDescent="0.3">
      <c r="A8411" s="9">
        <v>8403</v>
      </c>
      <c r="B8411" s="10">
        <f t="shared" ca="1" si="131"/>
        <v>0.10035532257556755</v>
      </c>
      <c r="C8411" s="10">
        <f ca="1">NPV(B8411,Project_FCF!C18:J18)+Project_FCF!B18</f>
        <v>780.08355215842653</v>
      </c>
      <c r="D8411" s="4"/>
      <c r="E8411" s="4"/>
    </row>
    <row r="8412" spans="1:5" x14ac:dyDescent="0.3">
      <c r="A8412" s="9">
        <v>8404</v>
      </c>
      <c r="B8412" s="10">
        <f t="shared" ca="1" si="131"/>
        <v>7.5119709159268896E-2</v>
      </c>
      <c r="C8412" s="10">
        <f ca="1">NPV(B8412,Project_FCF!C18:J18)+Project_FCF!B18</f>
        <v>980.22408828696666</v>
      </c>
      <c r="D8412" s="4"/>
      <c r="E8412" s="4"/>
    </row>
    <row r="8413" spans="1:5" x14ac:dyDescent="0.3">
      <c r="A8413" s="9">
        <v>8405</v>
      </c>
      <c r="B8413" s="10">
        <f t="shared" ca="1" si="131"/>
        <v>6.6801724742651211E-2</v>
      </c>
      <c r="C8413" s="10">
        <f ca="1">NPV(B8413,Project_FCF!C18:J18)+Project_FCF!B18</f>
        <v>1055.4776170917239</v>
      </c>
      <c r="D8413" s="4"/>
      <c r="E8413" s="4"/>
    </row>
    <row r="8414" spans="1:5" x14ac:dyDescent="0.3">
      <c r="A8414" s="9">
        <v>8406</v>
      </c>
      <c r="B8414" s="10">
        <f t="shared" ca="1" si="131"/>
        <v>7.0193573477155741E-2</v>
      </c>
      <c r="C8414" s="10">
        <f ca="1">NPV(B8414,Project_FCF!C18:J18)+Project_FCF!B18</f>
        <v>1024.1836662363169</v>
      </c>
      <c r="D8414" s="4"/>
      <c r="E8414" s="4"/>
    </row>
    <row r="8415" spans="1:5" x14ac:dyDescent="0.3">
      <c r="A8415" s="9">
        <v>8407</v>
      </c>
      <c r="B8415" s="10">
        <f t="shared" ca="1" si="131"/>
        <v>8.4318871319466165E-2</v>
      </c>
      <c r="C8415" s="10">
        <f ca="1">NPV(B8415,Project_FCF!C18:J18)+Project_FCF!B18</f>
        <v>902.61525365482316</v>
      </c>
      <c r="D8415" s="4"/>
      <c r="E8415" s="4"/>
    </row>
    <row r="8416" spans="1:5" x14ac:dyDescent="0.3">
      <c r="A8416" s="9">
        <v>8408</v>
      </c>
      <c r="B8416" s="10">
        <f t="shared" ca="1" si="131"/>
        <v>9.8892701977003394E-2</v>
      </c>
      <c r="C8416" s="10">
        <f ca="1">NPV(B8416,Project_FCF!C18:J18)+Project_FCF!B18</f>
        <v>790.63341685623095</v>
      </c>
      <c r="D8416" s="4"/>
      <c r="E8416" s="4"/>
    </row>
    <row r="8417" spans="1:5" x14ac:dyDescent="0.3">
      <c r="A8417" s="9">
        <v>8409</v>
      </c>
      <c r="B8417" s="10">
        <f t="shared" ca="1" si="131"/>
        <v>0.10059630668677773</v>
      </c>
      <c r="C8417" s="10">
        <f ca="1">NPV(B8417,Project_FCF!C18:J18)+Project_FCF!B18</f>
        <v>778.35681542219095</v>
      </c>
      <c r="D8417" s="4"/>
      <c r="E8417" s="4"/>
    </row>
    <row r="8418" spans="1:5" x14ac:dyDescent="0.3">
      <c r="A8418" s="9">
        <v>8410</v>
      </c>
      <c r="B8418" s="10">
        <f t="shared" ca="1" si="131"/>
        <v>8.1939920464372151E-2</v>
      </c>
      <c r="C8418" s="10">
        <f ca="1">NPV(B8418,Project_FCF!C18:J18)+Project_FCF!B18</f>
        <v>922.14522898161499</v>
      </c>
      <c r="D8418" s="4"/>
      <c r="E8418" s="4"/>
    </row>
    <row r="8419" spans="1:5" x14ac:dyDescent="0.3">
      <c r="A8419" s="9">
        <v>8411</v>
      </c>
      <c r="B8419" s="10">
        <f t="shared" ca="1" si="131"/>
        <v>8.6683089480396422E-2</v>
      </c>
      <c r="C8419" s="10">
        <f ca="1">NPV(B8419,Project_FCF!C18:J18)+Project_FCF!B18</f>
        <v>883.56671046061365</v>
      </c>
      <c r="D8419" s="4"/>
      <c r="E8419" s="4"/>
    </row>
    <row r="8420" spans="1:5" x14ac:dyDescent="0.3">
      <c r="A8420" s="9">
        <v>8412</v>
      </c>
      <c r="B8420" s="10">
        <f t="shared" ca="1" si="131"/>
        <v>7.9301483509386511E-2</v>
      </c>
      <c r="C8420" s="10">
        <f ca="1">NPV(B8420,Project_FCF!C18:J18)+Project_FCF!B18</f>
        <v>944.24054066698864</v>
      </c>
      <c r="D8420" s="4"/>
      <c r="E8420" s="4"/>
    </row>
    <row r="8421" spans="1:5" x14ac:dyDescent="0.3">
      <c r="A8421" s="9">
        <v>8413</v>
      </c>
      <c r="B8421" s="10">
        <f t="shared" ca="1" si="131"/>
        <v>0.10328976878733691</v>
      </c>
      <c r="C8421" s="10">
        <f ca="1">NPV(B8421,Project_FCF!C18:J18)+Project_FCF!B18</f>
        <v>759.27534969695921</v>
      </c>
      <c r="D8421" s="4"/>
      <c r="E8421" s="4"/>
    </row>
    <row r="8422" spans="1:5" x14ac:dyDescent="0.3">
      <c r="A8422" s="9">
        <v>8414</v>
      </c>
      <c r="B8422" s="10">
        <f t="shared" ca="1" si="131"/>
        <v>8.5661907512270638E-2</v>
      </c>
      <c r="C8422" s="10">
        <f ca="1">NPV(B8422,Project_FCF!C18:J18)+Project_FCF!B18</f>
        <v>891.75079186080529</v>
      </c>
      <c r="D8422" s="4"/>
      <c r="E8422" s="4"/>
    </row>
    <row r="8423" spans="1:5" x14ac:dyDescent="0.3">
      <c r="A8423" s="9">
        <v>8415</v>
      </c>
      <c r="B8423" s="10">
        <f t="shared" ca="1" si="131"/>
        <v>9.3095358339244372E-2</v>
      </c>
      <c r="C8423" s="10">
        <f ca="1">NPV(B8423,Project_FCF!C18:J18)+Project_FCF!B18</f>
        <v>833.65287500703562</v>
      </c>
      <c r="D8423" s="4"/>
      <c r="E8423" s="4"/>
    </row>
    <row r="8424" spans="1:5" x14ac:dyDescent="0.3">
      <c r="A8424" s="9">
        <v>8416</v>
      </c>
      <c r="B8424" s="10">
        <f t="shared" ca="1" si="131"/>
        <v>7.4872302555001213E-2</v>
      </c>
      <c r="C8424" s="10">
        <f ca="1">NPV(B8424,Project_FCF!C18:J18)+Project_FCF!B18</f>
        <v>982.39080960935053</v>
      </c>
      <c r="D8424" s="4"/>
      <c r="E8424" s="4"/>
    </row>
    <row r="8425" spans="1:5" x14ac:dyDescent="0.3">
      <c r="A8425" s="9">
        <v>8417</v>
      </c>
      <c r="B8425" s="10">
        <f t="shared" ca="1" si="131"/>
        <v>0.10162691416084453</v>
      </c>
      <c r="C8425" s="10">
        <f ca="1">NPV(B8425,Project_FCF!C18:J18)+Project_FCF!B18</f>
        <v>771.00849435751161</v>
      </c>
      <c r="D8425" s="4"/>
      <c r="E8425" s="4"/>
    </row>
    <row r="8426" spans="1:5" x14ac:dyDescent="0.3">
      <c r="A8426" s="9">
        <v>8418</v>
      </c>
      <c r="B8426" s="10">
        <f t="shared" ca="1" si="131"/>
        <v>0.10227302859145232</v>
      </c>
      <c r="C8426" s="10">
        <f ca="1">NPV(B8426,Project_FCF!C18:J18)+Project_FCF!B18</f>
        <v>766.43152007869958</v>
      </c>
      <c r="D8426" s="4"/>
      <c r="E8426" s="4"/>
    </row>
    <row r="8427" spans="1:5" x14ac:dyDescent="0.3">
      <c r="A8427" s="9">
        <v>8419</v>
      </c>
      <c r="B8427" s="10">
        <f t="shared" ca="1" si="131"/>
        <v>6.766797869204802E-2</v>
      </c>
      <c r="C8427" s="10">
        <f ca="1">NPV(B8427,Project_FCF!C18:J18)+Project_FCF!B18</f>
        <v>1047.4039923636135</v>
      </c>
      <c r="D8427" s="4"/>
      <c r="E8427" s="4"/>
    </row>
    <row r="8428" spans="1:5" x14ac:dyDescent="0.3">
      <c r="A8428" s="9">
        <v>8420</v>
      </c>
      <c r="B8428" s="10">
        <f t="shared" ca="1" si="131"/>
        <v>6.9402709736080481E-2</v>
      </c>
      <c r="C8428" s="10">
        <f ca="1">NPV(B8428,Project_FCF!C18:J18)+Project_FCF!B18</f>
        <v>1031.4042452364358</v>
      </c>
      <c r="D8428" s="4"/>
      <c r="E8428" s="4"/>
    </row>
    <row r="8429" spans="1:5" x14ac:dyDescent="0.3">
      <c r="A8429" s="9">
        <v>8421</v>
      </c>
      <c r="B8429" s="10">
        <f t="shared" ca="1" si="131"/>
        <v>6.5676818564064696E-2</v>
      </c>
      <c r="C8429" s="10">
        <f ca="1">NPV(B8429,Project_FCF!C18:J18)+Project_FCF!B18</f>
        <v>1066.046384840738</v>
      </c>
      <c r="D8429" s="4"/>
      <c r="E8429" s="4"/>
    </row>
    <row r="8430" spans="1:5" x14ac:dyDescent="0.3">
      <c r="A8430" s="9">
        <v>8422</v>
      </c>
      <c r="B8430" s="10">
        <f t="shared" ca="1" si="131"/>
        <v>6.9898773993881433E-2</v>
      </c>
      <c r="C8430" s="10">
        <f ca="1">NPV(B8430,Project_FCF!C18:J18)+Project_FCF!B18</f>
        <v>1026.8698232258655</v>
      </c>
      <c r="D8430" s="4"/>
      <c r="E8430" s="4"/>
    </row>
    <row r="8431" spans="1:5" x14ac:dyDescent="0.3">
      <c r="A8431" s="9">
        <v>8423</v>
      </c>
      <c r="B8431" s="10">
        <f t="shared" ca="1" si="131"/>
        <v>8.1270059688198698E-2</v>
      </c>
      <c r="C8431" s="10">
        <f ca="1">NPV(B8431,Project_FCF!C18:J18)+Project_FCF!B18</f>
        <v>927.71116972952041</v>
      </c>
      <c r="D8431" s="4"/>
      <c r="E8431" s="4"/>
    </row>
    <row r="8432" spans="1:5" x14ac:dyDescent="0.3">
      <c r="A8432" s="9">
        <v>8424</v>
      </c>
      <c r="B8432" s="10">
        <f t="shared" ca="1" si="131"/>
        <v>7.8894257775528401E-2</v>
      </c>
      <c r="C8432" s="10">
        <f ca="1">NPV(B8432,Project_FCF!C18:J18)+Project_FCF!B18</f>
        <v>947.69224218570571</v>
      </c>
      <c r="D8432" s="4"/>
      <c r="E8432" s="4"/>
    </row>
    <row r="8433" spans="1:5" x14ac:dyDescent="0.3">
      <c r="A8433" s="9">
        <v>8425</v>
      </c>
      <c r="B8433" s="10">
        <f t="shared" ca="1" si="131"/>
        <v>9.8879268381217023E-2</v>
      </c>
      <c r="C8433" s="10">
        <f ca="1">NPV(B8433,Project_FCF!C18:J18)+Project_FCF!B18</f>
        <v>790.73087044767544</v>
      </c>
      <c r="D8433" s="4"/>
      <c r="E8433" s="4"/>
    </row>
    <row r="8434" spans="1:5" x14ac:dyDescent="0.3">
      <c r="A8434" s="9">
        <v>8426</v>
      </c>
      <c r="B8434" s="10">
        <f t="shared" ca="1" si="131"/>
        <v>9.8909204843876317E-2</v>
      </c>
      <c r="C8434" s="10">
        <f ca="1">NPV(B8434,Project_FCF!C18:J18)+Project_FCF!B18</f>
        <v>790.51371127856009</v>
      </c>
      <c r="D8434" s="4"/>
      <c r="E8434" s="4"/>
    </row>
    <row r="8435" spans="1:5" x14ac:dyDescent="0.3">
      <c r="A8435" s="9">
        <v>8427</v>
      </c>
      <c r="B8435" s="10">
        <f t="shared" ca="1" si="131"/>
        <v>9.080773474646997E-2</v>
      </c>
      <c r="C8435" s="10">
        <f ca="1">NPV(B8435,Project_FCF!C18:J18)+Project_FCF!B18</f>
        <v>851.17224747934438</v>
      </c>
      <c r="D8435" s="4"/>
      <c r="E8435" s="4"/>
    </row>
    <row r="8436" spans="1:5" x14ac:dyDescent="0.3">
      <c r="A8436" s="9">
        <v>8428</v>
      </c>
      <c r="B8436" s="10">
        <f t="shared" ca="1" si="131"/>
        <v>9.5411106014838265E-2</v>
      </c>
      <c r="C8436" s="10">
        <f ca="1">NPV(B8436,Project_FCF!C18:J18)+Project_FCF!B18</f>
        <v>816.23487073916976</v>
      </c>
      <c r="D8436" s="4"/>
      <c r="E8436" s="4"/>
    </row>
    <row r="8437" spans="1:5" x14ac:dyDescent="0.3">
      <c r="A8437" s="9">
        <v>8429</v>
      </c>
      <c r="B8437" s="10">
        <f t="shared" ca="1" si="131"/>
        <v>6.5129717320964536E-2</v>
      </c>
      <c r="C8437" s="10">
        <f ca="1">NPV(B8437,Project_FCF!C18:J18)+Project_FCF!B18</f>
        <v>1071.2212970798423</v>
      </c>
      <c r="D8437" s="4"/>
      <c r="E8437" s="4"/>
    </row>
    <row r="8438" spans="1:5" x14ac:dyDescent="0.3">
      <c r="A8438" s="9">
        <v>8430</v>
      </c>
      <c r="B8438" s="10">
        <f t="shared" ca="1" si="131"/>
        <v>9.1871490887600535E-2</v>
      </c>
      <c r="C8438" s="10">
        <f ca="1">NPV(B8438,Project_FCF!C18:J18)+Project_FCF!B18</f>
        <v>842.98656197380501</v>
      </c>
      <c r="D8438" s="4"/>
      <c r="E8438" s="4"/>
    </row>
    <row r="8439" spans="1:5" x14ac:dyDescent="0.3">
      <c r="A8439" s="9">
        <v>8431</v>
      </c>
      <c r="B8439" s="10">
        <f t="shared" ca="1" si="131"/>
        <v>7.8310742985930992E-2</v>
      </c>
      <c r="C8439" s="10">
        <f ca="1">NPV(B8439,Project_FCF!C18:J18)+Project_FCF!B18</f>
        <v>952.65771838555179</v>
      </c>
      <c r="D8439" s="4"/>
      <c r="E8439" s="4"/>
    </row>
    <row r="8440" spans="1:5" x14ac:dyDescent="0.3">
      <c r="A8440" s="9">
        <v>8432</v>
      </c>
      <c r="B8440" s="10">
        <f t="shared" ca="1" si="131"/>
        <v>0.1001512335954069</v>
      </c>
      <c r="C8440" s="10">
        <f ca="1">NPV(B8440,Project_FCF!C18:J18)+Project_FCF!B18</f>
        <v>781.54845248383003</v>
      </c>
      <c r="D8440" s="4"/>
      <c r="E8440" s="4"/>
    </row>
    <row r="8441" spans="1:5" x14ac:dyDescent="0.3">
      <c r="A8441" s="9">
        <v>8433</v>
      </c>
      <c r="B8441" s="10">
        <f t="shared" ca="1" si="131"/>
        <v>9.5125804642919157E-2</v>
      </c>
      <c r="C8441" s="10">
        <f ca="1">NPV(B8441,Project_FCF!C18:J18)+Project_FCF!B18</f>
        <v>818.36378542540365</v>
      </c>
      <c r="D8441" s="4"/>
      <c r="E8441" s="4"/>
    </row>
    <row r="8442" spans="1:5" x14ac:dyDescent="0.3">
      <c r="A8442" s="9">
        <v>8434</v>
      </c>
      <c r="B8442" s="10">
        <f t="shared" ca="1" si="131"/>
        <v>8.0628859030569308E-2</v>
      </c>
      <c r="C8442" s="10">
        <f ca="1">NPV(B8442,Project_FCF!C18:J18)+Project_FCF!B18</f>
        <v>933.06674200971338</v>
      </c>
      <c r="D8442" s="4"/>
      <c r="E8442" s="4"/>
    </row>
    <row r="8443" spans="1:5" x14ac:dyDescent="0.3">
      <c r="A8443" s="9">
        <v>8435</v>
      </c>
      <c r="B8443" s="10">
        <f t="shared" ca="1" si="131"/>
        <v>7.9306688151562096E-2</v>
      </c>
      <c r="C8443" s="10">
        <f ca="1">NPV(B8443,Project_FCF!C18:J18)+Project_FCF!B18</f>
        <v>944.19649767891019</v>
      </c>
      <c r="D8443" s="4"/>
      <c r="E8443" s="4"/>
    </row>
    <row r="8444" spans="1:5" x14ac:dyDescent="0.3">
      <c r="A8444" s="9">
        <v>8436</v>
      </c>
      <c r="B8444" s="10">
        <f t="shared" ca="1" si="131"/>
        <v>7.1993219968971373E-2</v>
      </c>
      <c r="C8444" s="10">
        <f ca="1">NPV(B8444,Project_FCF!C18:J18)+Project_FCF!B18</f>
        <v>1007.9226904012739</v>
      </c>
      <c r="D8444" s="4"/>
      <c r="E8444" s="4"/>
    </row>
    <row r="8445" spans="1:5" x14ac:dyDescent="0.3">
      <c r="A8445" s="9">
        <v>8437</v>
      </c>
      <c r="B8445" s="10">
        <f t="shared" ca="1" si="131"/>
        <v>6.8300518480470918E-2</v>
      </c>
      <c r="C8445" s="10">
        <f ca="1">NPV(B8445,Project_FCF!C18:J18)+Project_FCF!B18</f>
        <v>1041.5440856826119</v>
      </c>
      <c r="D8445" s="4"/>
      <c r="E8445" s="4"/>
    </row>
    <row r="8446" spans="1:5" x14ac:dyDescent="0.3">
      <c r="A8446" s="9">
        <v>8438</v>
      </c>
      <c r="B8446" s="10">
        <f t="shared" ca="1" si="131"/>
        <v>8.7949893265931486E-2</v>
      </c>
      <c r="C8446" s="10">
        <f ca="1">NPV(B8446,Project_FCF!C18:J18)+Project_FCF!B18</f>
        <v>873.50527886587861</v>
      </c>
      <c r="D8446" s="4"/>
      <c r="E8446" s="4"/>
    </row>
    <row r="8447" spans="1:5" x14ac:dyDescent="0.3">
      <c r="A8447" s="9">
        <v>8439</v>
      </c>
      <c r="B8447" s="10">
        <f t="shared" ca="1" si="131"/>
        <v>9.2944677663080039E-2</v>
      </c>
      <c r="C8447" s="10">
        <f ca="1">NPV(B8447,Project_FCF!C18:J18)+Project_FCF!B18</f>
        <v>834.79719937464301</v>
      </c>
      <c r="D8447" s="4"/>
      <c r="E8447" s="4"/>
    </row>
    <row r="8448" spans="1:5" x14ac:dyDescent="0.3">
      <c r="A8448" s="9">
        <v>8440</v>
      </c>
      <c r="B8448" s="10">
        <f t="shared" ca="1" si="131"/>
        <v>0.10202660918419525</v>
      </c>
      <c r="C8448" s="10">
        <f ca="1">NPV(B8448,Project_FCF!C18:J18)+Project_FCF!B18</f>
        <v>768.17441198719507</v>
      </c>
      <c r="D8448" s="4"/>
      <c r="E8448" s="4"/>
    </row>
    <row r="8449" spans="1:5" x14ac:dyDescent="0.3">
      <c r="A8449" s="9">
        <v>8441</v>
      </c>
      <c r="B8449" s="10">
        <f t="shared" ca="1" si="131"/>
        <v>7.168013723462742E-2</v>
      </c>
      <c r="C8449" s="10">
        <f ca="1">NPV(B8449,Project_FCF!C18:J18)+Project_FCF!B18</f>
        <v>1010.7347638010444</v>
      </c>
      <c r="D8449" s="4"/>
      <c r="E8449" s="4"/>
    </row>
    <row r="8450" spans="1:5" x14ac:dyDescent="0.3">
      <c r="A8450" s="9">
        <v>8442</v>
      </c>
      <c r="B8450" s="10">
        <f t="shared" ca="1" si="131"/>
        <v>8.8448676395319364E-2</v>
      </c>
      <c r="C8450" s="10">
        <f ca="1">NPV(B8450,Project_FCF!C18:J18)+Project_FCF!B18</f>
        <v>869.57121831796417</v>
      </c>
      <c r="D8450" s="4"/>
      <c r="E8450" s="4"/>
    </row>
    <row r="8451" spans="1:5" x14ac:dyDescent="0.3">
      <c r="A8451" s="9">
        <v>8443</v>
      </c>
      <c r="B8451" s="10">
        <f t="shared" ca="1" si="131"/>
        <v>6.9879890983728474E-2</v>
      </c>
      <c r="C8451" s="10">
        <f ca="1">NPV(B8451,Project_FCF!C18:J18)+Project_FCF!B18</f>
        <v>1027.0420984074235</v>
      </c>
      <c r="D8451" s="4"/>
      <c r="E8451" s="4"/>
    </row>
    <row r="8452" spans="1:5" x14ac:dyDescent="0.3">
      <c r="A8452" s="9">
        <v>8444</v>
      </c>
      <c r="B8452" s="10">
        <f t="shared" ca="1" si="131"/>
        <v>8.3303261715573437E-2</v>
      </c>
      <c r="C8452" s="10">
        <f ca="1">NPV(B8452,Project_FCF!C18:J18)+Project_FCF!B18</f>
        <v>910.90792901576719</v>
      </c>
      <c r="D8452" s="4"/>
      <c r="E8452" s="4"/>
    </row>
    <row r="8453" spans="1:5" x14ac:dyDescent="0.3">
      <c r="A8453" s="9">
        <v>8445</v>
      </c>
      <c r="B8453" s="10">
        <f t="shared" ca="1" si="131"/>
        <v>8.6867264166617289E-2</v>
      </c>
      <c r="C8453" s="10">
        <f ca="1">NPV(B8453,Project_FCF!C18:J18)+Project_FCF!B18</f>
        <v>882.09767851389597</v>
      </c>
      <c r="D8453" s="4"/>
      <c r="E8453" s="4"/>
    </row>
    <row r="8454" spans="1:5" x14ac:dyDescent="0.3">
      <c r="A8454" s="9">
        <v>8446</v>
      </c>
      <c r="B8454" s="10">
        <f t="shared" ca="1" si="131"/>
        <v>9.811511372796497E-2</v>
      </c>
      <c r="C8454" s="10">
        <f ca="1">NPV(B8454,Project_FCF!C18:J18)+Project_FCF!B18</f>
        <v>796.29121492778222</v>
      </c>
      <c r="D8454" s="4"/>
      <c r="E8454" s="4"/>
    </row>
    <row r="8455" spans="1:5" x14ac:dyDescent="0.3">
      <c r="A8455" s="9">
        <v>8447</v>
      </c>
      <c r="B8455" s="10">
        <f t="shared" ca="1" si="131"/>
        <v>8.0149134991729792E-2</v>
      </c>
      <c r="C8455" s="10">
        <f ca="1">NPV(B8455,Project_FCF!C18:J18)+Project_FCF!B18</f>
        <v>937.09145518342598</v>
      </c>
      <c r="D8455" s="4"/>
      <c r="E8455" s="4"/>
    </row>
    <row r="8456" spans="1:5" x14ac:dyDescent="0.3">
      <c r="A8456" s="9">
        <v>8448</v>
      </c>
      <c r="B8456" s="10">
        <f t="shared" ca="1" si="131"/>
        <v>9.1675489890797018E-2</v>
      </c>
      <c r="C8456" s="10">
        <f ca="1">NPV(B8456,Project_FCF!C18:J18)+Project_FCF!B18</f>
        <v>844.48967619017822</v>
      </c>
      <c r="D8456" s="4"/>
      <c r="E8456" s="4"/>
    </row>
    <row r="8457" spans="1:5" x14ac:dyDescent="0.3">
      <c r="A8457" s="9">
        <v>8449</v>
      </c>
      <c r="B8457" s="10">
        <f t="shared" ref="B8457:B8520" ca="1" si="132">$B$4+RAND()*($B$5-$B$4)</f>
        <v>6.5596832424836785E-2</v>
      </c>
      <c r="C8457" s="10">
        <f ca="1">NPV(B8457,Project_FCF!C18:J18)+Project_FCF!B18</f>
        <v>1066.8015313295327</v>
      </c>
      <c r="D8457" s="4"/>
      <c r="E8457" s="4"/>
    </row>
    <row r="8458" spans="1:5" x14ac:dyDescent="0.3">
      <c r="A8458" s="9">
        <v>8450</v>
      </c>
      <c r="B8458" s="10">
        <f t="shared" ca="1" si="132"/>
        <v>7.3092574283487158E-2</v>
      </c>
      <c r="C8458" s="10">
        <f ca="1">NPV(B8458,Project_FCF!C18:J18)+Project_FCF!B18</f>
        <v>998.10408178571424</v>
      </c>
      <c r="D8458" s="4"/>
      <c r="E8458" s="4"/>
    </row>
    <row r="8459" spans="1:5" x14ac:dyDescent="0.3">
      <c r="A8459" s="9">
        <v>8451</v>
      </c>
      <c r="B8459" s="10">
        <f t="shared" ca="1" si="132"/>
        <v>9.2414238426166251E-2</v>
      </c>
      <c r="C8459" s="10">
        <f ca="1">NPV(B8459,Project_FCF!C18:J18)+Project_FCF!B18</f>
        <v>838.83631193155838</v>
      </c>
      <c r="D8459" s="4"/>
      <c r="E8459" s="4"/>
    </row>
    <row r="8460" spans="1:5" x14ac:dyDescent="0.3">
      <c r="A8460" s="9">
        <v>8452</v>
      </c>
      <c r="B8460" s="10">
        <f t="shared" ca="1" si="132"/>
        <v>6.4972716511402143E-2</v>
      </c>
      <c r="C8460" s="10">
        <f ca="1">NPV(B8460,Project_FCF!C18:J18)+Project_FCF!B18</f>
        <v>1072.7105581940627</v>
      </c>
      <c r="D8460" s="4"/>
      <c r="E8460" s="4"/>
    </row>
    <row r="8461" spans="1:5" x14ac:dyDescent="0.3">
      <c r="A8461" s="9">
        <v>8453</v>
      </c>
      <c r="B8461" s="10">
        <f t="shared" ca="1" si="132"/>
        <v>9.2258164258552766E-2</v>
      </c>
      <c r="C8461" s="10">
        <f ca="1">NPV(B8461,Project_FCF!C18:J18)+Project_FCF!B18</f>
        <v>840.02796277169068</v>
      </c>
      <c r="D8461" s="4"/>
      <c r="E8461" s="4"/>
    </row>
    <row r="8462" spans="1:5" x14ac:dyDescent="0.3">
      <c r="A8462" s="9">
        <v>8454</v>
      </c>
      <c r="B8462" s="10">
        <f t="shared" ca="1" si="132"/>
        <v>7.1958769817215856E-2</v>
      </c>
      <c r="C8462" s="10">
        <f ca="1">NPV(B8462,Project_FCF!C18:J18)+Project_FCF!B18</f>
        <v>1008.2317724297582</v>
      </c>
      <c r="D8462" s="4"/>
      <c r="E8462" s="4"/>
    </row>
    <row r="8463" spans="1:5" x14ac:dyDescent="0.3">
      <c r="A8463" s="9">
        <v>8455</v>
      </c>
      <c r="B8463" s="10">
        <f t="shared" ca="1" si="132"/>
        <v>9.5413305116783337E-2</v>
      </c>
      <c r="C8463" s="10">
        <f ca="1">NPV(B8463,Project_FCF!C18:J18)+Project_FCF!B18</f>
        <v>816.21847949143762</v>
      </c>
      <c r="D8463" s="4"/>
      <c r="E8463" s="4"/>
    </row>
    <row r="8464" spans="1:5" x14ac:dyDescent="0.3">
      <c r="A8464" s="9">
        <v>8456</v>
      </c>
      <c r="B8464" s="10">
        <f t="shared" ca="1" si="132"/>
        <v>6.4861458514106629E-2</v>
      </c>
      <c r="C8464" s="10">
        <f ca="1">NPV(B8464,Project_FCF!C18:J18)+Project_FCF!B18</f>
        <v>1073.7670605411963</v>
      </c>
      <c r="D8464" s="4"/>
      <c r="E8464" s="4"/>
    </row>
    <row r="8465" spans="1:5" x14ac:dyDescent="0.3">
      <c r="A8465" s="9">
        <v>8457</v>
      </c>
      <c r="B8465" s="10">
        <f t="shared" ca="1" si="132"/>
        <v>9.0354704185091089E-2</v>
      </c>
      <c r="C8465" s="10">
        <f ca="1">NPV(B8465,Project_FCF!C18:J18)+Project_FCF!B18</f>
        <v>854.67915435085297</v>
      </c>
      <c r="D8465" s="4"/>
      <c r="E8465" s="4"/>
    </row>
    <row r="8466" spans="1:5" x14ac:dyDescent="0.3">
      <c r="A8466" s="9">
        <v>8458</v>
      </c>
      <c r="B8466" s="10">
        <f t="shared" ca="1" si="132"/>
        <v>7.034336784066933E-2</v>
      </c>
      <c r="C8466" s="10">
        <f ca="1">NPV(B8466,Project_FCF!C18:J18)+Project_FCF!B18</f>
        <v>1022.8212022425005</v>
      </c>
      <c r="D8466" s="4"/>
      <c r="E8466" s="4"/>
    </row>
    <row r="8467" spans="1:5" x14ac:dyDescent="0.3">
      <c r="A8467" s="9">
        <v>8459</v>
      </c>
      <c r="B8467" s="10">
        <f t="shared" ca="1" si="132"/>
        <v>9.0023506394174918E-2</v>
      </c>
      <c r="C8467" s="10">
        <f ca="1">NPV(B8467,Project_FCF!C18:J18)+Project_FCF!B18</f>
        <v>857.25086066145059</v>
      </c>
      <c r="D8467" s="4"/>
      <c r="E8467" s="4"/>
    </row>
    <row r="8468" spans="1:5" x14ac:dyDescent="0.3">
      <c r="A8468" s="9">
        <v>8460</v>
      </c>
      <c r="B8468" s="10">
        <f t="shared" ca="1" si="132"/>
        <v>8.2717148509185365E-2</v>
      </c>
      <c r="C8468" s="10">
        <f ca="1">NPV(B8468,Project_FCF!C18:J18)+Project_FCF!B18</f>
        <v>915.72408589404449</v>
      </c>
      <c r="D8468" s="4"/>
      <c r="E8468" s="4"/>
    </row>
    <row r="8469" spans="1:5" x14ac:dyDescent="0.3">
      <c r="A8469" s="9">
        <v>8461</v>
      </c>
      <c r="B8469" s="10">
        <f t="shared" ca="1" si="132"/>
        <v>6.5822559816381965E-2</v>
      </c>
      <c r="C8469" s="10">
        <f ca="1">NPV(B8469,Project_FCF!C18:J18)+Project_FCF!B18</f>
        <v>1064.6716986436572</v>
      </c>
      <c r="D8469" s="4"/>
      <c r="E8469" s="4"/>
    </row>
    <row r="8470" spans="1:5" x14ac:dyDescent="0.3">
      <c r="A8470" s="9">
        <v>8462</v>
      </c>
      <c r="B8470" s="10">
        <f t="shared" ca="1" si="132"/>
        <v>0.10040144911223434</v>
      </c>
      <c r="C8470" s="10">
        <f ca="1">NPV(B8470,Project_FCF!C18:J18)+Project_FCF!B18</f>
        <v>779.75278895274892</v>
      </c>
      <c r="D8470" s="4"/>
      <c r="E8470" s="4"/>
    </row>
    <row r="8471" spans="1:5" x14ac:dyDescent="0.3">
      <c r="A8471" s="9">
        <v>8463</v>
      </c>
      <c r="B8471" s="10">
        <f t="shared" ca="1" si="132"/>
        <v>7.0897923775155219E-2</v>
      </c>
      <c r="C8471" s="10">
        <f ca="1">NPV(B8471,Project_FCF!C18:J18)+Project_FCF!B18</f>
        <v>1017.7914355253199</v>
      </c>
      <c r="D8471" s="4"/>
      <c r="E8471" s="4"/>
    </row>
    <row r="8472" spans="1:5" x14ac:dyDescent="0.3">
      <c r="A8472" s="9">
        <v>8464</v>
      </c>
      <c r="B8472" s="10">
        <f t="shared" ca="1" si="132"/>
        <v>8.3506851547707595E-2</v>
      </c>
      <c r="C8472" s="10">
        <f ca="1">NPV(B8472,Project_FCF!C18:J18)+Project_FCF!B18</f>
        <v>909.240230213014</v>
      </c>
      <c r="D8472" s="4"/>
      <c r="E8472" s="4"/>
    </row>
    <row r="8473" spans="1:5" x14ac:dyDescent="0.3">
      <c r="A8473" s="9">
        <v>8465</v>
      </c>
      <c r="B8473" s="10">
        <f t="shared" ca="1" si="132"/>
        <v>0.10395969779107833</v>
      </c>
      <c r="C8473" s="10">
        <f ca="1">NPV(B8473,Project_FCF!C18:J18)+Project_FCF!B18</f>
        <v>754.59086204773371</v>
      </c>
      <c r="D8473" s="4"/>
      <c r="E8473" s="4"/>
    </row>
    <row r="8474" spans="1:5" x14ac:dyDescent="0.3">
      <c r="A8474" s="9">
        <v>8466</v>
      </c>
      <c r="B8474" s="10">
        <f t="shared" ca="1" si="132"/>
        <v>8.9383382950961779E-2</v>
      </c>
      <c r="C8474" s="10">
        <f ca="1">NPV(B8474,Project_FCF!C18:J18)+Project_FCF!B18</f>
        <v>862.2403398458971</v>
      </c>
      <c r="D8474" s="4"/>
      <c r="E8474" s="4"/>
    </row>
    <row r="8475" spans="1:5" x14ac:dyDescent="0.3">
      <c r="A8475" s="9">
        <v>8467</v>
      </c>
      <c r="B8475" s="10">
        <f t="shared" ca="1" si="132"/>
        <v>8.549997673934176E-2</v>
      </c>
      <c r="C8475" s="10">
        <f ca="1">NPV(B8475,Project_FCF!C18:J18)+Project_FCF!B18</f>
        <v>893.05462590927164</v>
      </c>
      <c r="D8475" s="4"/>
      <c r="E8475" s="4"/>
    </row>
    <row r="8476" spans="1:5" x14ac:dyDescent="0.3">
      <c r="A8476" s="9">
        <v>8468</v>
      </c>
      <c r="B8476" s="10">
        <f t="shared" ca="1" si="132"/>
        <v>9.9001018272282165E-2</v>
      </c>
      <c r="C8476" s="10">
        <f ca="1">NPV(B8476,Project_FCF!C18:J18)+Project_FCF!B18</f>
        <v>789.84801183160789</v>
      </c>
      <c r="D8476" s="4"/>
      <c r="E8476" s="4"/>
    </row>
    <row r="8477" spans="1:5" x14ac:dyDescent="0.3">
      <c r="A8477" s="9">
        <v>8469</v>
      </c>
      <c r="B8477" s="10">
        <f t="shared" ca="1" si="132"/>
        <v>0.10269885114253166</v>
      </c>
      <c r="C8477" s="10">
        <f ca="1">NPV(B8477,Project_FCF!C18:J18)+Project_FCF!B18</f>
        <v>763.42757010332684</v>
      </c>
      <c r="D8477" s="4"/>
      <c r="E8477" s="4"/>
    </row>
    <row r="8478" spans="1:5" x14ac:dyDescent="0.3">
      <c r="A8478" s="9">
        <v>8470</v>
      </c>
      <c r="B8478" s="10">
        <f t="shared" ca="1" si="132"/>
        <v>8.0765596740578524E-2</v>
      </c>
      <c r="C8478" s="10">
        <f ca="1">NPV(B8478,Project_FCF!C18:J18)+Project_FCF!B18</f>
        <v>931.92236546495042</v>
      </c>
      <c r="D8478" s="4"/>
      <c r="E8478" s="4"/>
    </row>
    <row r="8479" spans="1:5" x14ac:dyDescent="0.3">
      <c r="A8479" s="9">
        <v>8471</v>
      </c>
      <c r="B8479" s="10">
        <f t="shared" ca="1" si="132"/>
        <v>9.3646004502028091E-2</v>
      </c>
      <c r="C8479" s="10">
        <f ca="1">NPV(B8479,Project_FCF!C18:J18)+Project_FCF!B18</f>
        <v>829.48252759788079</v>
      </c>
      <c r="D8479" s="4"/>
      <c r="E8479" s="4"/>
    </row>
    <row r="8480" spans="1:5" x14ac:dyDescent="0.3">
      <c r="A8480" s="9">
        <v>8472</v>
      </c>
      <c r="B8480" s="10">
        <f t="shared" ca="1" si="132"/>
        <v>7.7146852064803484E-2</v>
      </c>
      <c r="C8480" s="10">
        <f ca="1">NPV(B8480,Project_FCF!C18:J18)+Project_FCF!B18</f>
        <v>962.63109624484559</v>
      </c>
      <c r="D8480" s="4"/>
      <c r="E8480" s="4"/>
    </row>
    <row r="8481" spans="1:5" x14ac:dyDescent="0.3">
      <c r="A8481" s="9">
        <v>8473</v>
      </c>
      <c r="B8481" s="10">
        <f t="shared" ca="1" si="132"/>
        <v>7.4185763175034058E-2</v>
      </c>
      <c r="C8481" s="10">
        <f ca="1">NPV(B8481,Project_FCF!C18:J18)+Project_FCF!B18</f>
        <v>988.42581518616885</v>
      </c>
      <c r="D8481" s="4"/>
      <c r="E8481" s="4"/>
    </row>
    <row r="8482" spans="1:5" x14ac:dyDescent="0.3">
      <c r="A8482" s="9">
        <v>8474</v>
      </c>
      <c r="B8482" s="10">
        <f t="shared" ca="1" si="132"/>
        <v>7.3800123415838775E-2</v>
      </c>
      <c r="C8482" s="10">
        <f ca="1">NPV(B8482,Project_FCF!C18:J18)+Project_FCF!B18</f>
        <v>991.83032270436661</v>
      </c>
      <c r="D8482" s="4"/>
      <c r="E8482" s="4"/>
    </row>
    <row r="8483" spans="1:5" x14ac:dyDescent="0.3">
      <c r="A8483" s="9">
        <v>8475</v>
      </c>
      <c r="B8483" s="10">
        <f t="shared" ca="1" si="132"/>
        <v>9.197419800736481E-2</v>
      </c>
      <c r="C8483" s="10">
        <f ca="1">NPV(B8483,Project_FCF!C18:J18)+Project_FCF!B18</f>
        <v>842.19983209586007</v>
      </c>
      <c r="D8483" s="4"/>
      <c r="E8483" s="4"/>
    </row>
    <row r="8484" spans="1:5" x14ac:dyDescent="0.3">
      <c r="A8484" s="9">
        <v>8476</v>
      </c>
      <c r="B8484" s="10">
        <f t="shared" ca="1" si="132"/>
        <v>6.4146828661411193E-2</v>
      </c>
      <c r="C8484" s="10">
        <f ca="1">NPV(B8484,Project_FCF!C18:J18)+Project_FCF!B18</f>
        <v>1080.5758413575497</v>
      </c>
      <c r="D8484" s="4"/>
      <c r="E8484" s="4"/>
    </row>
    <row r="8485" spans="1:5" x14ac:dyDescent="0.3">
      <c r="A8485" s="9">
        <v>8477</v>
      </c>
      <c r="B8485" s="10">
        <f t="shared" ca="1" si="132"/>
        <v>7.7813161558842589E-2</v>
      </c>
      <c r="C8485" s="10">
        <f ca="1">NPV(B8485,Project_FCF!C18:J18)+Project_FCF!B18</f>
        <v>956.91018531184886</v>
      </c>
      <c r="D8485" s="4"/>
      <c r="E8485" s="4"/>
    </row>
    <row r="8486" spans="1:5" x14ac:dyDescent="0.3">
      <c r="A8486" s="9">
        <v>8478</v>
      </c>
      <c r="B8486" s="10">
        <f t="shared" ca="1" si="132"/>
        <v>9.6079574752187646E-2</v>
      </c>
      <c r="C8486" s="10">
        <f ca="1">NPV(B8486,Project_FCF!C18:J18)+Project_FCF!B18</f>
        <v>811.26530418005086</v>
      </c>
      <c r="D8486" s="4"/>
      <c r="E8486" s="4"/>
    </row>
    <row r="8487" spans="1:5" x14ac:dyDescent="0.3">
      <c r="A8487" s="9">
        <v>8479</v>
      </c>
      <c r="B8487" s="10">
        <f t="shared" ca="1" si="132"/>
        <v>0.10185619804647782</v>
      </c>
      <c r="C8487" s="10">
        <f ca="1">NPV(B8487,Project_FCF!C18:J18)+Project_FCF!B18</f>
        <v>769.38165689692005</v>
      </c>
      <c r="D8487" s="4"/>
      <c r="E8487" s="4"/>
    </row>
    <row r="8488" spans="1:5" x14ac:dyDescent="0.3">
      <c r="A8488" s="9">
        <v>8480</v>
      </c>
      <c r="B8488" s="10">
        <f t="shared" ca="1" si="132"/>
        <v>9.8467321743301084E-2</v>
      </c>
      <c r="C8488" s="10">
        <f ca="1">NPV(B8488,Project_FCF!C18:J18)+Project_FCF!B18</f>
        <v>793.72427611635476</v>
      </c>
      <c r="D8488" s="4"/>
      <c r="E8488" s="4"/>
    </row>
    <row r="8489" spans="1:5" x14ac:dyDescent="0.3">
      <c r="A8489" s="9">
        <v>8481</v>
      </c>
      <c r="B8489" s="10">
        <f t="shared" ca="1" si="132"/>
        <v>7.3238246583984062E-2</v>
      </c>
      <c r="C8489" s="10">
        <f ca="1">NPV(B8489,Project_FCF!C18:J18)+Project_FCF!B18</f>
        <v>996.80951727035904</v>
      </c>
      <c r="D8489" s="4"/>
      <c r="E8489" s="4"/>
    </row>
    <row r="8490" spans="1:5" x14ac:dyDescent="0.3">
      <c r="A8490" s="9">
        <v>8482</v>
      </c>
      <c r="B8490" s="10">
        <f t="shared" ca="1" si="132"/>
        <v>7.036672246345381E-2</v>
      </c>
      <c r="C8490" s="10">
        <f ca="1">NPV(B8490,Project_FCF!C18:J18)+Project_FCF!B18</f>
        <v>1022.6089263850217</v>
      </c>
      <c r="D8490" s="4"/>
      <c r="E8490" s="4"/>
    </row>
    <row r="8491" spans="1:5" x14ac:dyDescent="0.3">
      <c r="A8491" s="9">
        <v>8483</v>
      </c>
      <c r="B8491" s="10">
        <f t="shared" ca="1" si="132"/>
        <v>7.4738560591633085E-2</v>
      </c>
      <c r="C8491" s="10">
        <f ca="1">NPV(B8491,Project_FCF!C18:J18)+Project_FCF!B18</f>
        <v>983.56387008760453</v>
      </c>
      <c r="D8491" s="4"/>
      <c r="E8491" s="4"/>
    </row>
    <row r="8492" spans="1:5" x14ac:dyDescent="0.3">
      <c r="A8492" s="9">
        <v>8484</v>
      </c>
      <c r="B8492" s="10">
        <f t="shared" ca="1" si="132"/>
        <v>6.7683886849602345E-2</v>
      </c>
      <c r="C8492" s="10">
        <f ca="1">NPV(B8492,Project_FCF!C18:J18)+Project_FCF!B18</f>
        <v>1047.2562517615545</v>
      </c>
      <c r="D8492" s="4"/>
      <c r="E8492" s="4"/>
    </row>
    <row r="8493" spans="1:5" x14ac:dyDescent="0.3">
      <c r="A8493" s="9">
        <v>8485</v>
      </c>
      <c r="B8493" s="10">
        <f t="shared" ca="1" si="132"/>
        <v>6.903151363551091E-2</v>
      </c>
      <c r="C8493" s="10">
        <f ca="1">NPV(B8493,Project_FCF!C18:J18)+Project_FCF!B18</f>
        <v>1034.8091132684699</v>
      </c>
      <c r="D8493" s="4"/>
      <c r="E8493" s="4"/>
    </row>
    <row r="8494" spans="1:5" x14ac:dyDescent="0.3">
      <c r="A8494" s="9">
        <v>8486</v>
      </c>
      <c r="B8494" s="10">
        <f t="shared" ca="1" si="132"/>
        <v>9.5132689906097745E-2</v>
      </c>
      <c r="C8494" s="10">
        <f ca="1">NPV(B8494,Project_FCF!C18:J18)+Project_FCF!B18</f>
        <v>818.3123517986653</v>
      </c>
      <c r="D8494" s="4"/>
      <c r="E8494" s="4"/>
    </row>
    <row r="8495" spans="1:5" x14ac:dyDescent="0.3">
      <c r="A8495" s="9">
        <v>8487</v>
      </c>
      <c r="B8495" s="10">
        <f t="shared" ca="1" si="132"/>
        <v>6.5960327868557767E-2</v>
      </c>
      <c r="C8495" s="10">
        <f ca="1">NPV(B8495,Project_FCF!C18:J18)+Project_FCF!B18</f>
        <v>1063.3737036344003</v>
      </c>
      <c r="D8495" s="4"/>
      <c r="E8495" s="4"/>
    </row>
    <row r="8496" spans="1:5" x14ac:dyDescent="0.3">
      <c r="A8496" s="9">
        <v>8488</v>
      </c>
      <c r="B8496" s="10">
        <f t="shared" ca="1" si="132"/>
        <v>7.9485189661733749E-2</v>
      </c>
      <c r="C8496" s="10">
        <f ca="1">NPV(B8496,Project_FCF!C18:J18)+Project_FCF!B18</f>
        <v>942.68707528887808</v>
      </c>
      <c r="D8496" s="4"/>
      <c r="E8496" s="4"/>
    </row>
    <row r="8497" spans="1:5" x14ac:dyDescent="0.3">
      <c r="A8497" s="9">
        <v>8489</v>
      </c>
      <c r="B8497" s="10">
        <f t="shared" ca="1" si="132"/>
        <v>0.10235393133232472</v>
      </c>
      <c r="C8497" s="10">
        <f ca="1">NPV(B8497,Project_FCF!C18:J18)+Project_FCF!B18</f>
        <v>765.86003138085857</v>
      </c>
      <c r="D8497" s="4"/>
      <c r="E8497" s="4"/>
    </row>
    <row r="8498" spans="1:5" x14ac:dyDescent="0.3">
      <c r="A8498" s="9">
        <v>8490</v>
      </c>
      <c r="B8498" s="10">
        <f t="shared" ca="1" si="132"/>
        <v>8.3492436383627397E-2</v>
      </c>
      <c r="C8498" s="10">
        <f ca="1">NPV(B8498,Project_FCF!C18:J18)+Project_FCF!B18</f>
        <v>909.35822315714518</v>
      </c>
      <c r="D8498" s="4"/>
      <c r="E8498" s="4"/>
    </row>
    <row r="8499" spans="1:5" x14ac:dyDescent="0.3">
      <c r="A8499" s="9">
        <v>8491</v>
      </c>
      <c r="B8499" s="10">
        <f t="shared" ca="1" si="132"/>
        <v>0.10126208354180422</v>
      </c>
      <c r="C8499" s="10">
        <f ca="1">NPV(B8499,Project_FCF!C18:J18)+Project_FCF!B18</f>
        <v>773.60304964792408</v>
      </c>
      <c r="D8499" s="4"/>
      <c r="E8499" s="4"/>
    </row>
    <row r="8500" spans="1:5" x14ac:dyDescent="0.3">
      <c r="A8500" s="9">
        <v>8492</v>
      </c>
      <c r="B8500" s="10">
        <f t="shared" ca="1" si="132"/>
        <v>7.7485985010875572E-2</v>
      </c>
      <c r="C8500" s="10">
        <f ca="1">NPV(B8500,Project_FCF!C18:J18)+Project_FCF!B18</f>
        <v>959.71551871875954</v>
      </c>
      <c r="D8500" s="4"/>
      <c r="E8500" s="4"/>
    </row>
    <row r="8501" spans="1:5" x14ac:dyDescent="0.3">
      <c r="A8501" s="9">
        <v>8493</v>
      </c>
      <c r="B8501" s="10">
        <f t="shared" ca="1" si="132"/>
        <v>8.7353734580644396E-2</v>
      </c>
      <c r="C8501" s="10">
        <f ca="1">NPV(B8501,Project_FCF!C18:J18)+Project_FCF!B18</f>
        <v>878.2276864101475</v>
      </c>
      <c r="D8501" s="4"/>
      <c r="E8501" s="4"/>
    </row>
    <row r="8502" spans="1:5" x14ac:dyDescent="0.3">
      <c r="A8502" s="9">
        <v>8494</v>
      </c>
      <c r="B8502" s="10">
        <f t="shared" ca="1" si="132"/>
        <v>0.10257456933019238</v>
      </c>
      <c r="C8502" s="10">
        <f ca="1">NPV(B8502,Project_FCF!C18:J18)+Project_FCF!B18</f>
        <v>764.30328740260643</v>
      </c>
      <c r="D8502" s="4"/>
      <c r="E8502" s="4"/>
    </row>
    <row r="8503" spans="1:5" x14ac:dyDescent="0.3">
      <c r="A8503" s="9">
        <v>8495</v>
      </c>
      <c r="B8503" s="10">
        <f t="shared" ca="1" si="132"/>
        <v>7.7214548284817108E-2</v>
      </c>
      <c r="C8503" s="10">
        <f ca="1">NPV(B8503,Project_FCF!C18:J18)+Project_FCF!B18</f>
        <v>962.04847218394752</v>
      </c>
      <c r="D8503" s="4"/>
      <c r="E8503" s="4"/>
    </row>
    <row r="8504" spans="1:5" x14ac:dyDescent="0.3">
      <c r="A8504" s="9">
        <v>8496</v>
      </c>
      <c r="B8504" s="10">
        <f t="shared" ca="1" si="132"/>
        <v>9.9059182894371531E-2</v>
      </c>
      <c r="C8504" s="10">
        <f ca="1">NPV(B8504,Project_FCF!C18:J18)+Project_FCF!B18</f>
        <v>789.4265313055987</v>
      </c>
      <c r="D8504" s="4"/>
      <c r="E8504" s="4"/>
    </row>
    <row r="8505" spans="1:5" x14ac:dyDescent="0.3">
      <c r="A8505" s="9">
        <v>8497</v>
      </c>
      <c r="B8505" s="10">
        <f t="shared" ca="1" si="132"/>
        <v>0.10293576508731409</v>
      </c>
      <c r="C8505" s="10">
        <f ca="1">NPV(B8505,Project_FCF!C18:J18)+Project_FCF!B18</f>
        <v>761.76055607173225</v>
      </c>
      <c r="D8505" s="4"/>
      <c r="E8505" s="4"/>
    </row>
    <row r="8506" spans="1:5" x14ac:dyDescent="0.3">
      <c r="A8506" s="9">
        <v>8498</v>
      </c>
      <c r="B8506" s="10">
        <f t="shared" ca="1" si="132"/>
        <v>8.6819153152156825E-2</v>
      </c>
      <c r="C8506" s="10">
        <f ca="1">NPV(B8506,Project_FCF!C18:J18)+Project_FCF!B18</f>
        <v>882.48122044239062</v>
      </c>
      <c r="D8506" s="4"/>
      <c r="E8506" s="4"/>
    </row>
    <row r="8507" spans="1:5" x14ac:dyDescent="0.3">
      <c r="A8507" s="9">
        <v>8499</v>
      </c>
      <c r="B8507" s="10">
        <f t="shared" ca="1" si="132"/>
        <v>0.10273073255051726</v>
      </c>
      <c r="C8507" s="10">
        <f ca="1">NPV(B8507,Project_FCF!C18:J18)+Project_FCF!B18</f>
        <v>763.20306250606359</v>
      </c>
      <c r="D8507" s="4"/>
      <c r="E8507" s="4"/>
    </row>
    <row r="8508" spans="1:5" x14ac:dyDescent="0.3">
      <c r="A8508" s="9">
        <v>8500</v>
      </c>
      <c r="B8508" s="10">
        <f t="shared" ca="1" si="132"/>
        <v>6.8804215958203463E-2</v>
      </c>
      <c r="C8508" s="10">
        <f ca="1">NPV(B8508,Project_FCF!C18:J18)+Project_FCF!B18</f>
        <v>1036.8990652702576</v>
      </c>
      <c r="D8508" s="4"/>
      <c r="E8508" s="4"/>
    </row>
    <row r="8509" spans="1:5" x14ac:dyDescent="0.3">
      <c r="A8509" s="9">
        <v>8501</v>
      </c>
      <c r="B8509" s="10">
        <f t="shared" ca="1" si="132"/>
        <v>6.4384285806980912E-2</v>
      </c>
      <c r="C8509" s="10">
        <f ca="1">NPV(B8509,Project_FCF!C18:J18)+Project_FCF!B18</f>
        <v>1078.3090585128148</v>
      </c>
      <c r="D8509" s="4"/>
      <c r="E8509" s="4"/>
    </row>
    <row r="8510" spans="1:5" x14ac:dyDescent="0.3">
      <c r="A8510" s="9">
        <v>8502</v>
      </c>
      <c r="B8510" s="10">
        <f t="shared" ca="1" si="132"/>
        <v>7.1158885918289366E-2</v>
      </c>
      <c r="C8510" s="10">
        <f ca="1">NPV(B8510,Project_FCF!C18:J18)+Project_FCF!B18</f>
        <v>1015.4322663485275</v>
      </c>
      <c r="D8510" s="4"/>
      <c r="E8510" s="4"/>
    </row>
    <row r="8511" spans="1:5" x14ac:dyDescent="0.3">
      <c r="A8511" s="9">
        <v>8503</v>
      </c>
      <c r="B8511" s="10">
        <f t="shared" ca="1" si="132"/>
        <v>7.9623504829384198E-2</v>
      </c>
      <c r="C8511" s="10">
        <f ca="1">NPV(B8511,Project_FCF!C18:J18)+Project_FCF!B18</f>
        <v>941.51894312112131</v>
      </c>
      <c r="D8511" s="4"/>
      <c r="E8511" s="4"/>
    </row>
    <row r="8512" spans="1:5" x14ac:dyDescent="0.3">
      <c r="A8512" s="9">
        <v>8504</v>
      </c>
      <c r="B8512" s="10">
        <f t="shared" ca="1" si="132"/>
        <v>6.4473792727929871E-2</v>
      </c>
      <c r="C8512" s="10">
        <f ca="1">NPV(B8512,Project_FCF!C18:J18)+Project_FCF!B18</f>
        <v>1077.4557469623912</v>
      </c>
      <c r="D8512" s="4"/>
      <c r="E8512" s="4"/>
    </row>
    <row r="8513" spans="1:5" x14ac:dyDescent="0.3">
      <c r="A8513" s="9">
        <v>8505</v>
      </c>
      <c r="B8513" s="10">
        <f t="shared" ca="1" si="132"/>
        <v>6.9848747087991297E-2</v>
      </c>
      <c r="C8513" s="10">
        <f ca="1">NPV(B8513,Project_FCF!C18:J18)+Project_FCF!B18</f>
        <v>1027.3262902854217</v>
      </c>
      <c r="D8513" s="4"/>
      <c r="E8513" s="4"/>
    </row>
    <row r="8514" spans="1:5" x14ac:dyDescent="0.3">
      <c r="A8514" s="9">
        <v>8506</v>
      </c>
      <c r="B8514" s="10">
        <f t="shared" ca="1" si="132"/>
        <v>9.5186636746269357E-2</v>
      </c>
      <c r="C8514" s="10">
        <f ca="1">NPV(B8514,Project_FCF!C18:J18)+Project_FCF!B18</f>
        <v>817.90945908170102</v>
      </c>
      <c r="D8514" s="4"/>
      <c r="E8514" s="4"/>
    </row>
    <row r="8515" spans="1:5" x14ac:dyDescent="0.3">
      <c r="A8515" s="9">
        <v>8507</v>
      </c>
      <c r="B8515" s="10">
        <f t="shared" ca="1" si="132"/>
        <v>8.2767925267071232E-2</v>
      </c>
      <c r="C8515" s="10">
        <f ca="1">NPV(B8515,Project_FCF!C18:J18)+Project_FCF!B18</f>
        <v>915.30596293597478</v>
      </c>
      <c r="D8515" s="4"/>
      <c r="E8515" s="4"/>
    </row>
    <row r="8516" spans="1:5" x14ac:dyDescent="0.3">
      <c r="A8516" s="9">
        <v>8508</v>
      </c>
      <c r="B8516" s="10">
        <f t="shared" ca="1" si="132"/>
        <v>6.4378693524035094E-2</v>
      </c>
      <c r="C8516" s="10">
        <f ca="1">NPV(B8516,Project_FCF!C18:J18)+Project_FCF!B18</f>
        <v>1078.3623928567847</v>
      </c>
      <c r="D8516" s="4"/>
      <c r="E8516" s="4"/>
    </row>
    <row r="8517" spans="1:5" x14ac:dyDescent="0.3">
      <c r="A8517" s="9">
        <v>8509</v>
      </c>
      <c r="B8517" s="10">
        <f t="shared" ca="1" si="132"/>
        <v>7.5616261048541383E-2</v>
      </c>
      <c r="C8517" s="10">
        <f ca="1">NPV(B8517,Project_FCF!C18:J18)+Project_FCF!B18</f>
        <v>975.88831210513763</v>
      </c>
      <c r="D8517" s="4"/>
      <c r="E8517" s="4"/>
    </row>
    <row r="8518" spans="1:5" x14ac:dyDescent="0.3">
      <c r="A8518" s="9">
        <v>8510</v>
      </c>
      <c r="B8518" s="10">
        <f t="shared" ca="1" si="132"/>
        <v>9.8580717527113532E-2</v>
      </c>
      <c r="C8518" s="10">
        <f ca="1">NPV(B8518,Project_FCF!C18:J18)+Project_FCF!B18</f>
        <v>792.89932933724185</v>
      </c>
      <c r="D8518" s="4"/>
      <c r="E8518" s="4"/>
    </row>
    <row r="8519" spans="1:5" x14ac:dyDescent="0.3">
      <c r="A8519" s="9">
        <v>8511</v>
      </c>
      <c r="B8519" s="10">
        <f t="shared" ca="1" si="132"/>
        <v>9.7760518702406013E-2</v>
      </c>
      <c r="C8519" s="10">
        <f ca="1">NPV(B8519,Project_FCF!C18:J18)+Project_FCF!B18</f>
        <v>798.88267292798537</v>
      </c>
      <c r="D8519" s="4"/>
      <c r="E8519" s="4"/>
    </row>
    <row r="8520" spans="1:5" x14ac:dyDescent="0.3">
      <c r="A8520" s="9">
        <v>8512</v>
      </c>
      <c r="B8520" s="10">
        <f t="shared" ca="1" si="132"/>
        <v>8.0336929831298379E-2</v>
      </c>
      <c r="C8520" s="10">
        <f ca="1">NPV(B8520,Project_FCF!C18:J18)+Project_FCF!B18</f>
        <v>935.51409763270567</v>
      </c>
      <c r="D8520" s="4"/>
      <c r="E8520" s="4"/>
    </row>
    <row r="8521" spans="1:5" x14ac:dyDescent="0.3">
      <c r="A8521" s="9">
        <v>8513</v>
      </c>
      <c r="B8521" s="10">
        <f t="shared" ref="B8521:B8584" ca="1" si="133">$B$4+RAND()*($B$5-$B$4)</f>
        <v>8.3282983814292166E-2</v>
      </c>
      <c r="C8521" s="10">
        <f ca="1">NPV(B8521,Project_FCF!C18:J18)+Project_FCF!B18</f>
        <v>911.07418189203145</v>
      </c>
      <c r="D8521" s="4"/>
      <c r="E8521" s="4"/>
    </row>
    <row r="8522" spans="1:5" x14ac:dyDescent="0.3">
      <c r="A8522" s="9">
        <v>8514</v>
      </c>
      <c r="B8522" s="10">
        <f t="shared" ca="1" si="133"/>
        <v>8.9894107553504091E-2</v>
      </c>
      <c r="C8522" s="10">
        <f ca="1">NPV(B8522,Project_FCF!C18:J18)+Project_FCF!B18</f>
        <v>858.2574444161678</v>
      </c>
      <c r="D8522" s="4"/>
      <c r="E8522" s="4"/>
    </row>
    <row r="8523" spans="1:5" x14ac:dyDescent="0.3">
      <c r="A8523" s="9">
        <v>8515</v>
      </c>
      <c r="B8523" s="10">
        <f t="shared" ca="1" si="133"/>
        <v>9.3996133582387786E-2</v>
      </c>
      <c r="C8523" s="10">
        <f ca="1">NPV(B8523,Project_FCF!C18:J18)+Project_FCF!B18</f>
        <v>826.84013810120109</v>
      </c>
      <c r="D8523" s="4"/>
      <c r="E8523" s="4"/>
    </row>
    <row r="8524" spans="1:5" x14ac:dyDescent="0.3">
      <c r="A8524" s="9">
        <v>8516</v>
      </c>
      <c r="B8524" s="10">
        <f t="shared" ca="1" si="133"/>
        <v>6.5772717139873524E-2</v>
      </c>
      <c r="C8524" s="10">
        <f ca="1">NPV(B8524,Project_FCF!C18:J18)+Project_FCF!B18</f>
        <v>1065.1416516478084</v>
      </c>
      <c r="D8524" s="4"/>
      <c r="E8524" s="4"/>
    </row>
    <row r="8525" spans="1:5" x14ac:dyDescent="0.3">
      <c r="A8525" s="9">
        <v>8517</v>
      </c>
      <c r="B8525" s="10">
        <f t="shared" ca="1" si="133"/>
        <v>7.0559396555490358E-2</v>
      </c>
      <c r="C8525" s="10">
        <f ca="1">NPV(B8525,Project_FCF!C18:J18)+Project_FCF!B18</f>
        <v>1020.8591818980508</v>
      </c>
      <c r="D8525" s="4"/>
      <c r="E8525" s="4"/>
    </row>
    <row r="8526" spans="1:5" x14ac:dyDescent="0.3">
      <c r="A8526" s="9">
        <v>8518</v>
      </c>
      <c r="B8526" s="10">
        <f t="shared" ca="1" si="133"/>
        <v>8.2194746611193387E-2</v>
      </c>
      <c r="C8526" s="10">
        <f ca="1">NPV(B8526,Project_FCF!C18:J18)+Project_FCF!B18</f>
        <v>920.03560055128605</v>
      </c>
      <c r="D8526" s="4"/>
      <c r="E8526" s="4"/>
    </row>
    <row r="8527" spans="1:5" x14ac:dyDescent="0.3">
      <c r="A8527" s="9">
        <v>8519</v>
      </c>
      <c r="B8527" s="10">
        <f t="shared" ca="1" si="133"/>
        <v>7.1472388027323211E-2</v>
      </c>
      <c r="C8527" s="10">
        <f ca="1">NPV(B8527,Project_FCF!C18:J18)+Project_FCF!B18</f>
        <v>1012.6046416138759</v>
      </c>
      <c r="D8527" s="4"/>
      <c r="E8527" s="4"/>
    </row>
    <row r="8528" spans="1:5" x14ac:dyDescent="0.3">
      <c r="A8528" s="9">
        <v>8520</v>
      </c>
      <c r="B8528" s="10">
        <f t="shared" ca="1" si="133"/>
        <v>6.509481674422582E-2</v>
      </c>
      <c r="C8528" s="10">
        <f ca="1">NPV(B8528,Project_FCF!C18:J18)+Project_FCF!B18</f>
        <v>1071.5521900179383</v>
      </c>
      <c r="D8528" s="4"/>
      <c r="E8528" s="4"/>
    </row>
    <row r="8529" spans="1:5" x14ac:dyDescent="0.3">
      <c r="A8529" s="9">
        <v>8521</v>
      </c>
      <c r="B8529" s="10">
        <f t="shared" ca="1" si="133"/>
        <v>8.0200831390076915E-2</v>
      </c>
      <c r="C8529" s="10">
        <f ca="1">NPV(B8529,Project_FCF!C18:J18)+Project_FCF!B18</f>
        <v>936.65700357985293</v>
      </c>
      <c r="D8529" s="4"/>
      <c r="E8529" s="4"/>
    </row>
    <row r="8530" spans="1:5" x14ac:dyDescent="0.3">
      <c r="A8530" s="9">
        <v>8522</v>
      </c>
      <c r="B8530" s="10">
        <f t="shared" ca="1" si="133"/>
        <v>9.3627468911589337E-2</v>
      </c>
      <c r="C8530" s="10">
        <f ca="1">NPV(B8530,Project_FCF!C18:J18)+Project_FCF!B18</f>
        <v>829.62261572352008</v>
      </c>
      <c r="D8530" s="4"/>
      <c r="E8530" s="4"/>
    </row>
    <row r="8531" spans="1:5" x14ac:dyDescent="0.3">
      <c r="A8531" s="9">
        <v>8523</v>
      </c>
      <c r="B8531" s="10">
        <f t="shared" ca="1" si="133"/>
        <v>9.1486550582376411E-2</v>
      </c>
      <c r="C8531" s="10">
        <f ca="1">NPV(B8531,Project_FCF!C18:J18)+Project_FCF!B18</f>
        <v>845.94082360365769</v>
      </c>
      <c r="D8531" s="4"/>
      <c r="E8531" s="4"/>
    </row>
    <row r="8532" spans="1:5" x14ac:dyDescent="0.3">
      <c r="A8532" s="9">
        <v>8524</v>
      </c>
      <c r="B8532" s="10">
        <f t="shared" ca="1" si="133"/>
        <v>7.5052181273161198E-2</v>
      </c>
      <c r="C8532" s="10">
        <f ca="1">NPV(B8532,Project_FCF!C18:J18)+Project_FCF!B18</f>
        <v>980.81505490144605</v>
      </c>
      <c r="D8532" s="4"/>
      <c r="E8532" s="4"/>
    </row>
    <row r="8533" spans="1:5" x14ac:dyDescent="0.3">
      <c r="A8533" s="9">
        <v>8525</v>
      </c>
      <c r="B8533" s="10">
        <f t="shared" ca="1" si="133"/>
        <v>8.7669122872957597E-2</v>
      </c>
      <c r="C8533" s="10">
        <f ca="1">NPV(B8533,Project_FCF!C18:J18)+Project_FCF!B18</f>
        <v>875.72660931448354</v>
      </c>
      <c r="D8533" s="4"/>
      <c r="E8533" s="4"/>
    </row>
    <row r="8534" spans="1:5" x14ac:dyDescent="0.3">
      <c r="A8534" s="9">
        <v>8526</v>
      </c>
      <c r="B8534" s="10">
        <f t="shared" ca="1" si="133"/>
        <v>6.7387846561751674E-2</v>
      </c>
      <c r="C8534" s="10">
        <f ca="1">NPV(B8534,Project_FCF!C18:J18)+Project_FCF!B18</f>
        <v>1050.0087091906571</v>
      </c>
      <c r="D8534" s="4"/>
      <c r="E8534" s="4"/>
    </row>
    <row r="8535" spans="1:5" x14ac:dyDescent="0.3">
      <c r="A8535" s="9">
        <v>8527</v>
      </c>
      <c r="B8535" s="10">
        <f t="shared" ca="1" si="133"/>
        <v>9.1972270514941085E-2</v>
      </c>
      <c r="C8535" s="10">
        <f ca="1">NPV(B8535,Project_FCF!C18:J18)+Project_FCF!B18</f>
        <v>842.21459073089636</v>
      </c>
      <c r="D8535" s="4"/>
      <c r="E8535" s="4"/>
    </row>
    <row r="8536" spans="1:5" x14ac:dyDescent="0.3">
      <c r="A8536" s="9">
        <v>8528</v>
      </c>
      <c r="B8536" s="10">
        <f t="shared" ca="1" si="133"/>
        <v>6.6972049133962194E-2</v>
      </c>
      <c r="C8536" s="10">
        <f ca="1">NPV(B8536,Project_FCF!C18:J18)+Project_FCF!B18</f>
        <v>1053.8857145124937</v>
      </c>
      <c r="D8536" s="4"/>
      <c r="E8536" s="4"/>
    </row>
    <row r="8537" spans="1:5" x14ac:dyDescent="0.3">
      <c r="A8537" s="9">
        <v>8529</v>
      </c>
      <c r="B8537" s="10">
        <f t="shared" ca="1" si="133"/>
        <v>0.10060485609778733</v>
      </c>
      <c r="C8537" s="10">
        <f ca="1">NPV(B8537,Project_FCF!C18:J18)+Project_FCF!B18</f>
        <v>778.29561520418815</v>
      </c>
      <c r="D8537" s="4"/>
      <c r="E8537" s="4"/>
    </row>
    <row r="8538" spans="1:5" x14ac:dyDescent="0.3">
      <c r="A8538" s="9">
        <v>8530</v>
      </c>
      <c r="B8538" s="10">
        <f t="shared" ca="1" si="133"/>
        <v>8.3918847672403249E-2</v>
      </c>
      <c r="C8538" s="10">
        <f ca="1">NPV(B8538,Project_FCF!C18:J18)+Project_FCF!B18</f>
        <v>905.87358557467019</v>
      </c>
      <c r="D8538" s="4"/>
      <c r="E8538" s="4"/>
    </row>
    <row r="8539" spans="1:5" x14ac:dyDescent="0.3">
      <c r="A8539" s="9">
        <v>8531</v>
      </c>
      <c r="B8539" s="10">
        <f t="shared" ca="1" si="133"/>
        <v>7.1891765819867184E-2</v>
      </c>
      <c r="C8539" s="10">
        <f ca="1">NPV(B8539,Project_FCF!C18:J18)+Project_FCF!B18</f>
        <v>1008.8331674709464</v>
      </c>
      <c r="D8539" s="4"/>
      <c r="E8539" s="4"/>
    </row>
    <row r="8540" spans="1:5" x14ac:dyDescent="0.3">
      <c r="A8540" s="9">
        <v>8532</v>
      </c>
      <c r="B8540" s="10">
        <f t="shared" ca="1" si="133"/>
        <v>6.7532386985974399E-2</v>
      </c>
      <c r="C8540" s="10">
        <f ca="1">NPV(B8540,Project_FCF!C18:J18)+Project_FCF!B18</f>
        <v>1048.6640138648133</v>
      </c>
      <c r="D8540" s="4"/>
      <c r="E8540" s="4"/>
    </row>
    <row r="8541" spans="1:5" x14ac:dyDescent="0.3">
      <c r="A8541" s="9">
        <v>8533</v>
      </c>
      <c r="B8541" s="10">
        <f t="shared" ca="1" si="133"/>
        <v>7.3638859155225181E-2</v>
      </c>
      <c r="C8541" s="10">
        <f ca="1">NPV(B8541,Project_FCF!C18:J18)+Project_FCF!B18</f>
        <v>993.25711250963309</v>
      </c>
      <c r="D8541" s="4"/>
      <c r="E8541" s="4"/>
    </row>
    <row r="8542" spans="1:5" x14ac:dyDescent="0.3">
      <c r="A8542" s="9">
        <v>8534</v>
      </c>
      <c r="B8542" s="10">
        <f t="shared" ca="1" si="133"/>
        <v>0.10008614293586846</v>
      </c>
      <c r="C8542" s="10">
        <f ca="1">NPV(B8542,Project_FCF!C18:J18)+Project_FCF!B18</f>
        <v>782.01614597793287</v>
      </c>
      <c r="D8542" s="4"/>
      <c r="E8542" s="4"/>
    </row>
    <row r="8543" spans="1:5" x14ac:dyDescent="0.3">
      <c r="A8543" s="9">
        <v>8535</v>
      </c>
      <c r="B8543" s="10">
        <f t="shared" ca="1" si="133"/>
        <v>7.3534407319771108E-2</v>
      </c>
      <c r="C8543" s="10">
        <f ca="1">NPV(B8543,Project_FCF!C18:J18)+Project_FCF!B18</f>
        <v>994.18223526246106</v>
      </c>
      <c r="D8543" s="4"/>
      <c r="E8543" s="4"/>
    </row>
    <row r="8544" spans="1:5" x14ac:dyDescent="0.3">
      <c r="A8544" s="9">
        <v>8536</v>
      </c>
      <c r="B8544" s="10">
        <f t="shared" ca="1" si="133"/>
        <v>9.5690691246127252E-2</v>
      </c>
      <c r="C8544" s="10">
        <f ca="1">NPV(B8544,Project_FCF!C18:J18)+Project_FCF!B18</f>
        <v>814.1532070850069</v>
      </c>
      <c r="D8544" s="4"/>
      <c r="E8544" s="4"/>
    </row>
    <row r="8545" spans="1:5" x14ac:dyDescent="0.3">
      <c r="A8545" s="9">
        <v>8537</v>
      </c>
      <c r="B8545" s="10">
        <f t="shared" ca="1" si="133"/>
        <v>8.0284504328817036E-2</v>
      </c>
      <c r="C8545" s="10">
        <f ca="1">NPV(B8545,Project_FCF!C18:J18)+Project_FCF!B18</f>
        <v>935.95420198580791</v>
      </c>
      <c r="D8545" s="4"/>
      <c r="E8545" s="4"/>
    </row>
    <row r="8546" spans="1:5" x14ac:dyDescent="0.3">
      <c r="A8546" s="9">
        <v>8538</v>
      </c>
      <c r="B8546" s="10">
        <f t="shared" ca="1" si="133"/>
        <v>8.3601717918524887E-2</v>
      </c>
      <c r="C8546" s="10">
        <f ca="1">NPV(B8546,Project_FCF!C18:J18)+Project_FCF!B18</f>
        <v>908.46405280476824</v>
      </c>
      <c r="D8546" s="4"/>
      <c r="E8546" s="4"/>
    </row>
    <row r="8547" spans="1:5" x14ac:dyDescent="0.3">
      <c r="A8547" s="9">
        <v>8539</v>
      </c>
      <c r="B8547" s="10">
        <f t="shared" ca="1" si="133"/>
        <v>7.7711170359518397E-2</v>
      </c>
      <c r="C8547" s="10">
        <f ca="1">NPV(B8547,Project_FCF!C18:J18)+Project_FCF!B18</f>
        <v>957.78391191693322</v>
      </c>
      <c r="D8547" s="4"/>
      <c r="E8547" s="4"/>
    </row>
    <row r="8548" spans="1:5" x14ac:dyDescent="0.3">
      <c r="A8548" s="9">
        <v>8540</v>
      </c>
      <c r="B8548" s="10">
        <f t="shared" ca="1" si="133"/>
        <v>0.10169537286971814</v>
      </c>
      <c r="C8548" s="10">
        <f ca="1">NPV(B8548,Project_FCF!C18:J18)+Project_FCF!B18</f>
        <v>770.52245639663374</v>
      </c>
      <c r="D8548" s="4"/>
      <c r="E8548" s="4"/>
    </row>
    <row r="8549" spans="1:5" x14ac:dyDescent="0.3">
      <c r="A8549" s="9">
        <v>8541</v>
      </c>
      <c r="B8549" s="10">
        <f t="shared" ca="1" si="133"/>
        <v>8.8378165701438749E-2</v>
      </c>
      <c r="C8549" s="10">
        <f ca="1">NPV(B8549,Project_FCF!C18:J18)+Project_FCF!B18</f>
        <v>870.12642155492244</v>
      </c>
      <c r="D8549" s="4"/>
      <c r="E8549" s="4"/>
    </row>
    <row r="8550" spans="1:5" x14ac:dyDescent="0.3">
      <c r="A8550" s="9">
        <v>8542</v>
      </c>
      <c r="B8550" s="10">
        <f t="shared" ca="1" si="133"/>
        <v>9.8708245200607614E-2</v>
      </c>
      <c r="C8550" s="10">
        <f ca="1">NPV(B8550,Project_FCF!C18:J18)+Project_FCF!B18</f>
        <v>791.97244348366303</v>
      </c>
      <c r="D8550" s="4"/>
      <c r="E8550" s="4"/>
    </row>
    <row r="8551" spans="1:5" x14ac:dyDescent="0.3">
      <c r="A8551" s="9">
        <v>8543</v>
      </c>
      <c r="B8551" s="10">
        <f t="shared" ca="1" si="133"/>
        <v>7.6459651084766503E-2</v>
      </c>
      <c r="C8551" s="10">
        <f ca="1">NPV(B8551,Project_FCF!C18:J18)+Project_FCF!B18</f>
        <v>968.56327949673823</v>
      </c>
      <c r="D8551" s="4"/>
      <c r="E8551" s="4"/>
    </row>
    <row r="8552" spans="1:5" x14ac:dyDescent="0.3">
      <c r="A8552" s="9">
        <v>8544</v>
      </c>
      <c r="B8552" s="10">
        <f t="shared" ca="1" si="133"/>
        <v>9.8789864317750845E-2</v>
      </c>
      <c r="C8552" s="10">
        <f ca="1">NPV(B8552,Project_FCF!C18:J18)+Project_FCF!B18</f>
        <v>791.37970893883198</v>
      </c>
      <c r="D8552" s="4"/>
      <c r="E8552" s="4"/>
    </row>
    <row r="8553" spans="1:5" x14ac:dyDescent="0.3">
      <c r="A8553" s="9">
        <v>8545</v>
      </c>
      <c r="B8553" s="10">
        <f t="shared" ca="1" si="133"/>
        <v>8.9220557209048035E-2</v>
      </c>
      <c r="C8553" s="10">
        <f ca="1">NPV(B8553,Project_FCF!C18:J18)+Project_FCF!B18</f>
        <v>863.51350464761481</v>
      </c>
      <c r="D8553" s="4"/>
      <c r="E8553" s="4"/>
    </row>
    <row r="8554" spans="1:5" x14ac:dyDescent="0.3">
      <c r="A8554" s="9">
        <v>8546</v>
      </c>
      <c r="B8554" s="10">
        <f t="shared" ca="1" si="133"/>
        <v>6.6081827902293583E-2</v>
      </c>
      <c r="C8554" s="10">
        <f ca="1">NPV(B8554,Project_FCF!C18:J18)+Project_FCF!B18</f>
        <v>1062.2301754958391</v>
      </c>
      <c r="D8554" s="4"/>
      <c r="E8554" s="4"/>
    </row>
    <row r="8555" spans="1:5" x14ac:dyDescent="0.3">
      <c r="A8555" s="9">
        <v>8547</v>
      </c>
      <c r="B8555" s="10">
        <f t="shared" ca="1" si="133"/>
        <v>0.10156514919950818</v>
      </c>
      <c r="C8555" s="10">
        <f ca="1">NPV(B8555,Project_FCF!C18:J18)+Project_FCF!B18</f>
        <v>771.44723012506506</v>
      </c>
      <c r="D8555" s="4"/>
      <c r="E8555" s="4"/>
    </row>
    <row r="8556" spans="1:5" x14ac:dyDescent="0.3">
      <c r="A8556" s="9">
        <v>8548</v>
      </c>
      <c r="B8556" s="10">
        <f t="shared" ca="1" si="133"/>
        <v>8.7271284124489076E-2</v>
      </c>
      <c r="C8556" s="10">
        <f ca="1">NPV(B8556,Project_FCF!C18:J18)+Project_FCF!B18</f>
        <v>878.88255637584371</v>
      </c>
      <c r="D8556" s="4"/>
      <c r="E8556" s="4"/>
    </row>
    <row r="8557" spans="1:5" x14ac:dyDescent="0.3">
      <c r="A8557" s="9">
        <v>8549</v>
      </c>
      <c r="B8557" s="10">
        <f t="shared" ca="1" si="133"/>
        <v>9.5386474537713775E-2</v>
      </c>
      <c r="C8557" s="10">
        <f ca="1">NPV(B8557,Project_FCF!C18:J18)+Project_FCF!B18</f>
        <v>816.41848339587682</v>
      </c>
      <c r="D8557" s="4"/>
      <c r="E8557" s="4"/>
    </row>
    <row r="8558" spans="1:5" x14ac:dyDescent="0.3">
      <c r="A8558" s="9">
        <v>8550</v>
      </c>
      <c r="B8558" s="10">
        <f t="shared" ca="1" si="133"/>
        <v>8.1508671884506875E-2</v>
      </c>
      <c r="C8558" s="10">
        <f ca="1">NPV(B8558,Project_FCF!C18:J18)+Project_FCF!B18</f>
        <v>925.72512652670753</v>
      </c>
      <c r="D8558" s="4"/>
      <c r="E8558" s="4"/>
    </row>
    <row r="8559" spans="1:5" x14ac:dyDescent="0.3">
      <c r="A8559" s="9">
        <v>8551</v>
      </c>
      <c r="B8559" s="10">
        <f t="shared" ca="1" si="133"/>
        <v>9.8545972727646453E-2</v>
      </c>
      <c r="C8559" s="10">
        <f ca="1">NPV(B8559,Project_FCF!C18:J18)+Project_FCF!B18</f>
        <v>793.1520180693858</v>
      </c>
      <c r="D8559" s="4"/>
      <c r="E8559" s="4"/>
    </row>
    <row r="8560" spans="1:5" x14ac:dyDescent="0.3">
      <c r="A8560" s="9">
        <v>8552</v>
      </c>
      <c r="B8560" s="10">
        <f t="shared" ca="1" si="133"/>
        <v>8.6985944602398099E-2</v>
      </c>
      <c r="C8560" s="10">
        <f ca="1">NPV(B8560,Project_FCF!C18:J18)+Project_FCF!B18</f>
        <v>881.15217755693834</v>
      </c>
      <c r="D8560" s="4"/>
      <c r="E8560" s="4"/>
    </row>
    <row r="8561" spans="1:5" x14ac:dyDescent="0.3">
      <c r="A8561" s="9">
        <v>8553</v>
      </c>
      <c r="B8561" s="10">
        <f t="shared" ca="1" si="133"/>
        <v>8.1482158108745081E-2</v>
      </c>
      <c r="C8561" s="10">
        <f ca="1">NPV(B8561,Project_FCF!C18:J18)+Project_FCF!B18</f>
        <v>925.94562335349565</v>
      </c>
      <c r="D8561" s="4"/>
      <c r="E8561" s="4"/>
    </row>
    <row r="8562" spans="1:5" x14ac:dyDescent="0.3">
      <c r="A8562" s="9">
        <v>8554</v>
      </c>
      <c r="B8562" s="10">
        <f t="shared" ca="1" si="133"/>
        <v>0.10102617621778268</v>
      </c>
      <c r="C8562" s="10">
        <f ca="1">NPV(B8562,Project_FCF!C18:J18)+Project_FCF!B18</f>
        <v>775.28466003826497</v>
      </c>
      <c r="D8562" s="4"/>
      <c r="E8562" s="4"/>
    </row>
    <row r="8563" spans="1:5" x14ac:dyDescent="0.3">
      <c r="A8563" s="9">
        <v>8555</v>
      </c>
      <c r="B8563" s="10">
        <f t="shared" ca="1" si="133"/>
        <v>6.9886378334524657E-2</v>
      </c>
      <c r="C8563" s="10">
        <f ca="1">NPV(B8563,Project_FCF!C18:J18)+Project_FCF!B18</f>
        <v>1026.9829094777563</v>
      </c>
      <c r="D8563" s="4"/>
      <c r="E8563" s="4"/>
    </row>
    <row r="8564" spans="1:5" x14ac:dyDescent="0.3">
      <c r="A8564" s="9">
        <v>8556</v>
      </c>
      <c r="B8564" s="10">
        <f t="shared" ca="1" si="133"/>
        <v>8.6297149250868482E-2</v>
      </c>
      <c r="C8564" s="10">
        <f ca="1">NPV(B8564,Project_FCF!C18:J18)+Project_FCF!B18</f>
        <v>886.65201238442933</v>
      </c>
      <c r="D8564" s="4"/>
      <c r="E8564" s="4"/>
    </row>
    <row r="8565" spans="1:5" x14ac:dyDescent="0.3">
      <c r="A8565" s="9">
        <v>8557</v>
      </c>
      <c r="B8565" s="10">
        <f t="shared" ca="1" si="133"/>
        <v>8.0911504474122597E-2</v>
      </c>
      <c r="C8565" s="10">
        <f ca="1">NPV(B8565,Project_FCF!C18:J18)+Project_FCF!B18</f>
        <v>930.70261241873527</v>
      </c>
      <c r="D8565" s="4"/>
      <c r="E8565" s="4"/>
    </row>
    <row r="8566" spans="1:5" x14ac:dyDescent="0.3">
      <c r="A8566" s="9">
        <v>8558</v>
      </c>
      <c r="B8566" s="10">
        <f t="shared" ca="1" si="133"/>
        <v>0.10324720733540745</v>
      </c>
      <c r="C8566" s="10">
        <f ca="1">NPV(B8566,Project_FCF!C18:J18)+Project_FCF!B18</f>
        <v>759.57378290679412</v>
      </c>
      <c r="D8566" s="4"/>
      <c r="E8566" s="4"/>
    </row>
    <row r="8567" spans="1:5" x14ac:dyDescent="0.3">
      <c r="A8567" s="9">
        <v>8559</v>
      </c>
      <c r="B8567" s="10">
        <f t="shared" ca="1" si="133"/>
        <v>9.3174412982782798E-2</v>
      </c>
      <c r="C8567" s="10">
        <f ca="1">NPV(B8567,Project_FCF!C18:J18)+Project_FCF!B18</f>
        <v>833.05304480643326</v>
      </c>
      <c r="D8567" s="4"/>
      <c r="E8567" s="4"/>
    </row>
    <row r="8568" spans="1:5" x14ac:dyDescent="0.3">
      <c r="A8568" s="9">
        <v>8560</v>
      </c>
      <c r="B8568" s="10">
        <f t="shared" ca="1" si="133"/>
        <v>7.6983035546747472E-2</v>
      </c>
      <c r="C8568" s="10">
        <f ca="1">NPV(B8568,Project_FCF!C18:J18)+Project_FCF!B18</f>
        <v>964.04227568393344</v>
      </c>
      <c r="D8568" s="4"/>
      <c r="E8568" s="4"/>
    </row>
    <row r="8569" spans="1:5" x14ac:dyDescent="0.3">
      <c r="A8569" s="9">
        <v>8561</v>
      </c>
      <c r="B8569" s="10">
        <f t="shared" ca="1" si="133"/>
        <v>9.3853861757870999E-2</v>
      </c>
      <c r="C8569" s="10">
        <f ca="1">NPV(B8569,Project_FCF!C18:J18)+Project_FCF!B18</f>
        <v>827.91297649086414</v>
      </c>
      <c r="D8569" s="4"/>
      <c r="E8569" s="4"/>
    </row>
    <row r="8570" spans="1:5" x14ac:dyDescent="0.3">
      <c r="A8570" s="9">
        <v>8562</v>
      </c>
      <c r="B8570" s="10">
        <f t="shared" ca="1" si="133"/>
        <v>9.3850269280763232E-2</v>
      </c>
      <c r="C8570" s="10">
        <f ca="1">NPV(B8570,Project_FCF!C18:J18)+Project_FCF!B18</f>
        <v>827.94008197604444</v>
      </c>
      <c r="D8570" s="4"/>
      <c r="E8570" s="4"/>
    </row>
    <row r="8571" spans="1:5" x14ac:dyDescent="0.3">
      <c r="A8571" s="9">
        <v>8563</v>
      </c>
      <c r="B8571" s="10">
        <f t="shared" ca="1" si="133"/>
        <v>6.9156208420663959E-2</v>
      </c>
      <c r="C8571" s="10">
        <f ca="1">NPV(B8571,Project_FCF!C18:J18)+Project_FCF!B18</f>
        <v>1033.6641931560537</v>
      </c>
      <c r="D8571" s="4"/>
      <c r="E8571" s="4"/>
    </row>
    <row r="8572" spans="1:5" x14ac:dyDescent="0.3">
      <c r="A8572" s="9">
        <v>8564</v>
      </c>
      <c r="B8572" s="10">
        <f t="shared" ca="1" si="133"/>
        <v>0.10228214248760195</v>
      </c>
      <c r="C8572" s="10">
        <f ca="1">NPV(B8572,Project_FCF!C18:J18)+Project_FCF!B18</f>
        <v>766.36712253077235</v>
      </c>
      <c r="D8572" s="4"/>
      <c r="E8572" s="4"/>
    </row>
    <row r="8573" spans="1:5" x14ac:dyDescent="0.3">
      <c r="A8573" s="9">
        <v>8565</v>
      </c>
      <c r="B8573" s="10">
        <f t="shared" ca="1" si="133"/>
        <v>8.5533952916102315E-2</v>
      </c>
      <c r="C8573" s="10">
        <f ca="1">NPV(B8573,Project_FCF!C18:J18)+Project_FCF!B18</f>
        <v>892.78091837608736</v>
      </c>
      <c r="D8573" s="4"/>
      <c r="E8573" s="4"/>
    </row>
    <row r="8574" spans="1:5" x14ac:dyDescent="0.3">
      <c r="A8574" s="9">
        <v>8566</v>
      </c>
      <c r="B8574" s="10">
        <f t="shared" ca="1" si="133"/>
        <v>7.7550355874781277E-2</v>
      </c>
      <c r="C8574" s="10">
        <f ca="1">NPV(B8574,Project_FCF!C18:J18)+Project_FCF!B18</f>
        <v>959.16300132500191</v>
      </c>
      <c r="D8574" s="4"/>
      <c r="E8574" s="4"/>
    </row>
    <row r="8575" spans="1:5" x14ac:dyDescent="0.3">
      <c r="A8575" s="9">
        <v>8567</v>
      </c>
      <c r="B8575" s="10">
        <f t="shared" ca="1" si="133"/>
        <v>8.1675300168530654E-2</v>
      </c>
      <c r="C8575" s="10">
        <f ca="1">NPV(B8575,Project_FCF!C18:J18)+Project_FCF!B18</f>
        <v>924.34045429165008</v>
      </c>
      <c r="D8575" s="4"/>
      <c r="E8575" s="4"/>
    </row>
    <row r="8576" spans="1:5" x14ac:dyDescent="0.3">
      <c r="A8576" s="9">
        <v>8568</v>
      </c>
      <c r="B8576" s="10">
        <f t="shared" ca="1" si="133"/>
        <v>9.2306968392916772E-2</v>
      </c>
      <c r="C8576" s="10">
        <f ca="1">NPV(B8576,Project_FCF!C18:J18)+Project_FCF!B18</f>
        <v>839.65517888959107</v>
      </c>
      <c r="D8576" s="4"/>
      <c r="E8576" s="4"/>
    </row>
    <row r="8577" spans="1:5" x14ac:dyDescent="0.3">
      <c r="A8577" s="9">
        <v>8569</v>
      </c>
      <c r="B8577" s="10">
        <f t="shared" ca="1" si="133"/>
        <v>7.6735620632995577E-2</v>
      </c>
      <c r="C8577" s="10">
        <f ca="1">NPV(B8577,Project_FCF!C18:J18)+Project_FCF!B18</f>
        <v>966.17709948518564</v>
      </c>
      <c r="D8577" s="4"/>
      <c r="E8577" s="4"/>
    </row>
    <row r="8578" spans="1:5" x14ac:dyDescent="0.3">
      <c r="A8578" s="9">
        <v>8570</v>
      </c>
      <c r="B8578" s="10">
        <f t="shared" ca="1" si="133"/>
        <v>0.10150813273789124</v>
      </c>
      <c r="C8578" s="10">
        <f ca="1">NPV(B8578,Project_FCF!C18:J18)+Project_FCF!B18</f>
        <v>771.85242248532313</v>
      </c>
      <c r="D8578" s="4"/>
      <c r="E8578" s="4"/>
    </row>
    <row r="8579" spans="1:5" x14ac:dyDescent="0.3">
      <c r="A8579" s="9">
        <v>8571</v>
      </c>
      <c r="B8579" s="10">
        <f t="shared" ca="1" si="133"/>
        <v>6.5207153089480926E-2</v>
      </c>
      <c r="C8579" s="10">
        <f ca="1">NPV(B8579,Project_FCF!C18:J18)+Project_FCF!B18</f>
        <v>1070.4874600714472</v>
      </c>
      <c r="D8579" s="4"/>
      <c r="E8579" s="4"/>
    </row>
    <row r="8580" spans="1:5" x14ac:dyDescent="0.3">
      <c r="A8580" s="9">
        <v>8572</v>
      </c>
      <c r="B8580" s="10">
        <f t="shared" ca="1" si="133"/>
        <v>9.685026864729869E-2</v>
      </c>
      <c r="C8580" s="10">
        <f ca="1">NPV(B8580,Project_FCF!C18:J18)+Project_FCF!B18</f>
        <v>805.56785453693033</v>
      </c>
      <c r="D8580" s="4"/>
      <c r="E8580" s="4"/>
    </row>
    <row r="8581" spans="1:5" x14ac:dyDescent="0.3">
      <c r="A8581" s="9">
        <v>8573</v>
      </c>
      <c r="B8581" s="10">
        <f t="shared" ca="1" si="133"/>
        <v>9.2376798009622452E-2</v>
      </c>
      <c r="C8581" s="10">
        <f ca="1">NPV(B8581,Project_FCF!C18:J18)+Project_FCF!B18</f>
        <v>839.12204254203834</v>
      </c>
      <c r="D8581" s="4"/>
      <c r="E8581" s="4"/>
    </row>
    <row r="8582" spans="1:5" x14ac:dyDescent="0.3">
      <c r="A8582" s="9">
        <v>8574</v>
      </c>
      <c r="B8582" s="10">
        <f t="shared" ca="1" si="133"/>
        <v>7.7890550979204456E-2</v>
      </c>
      <c r="C8582" s="10">
        <f ca="1">NPV(B8582,Project_FCF!C18:J18)+Project_FCF!B18</f>
        <v>956.24768765444901</v>
      </c>
      <c r="D8582" s="4"/>
      <c r="E8582" s="4"/>
    </row>
    <row r="8583" spans="1:5" x14ac:dyDescent="0.3">
      <c r="A8583" s="9">
        <v>8575</v>
      </c>
      <c r="B8583" s="10">
        <f t="shared" ca="1" si="133"/>
        <v>0.10367004435381622</v>
      </c>
      <c r="C8583" s="10">
        <f ca="1">NPV(B8583,Project_FCF!C18:J18)+Project_FCF!B18</f>
        <v>756.61328676121002</v>
      </c>
      <c r="D8583" s="4"/>
      <c r="E8583" s="4"/>
    </row>
    <row r="8584" spans="1:5" x14ac:dyDescent="0.3">
      <c r="A8584" s="9">
        <v>8576</v>
      </c>
      <c r="B8584" s="10">
        <f t="shared" ca="1" si="133"/>
        <v>7.3984656919473243E-2</v>
      </c>
      <c r="C8584" s="10">
        <f ca="1">NPV(B8584,Project_FCF!C18:J18)+Project_FCF!B18</f>
        <v>990.19991319726569</v>
      </c>
      <c r="D8584" s="4"/>
      <c r="E8584" s="4"/>
    </row>
    <row r="8585" spans="1:5" x14ac:dyDescent="0.3">
      <c r="A8585" s="9">
        <v>8577</v>
      </c>
      <c r="B8585" s="10">
        <f t="shared" ref="B8585:B8648" ca="1" si="134">$B$4+RAND()*($B$5-$B$4)</f>
        <v>8.5963264312868215E-2</v>
      </c>
      <c r="C8585" s="10">
        <f ca="1">NPV(B8585,Project_FCF!C18:J18)+Project_FCF!B18</f>
        <v>889.32875947786738</v>
      </c>
      <c r="D8585" s="4"/>
      <c r="E8585" s="4"/>
    </row>
    <row r="8586" spans="1:5" x14ac:dyDescent="0.3">
      <c r="A8586" s="9">
        <v>8578</v>
      </c>
      <c r="B8586" s="10">
        <f t="shared" ca="1" si="134"/>
        <v>7.5524790548118004E-2</v>
      </c>
      <c r="C8586" s="10">
        <f ca="1">NPV(B8586,Project_FCF!C18:J18)+Project_FCF!B18</f>
        <v>976.68572066453112</v>
      </c>
      <c r="D8586" s="4"/>
      <c r="E8586" s="4"/>
    </row>
    <row r="8587" spans="1:5" x14ac:dyDescent="0.3">
      <c r="A8587" s="9">
        <v>8579</v>
      </c>
      <c r="B8587" s="10">
        <f t="shared" ca="1" si="134"/>
        <v>9.0290162296421173E-2</v>
      </c>
      <c r="C8587" s="10">
        <f ca="1">NPV(B8587,Project_FCF!C18:J18)+Project_FCF!B18</f>
        <v>855.17978875168023</v>
      </c>
      <c r="D8587" s="4"/>
      <c r="E8587" s="4"/>
    </row>
    <row r="8588" spans="1:5" x14ac:dyDescent="0.3">
      <c r="A8588" s="9">
        <v>8580</v>
      </c>
      <c r="B8588" s="10">
        <f t="shared" ca="1" si="134"/>
        <v>6.9200747556056305E-2</v>
      </c>
      <c r="C8588" s="10">
        <f ca="1">NPV(B8588,Project_FCF!C18:J18)+Project_FCF!B18</f>
        <v>1033.2555226308878</v>
      </c>
      <c r="D8588" s="4"/>
      <c r="E8588" s="4"/>
    </row>
    <row r="8589" spans="1:5" x14ac:dyDescent="0.3">
      <c r="A8589" s="9">
        <v>8581</v>
      </c>
      <c r="B8589" s="10">
        <f t="shared" ca="1" si="134"/>
        <v>8.7719862041674285E-2</v>
      </c>
      <c r="C8589" s="10">
        <f ca="1">NPV(B8589,Project_FCF!C18:J18)+Project_FCF!B18</f>
        <v>875.32481989204484</v>
      </c>
      <c r="D8589" s="4"/>
      <c r="E8589" s="4"/>
    </row>
    <row r="8590" spans="1:5" x14ac:dyDescent="0.3">
      <c r="A8590" s="9">
        <v>8582</v>
      </c>
      <c r="B8590" s="10">
        <f t="shared" ca="1" si="134"/>
        <v>0.10072549801188919</v>
      </c>
      <c r="C8590" s="10">
        <f ca="1">NPV(B8590,Project_FCF!C18:J18)+Project_FCF!B18</f>
        <v>777.43244362444239</v>
      </c>
      <c r="D8590" s="4"/>
      <c r="E8590" s="4"/>
    </row>
    <row r="8591" spans="1:5" x14ac:dyDescent="0.3">
      <c r="A8591" s="9">
        <v>8583</v>
      </c>
      <c r="B8591" s="10">
        <f t="shared" ca="1" si="134"/>
        <v>9.6078837833025038E-2</v>
      </c>
      <c r="C8591" s="10">
        <f ca="1">NPV(B8591,Project_FCF!C18:J18)+Project_FCF!B18</f>
        <v>811.27076835789512</v>
      </c>
      <c r="D8591" s="4"/>
      <c r="E8591" s="4"/>
    </row>
    <row r="8592" spans="1:5" x14ac:dyDescent="0.3">
      <c r="A8592" s="9">
        <v>8584</v>
      </c>
      <c r="B8592" s="10">
        <f t="shared" ca="1" si="134"/>
        <v>0.10224628858315497</v>
      </c>
      <c r="C8592" s="10">
        <f ca="1">NPV(B8592,Project_FCF!C18:J18)+Project_FCF!B18</f>
        <v>766.62048759446907</v>
      </c>
      <c r="D8592" s="4"/>
      <c r="E8592" s="4"/>
    </row>
    <row r="8593" spans="1:5" x14ac:dyDescent="0.3">
      <c r="A8593" s="9">
        <v>8585</v>
      </c>
      <c r="B8593" s="10">
        <f t="shared" ca="1" si="134"/>
        <v>6.6638096292888346E-2</v>
      </c>
      <c r="C8593" s="10">
        <f ca="1">NPV(B8593,Project_FCF!C18:J18)+Project_FCF!B18</f>
        <v>1057.0089962951988</v>
      </c>
      <c r="D8593" s="4"/>
      <c r="E8593" s="4"/>
    </row>
    <row r="8594" spans="1:5" x14ac:dyDescent="0.3">
      <c r="A8594" s="9">
        <v>8586</v>
      </c>
      <c r="B8594" s="10">
        <f t="shared" ca="1" si="134"/>
        <v>7.3240679545934745E-2</v>
      </c>
      <c r="C8594" s="10">
        <f ca="1">NPV(B8594,Project_FCF!C18:J18)+Project_FCF!B18</f>
        <v>996.78790876713492</v>
      </c>
      <c r="D8594" s="4"/>
      <c r="E8594" s="4"/>
    </row>
    <row r="8595" spans="1:5" x14ac:dyDescent="0.3">
      <c r="A8595" s="9">
        <v>8587</v>
      </c>
      <c r="B8595" s="10">
        <f t="shared" ca="1" si="134"/>
        <v>6.827144263380179E-2</v>
      </c>
      <c r="C8595" s="10">
        <f ca="1">NPV(B8595,Project_FCF!C18:J18)+Project_FCF!B18</f>
        <v>1041.8127935558452</v>
      </c>
      <c r="D8595" s="4"/>
      <c r="E8595" s="4"/>
    </row>
    <row r="8596" spans="1:5" x14ac:dyDescent="0.3">
      <c r="A8596" s="9">
        <v>8588</v>
      </c>
      <c r="B8596" s="10">
        <f t="shared" ca="1" si="134"/>
        <v>8.9238950567939332E-2</v>
      </c>
      <c r="C8596" s="10">
        <f ca="1">NPV(B8596,Project_FCF!C18:J18)+Project_FCF!B18</f>
        <v>863.36960187361547</v>
      </c>
      <c r="D8596" s="4"/>
      <c r="E8596" s="4"/>
    </row>
    <row r="8597" spans="1:5" x14ac:dyDescent="0.3">
      <c r="A8597" s="9">
        <v>8589</v>
      </c>
      <c r="B8597" s="10">
        <f t="shared" ca="1" si="134"/>
        <v>9.021617349728267E-2</v>
      </c>
      <c r="C8597" s="10">
        <f ca="1">NPV(B8597,Project_FCF!C18:J18)+Project_FCF!B18</f>
        <v>855.75401264228913</v>
      </c>
      <c r="D8597" s="4"/>
      <c r="E8597" s="4"/>
    </row>
    <row r="8598" spans="1:5" x14ac:dyDescent="0.3">
      <c r="A8598" s="9">
        <v>8590</v>
      </c>
      <c r="B8598" s="10">
        <f t="shared" ca="1" si="134"/>
        <v>9.6914476623258694E-2</v>
      </c>
      <c r="C8598" s="10">
        <f ca="1">NPV(B8598,Project_FCF!C18:J18)+Project_FCF!B18</f>
        <v>805.09473297757745</v>
      </c>
      <c r="D8598" s="4"/>
      <c r="E8598" s="4"/>
    </row>
    <row r="8599" spans="1:5" x14ac:dyDescent="0.3">
      <c r="A8599" s="9">
        <v>8591</v>
      </c>
      <c r="B8599" s="10">
        <f t="shared" ca="1" si="134"/>
        <v>9.5449747161533816E-2</v>
      </c>
      <c r="C8599" s="10">
        <f ca="1">NPV(B8599,Project_FCF!C18:J18)+Project_FCF!B18</f>
        <v>815.9468956951373</v>
      </c>
      <c r="D8599" s="4"/>
      <c r="E8599" s="4"/>
    </row>
    <row r="8600" spans="1:5" x14ac:dyDescent="0.3">
      <c r="A8600" s="9">
        <v>8592</v>
      </c>
      <c r="B8600" s="10">
        <f t="shared" ca="1" si="134"/>
        <v>6.870809604653963E-2</v>
      </c>
      <c r="C8600" s="10">
        <f ca="1">NPV(B8600,Project_FCF!C18:J18)+Project_FCF!B18</f>
        <v>1037.7840162679067</v>
      </c>
      <c r="D8600" s="4"/>
      <c r="E8600" s="4"/>
    </row>
    <row r="8601" spans="1:5" x14ac:dyDescent="0.3">
      <c r="A8601" s="9">
        <v>8593</v>
      </c>
      <c r="B8601" s="10">
        <f t="shared" ca="1" si="134"/>
        <v>8.3637132442724443E-2</v>
      </c>
      <c r="C8601" s="10">
        <f ca="1">NPV(B8601,Project_FCF!C18:J18)+Project_FCF!B18</f>
        <v>908.17444764041556</v>
      </c>
      <c r="D8601" s="4"/>
      <c r="E8601" s="4"/>
    </row>
    <row r="8602" spans="1:5" x14ac:dyDescent="0.3">
      <c r="A8602" s="9">
        <v>8594</v>
      </c>
      <c r="B8602" s="10">
        <f t="shared" ca="1" si="134"/>
        <v>7.1078522057739527E-2</v>
      </c>
      <c r="C8602" s="10">
        <f ca="1">NPV(B8602,Project_FCF!C18:J18)+Project_FCF!B18</f>
        <v>1016.1582515646676</v>
      </c>
      <c r="D8602" s="4"/>
      <c r="E8602" s="4"/>
    </row>
    <row r="8603" spans="1:5" x14ac:dyDescent="0.3">
      <c r="A8603" s="9">
        <v>8595</v>
      </c>
      <c r="B8603" s="10">
        <f t="shared" ca="1" si="134"/>
        <v>9.7887889012219814E-2</v>
      </c>
      <c r="C8603" s="10">
        <f ca="1">NPV(B8603,Project_FCF!C18:J18)+Project_FCF!B18</f>
        <v>797.95099897573732</v>
      </c>
      <c r="D8603" s="4"/>
      <c r="E8603" s="4"/>
    </row>
    <row r="8604" spans="1:5" x14ac:dyDescent="0.3">
      <c r="A8604" s="9">
        <v>8596</v>
      </c>
      <c r="B8604" s="10">
        <f t="shared" ca="1" si="134"/>
        <v>6.8476711234239498E-2</v>
      </c>
      <c r="C8604" s="10">
        <f ca="1">NPV(B8604,Project_FCF!C18:J18)+Project_FCF!B18</f>
        <v>1039.9171231025489</v>
      </c>
      <c r="D8604" s="4"/>
      <c r="E8604" s="4"/>
    </row>
    <row r="8605" spans="1:5" x14ac:dyDescent="0.3">
      <c r="A8605" s="9">
        <v>8597</v>
      </c>
      <c r="B8605" s="10">
        <f t="shared" ca="1" si="134"/>
        <v>0.10156768451264711</v>
      </c>
      <c r="C8605" s="10">
        <f ca="1">NPV(B8605,Project_FCF!C18:J18)+Project_FCF!B18</f>
        <v>771.42921686759109</v>
      </c>
      <c r="D8605" s="4"/>
      <c r="E8605" s="4"/>
    </row>
    <row r="8606" spans="1:5" x14ac:dyDescent="0.3">
      <c r="A8606" s="9">
        <v>8598</v>
      </c>
      <c r="B8606" s="10">
        <f t="shared" ca="1" si="134"/>
        <v>7.2113177081527868E-2</v>
      </c>
      <c r="C8606" s="10">
        <f ca="1">NPV(B8606,Project_FCF!C18:J18)+Project_FCF!B18</f>
        <v>1006.8471170971216</v>
      </c>
      <c r="D8606" s="4"/>
      <c r="E8606" s="4"/>
    </row>
    <row r="8607" spans="1:5" x14ac:dyDescent="0.3">
      <c r="A8607" s="9">
        <v>8599</v>
      </c>
      <c r="B8607" s="10">
        <f t="shared" ca="1" si="134"/>
        <v>7.8071170288127462E-2</v>
      </c>
      <c r="C8607" s="10">
        <f ca="1">NPV(B8607,Project_FCF!C18:J18)+Project_FCF!B18</f>
        <v>954.70307002675167</v>
      </c>
      <c r="D8607" s="4"/>
      <c r="E8607" s="4"/>
    </row>
    <row r="8608" spans="1:5" x14ac:dyDescent="0.3">
      <c r="A8608" s="9">
        <v>8600</v>
      </c>
      <c r="B8608" s="10">
        <f t="shared" ca="1" si="134"/>
        <v>0.10179752128817421</v>
      </c>
      <c r="C8608" s="10">
        <f ca="1">NPV(B8608,Project_FCF!C18:J18)+Project_FCF!B18</f>
        <v>769.79771052757883</v>
      </c>
      <c r="D8608" s="4"/>
      <c r="E8608" s="4"/>
    </row>
    <row r="8609" spans="1:5" x14ac:dyDescent="0.3">
      <c r="A8609" s="9">
        <v>8601</v>
      </c>
      <c r="B8609" s="10">
        <f t="shared" ca="1" si="134"/>
        <v>6.828735062805194E-2</v>
      </c>
      <c r="C8609" s="10">
        <f ca="1">NPV(B8609,Project_FCF!C18:J18)+Project_FCF!B18</f>
        <v>1041.6657701606166</v>
      </c>
      <c r="D8609" s="4"/>
      <c r="E8609" s="4"/>
    </row>
    <row r="8610" spans="1:5" x14ac:dyDescent="0.3">
      <c r="A8610" s="9">
        <v>8602</v>
      </c>
      <c r="B8610" s="10">
        <f t="shared" ca="1" si="134"/>
        <v>8.8197113663690457E-2</v>
      </c>
      <c r="C8610" s="10">
        <f ca="1">NPV(B8610,Project_FCF!C18:J18)+Project_FCF!B18</f>
        <v>871.55344262550534</v>
      </c>
      <c r="D8610" s="4"/>
      <c r="E8610" s="4"/>
    </row>
    <row r="8611" spans="1:5" x14ac:dyDescent="0.3">
      <c r="A8611" s="9">
        <v>8603</v>
      </c>
      <c r="B8611" s="10">
        <f t="shared" ca="1" si="134"/>
        <v>6.638469880449116E-2</v>
      </c>
      <c r="C8611" s="10">
        <f ca="1">NPV(B8611,Project_FCF!C18:J18)+Project_FCF!B18</f>
        <v>1059.3845019724952</v>
      </c>
      <c r="D8611" s="4"/>
      <c r="E8611" s="4"/>
    </row>
    <row r="8612" spans="1:5" x14ac:dyDescent="0.3">
      <c r="A8612" s="9">
        <v>8604</v>
      </c>
      <c r="B8612" s="10">
        <f t="shared" ca="1" si="134"/>
        <v>9.4513043340906544E-2</v>
      </c>
      <c r="C8612" s="10">
        <f ca="1">NPV(B8612,Project_FCF!C18:J18)+Project_FCF!B18</f>
        <v>822.95227592440074</v>
      </c>
      <c r="D8612" s="4"/>
      <c r="E8612" s="4"/>
    </row>
    <row r="8613" spans="1:5" x14ac:dyDescent="0.3">
      <c r="A8613" s="9">
        <v>8605</v>
      </c>
      <c r="B8613" s="10">
        <f t="shared" ca="1" si="134"/>
        <v>8.7275533627428681E-2</v>
      </c>
      <c r="C8613" s="10">
        <f ca="1">NPV(B8613,Project_FCF!C18:J18)+Project_FCF!B18</f>
        <v>878.8487939271015</v>
      </c>
      <c r="D8613" s="4"/>
      <c r="E8613" s="4"/>
    </row>
    <row r="8614" spans="1:5" x14ac:dyDescent="0.3">
      <c r="A8614" s="9">
        <v>8606</v>
      </c>
      <c r="B8614" s="10">
        <f t="shared" ca="1" si="134"/>
        <v>6.860067391205095E-2</v>
      </c>
      <c r="C8614" s="10">
        <f ca="1">NPV(B8614,Project_FCF!C18:J18)+Project_FCF!B18</f>
        <v>1038.773833528817</v>
      </c>
      <c r="D8614" s="4"/>
      <c r="E8614" s="4"/>
    </row>
    <row r="8615" spans="1:5" x14ac:dyDescent="0.3">
      <c r="A8615" s="9">
        <v>8607</v>
      </c>
      <c r="B8615" s="10">
        <f t="shared" ca="1" si="134"/>
        <v>8.6123834312072545E-2</v>
      </c>
      <c r="C8615" s="10">
        <f ca="1">NPV(B8615,Project_FCF!C18:J18)+Project_FCF!B18</f>
        <v>888.0405937545313</v>
      </c>
      <c r="D8615" s="4"/>
      <c r="E8615" s="4"/>
    </row>
    <row r="8616" spans="1:5" x14ac:dyDescent="0.3">
      <c r="A8616" s="9">
        <v>8608</v>
      </c>
      <c r="B8616" s="10">
        <f t="shared" ca="1" si="134"/>
        <v>7.4184101418393447E-2</v>
      </c>
      <c r="C8616" s="10">
        <f ca="1">NPV(B8616,Project_FCF!C18:J18)+Project_FCF!B18</f>
        <v>988.4404630140707</v>
      </c>
      <c r="D8616" s="4"/>
      <c r="E8616" s="4"/>
    </row>
    <row r="8617" spans="1:5" x14ac:dyDescent="0.3">
      <c r="A8617" s="9">
        <v>8609</v>
      </c>
      <c r="B8617" s="10">
        <f t="shared" ca="1" si="134"/>
        <v>6.9190741849090354E-2</v>
      </c>
      <c r="C8617" s="10">
        <f ca="1">NPV(B8617,Project_FCF!C18:J18)+Project_FCF!B18</f>
        <v>1033.3473176354437</v>
      </c>
      <c r="D8617" s="4"/>
      <c r="E8617" s="4"/>
    </row>
    <row r="8618" spans="1:5" x14ac:dyDescent="0.3">
      <c r="A8618" s="9">
        <v>8610</v>
      </c>
      <c r="B8618" s="10">
        <f t="shared" ca="1" si="134"/>
        <v>9.6346074549555322E-2</v>
      </c>
      <c r="C8618" s="10">
        <f ca="1">NPV(B8618,Project_FCF!C18:J18)+Project_FCF!B18</f>
        <v>809.29129544725197</v>
      </c>
      <c r="D8618" s="4"/>
      <c r="E8618" s="4"/>
    </row>
    <row r="8619" spans="1:5" x14ac:dyDescent="0.3">
      <c r="A8619" s="9">
        <v>8611</v>
      </c>
      <c r="B8619" s="10">
        <f t="shared" ca="1" si="134"/>
        <v>7.0519030771245508E-2</v>
      </c>
      <c r="C8619" s="10">
        <f ca="1">NPV(B8619,Project_FCF!C18:J18)+Project_FCF!B18</f>
        <v>1021.2255344767721</v>
      </c>
      <c r="D8619" s="4"/>
      <c r="E8619" s="4"/>
    </row>
    <row r="8620" spans="1:5" x14ac:dyDescent="0.3">
      <c r="A8620" s="9">
        <v>8612</v>
      </c>
      <c r="B8620" s="10">
        <f t="shared" ca="1" si="134"/>
        <v>8.8542406213647562E-2</v>
      </c>
      <c r="C8620" s="10">
        <f ca="1">NPV(B8620,Project_FCF!C18:J18)+Project_FCF!B18</f>
        <v>868.8336638158919</v>
      </c>
      <c r="D8620" s="4"/>
      <c r="E8620" s="4"/>
    </row>
    <row r="8621" spans="1:5" x14ac:dyDescent="0.3">
      <c r="A8621" s="9">
        <v>8613</v>
      </c>
      <c r="B8621" s="10">
        <f t="shared" ca="1" si="134"/>
        <v>6.7346240401359628E-2</v>
      </c>
      <c r="C8621" s="10">
        <f ca="1">NPV(B8621,Project_FCF!C18:J18)+Project_FCF!B18</f>
        <v>1050.3960717599132</v>
      </c>
      <c r="D8621" s="4"/>
      <c r="E8621" s="4"/>
    </row>
    <row r="8622" spans="1:5" x14ac:dyDescent="0.3">
      <c r="A8622" s="9">
        <v>8614</v>
      </c>
      <c r="B8622" s="10">
        <f t="shared" ca="1" si="134"/>
        <v>7.8364408049660425E-2</v>
      </c>
      <c r="C8622" s="10">
        <f ca="1">NPV(B8622,Project_FCF!C18:J18)+Project_FCF!B18</f>
        <v>952.20008725624257</v>
      </c>
      <c r="D8622" s="4"/>
      <c r="E8622" s="4"/>
    </row>
    <row r="8623" spans="1:5" x14ac:dyDescent="0.3">
      <c r="A8623" s="9">
        <v>8615</v>
      </c>
      <c r="B8623" s="10">
        <f t="shared" ca="1" si="134"/>
        <v>8.4925545038485345E-2</v>
      </c>
      <c r="C8623" s="10">
        <f ca="1">NPV(B8623,Project_FCF!C18:J18)+Project_FCF!B18</f>
        <v>897.69330400900299</v>
      </c>
      <c r="D8623" s="4"/>
      <c r="E8623" s="4"/>
    </row>
    <row r="8624" spans="1:5" x14ac:dyDescent="0.3">
      <c r="A8624" s="9">
        <v>8616</v>
      </c>
      <c r="B8624" s="10">
        <f t="shared" ca="1" si="134"/>
        <v>8.1487792482921498E-2</v>
      </c>
      <c r="C8624" s="10">
        <f ca="1">NPV(B8624,Project_FCF!C18:J18)+Project_FCF!B18</f>
        <v>925.89876226204024</v>
      </c>
      <c r="D8624" s="4"/>
      <c r="E8624" s="4"/>
    </row>
    <row r="8625" spans="1:5" x14ac:dyDescent="0.3">
      <c r="A8625" s="9">
        <v>8617</v>
      </c>
      <c r="B8625" s="10">
        <f t="shared" ca="1" si="134"/>
        <v>8.2184191626802072E-2</v>
      </c>
      <c r="C8625" s="10">
        <f ca="1">NPV(B8625,Project_FCF!C18:J18)+Project_FCF!B18</f>
        <v>920.1228975259105</v>
      </c>
      <c r="D8625" s="4"/>
      <c r="E8625" s="4"/>
    </row>
    <row r="8626" spans="1:5" x14ac:dyDescent="0.3">
      <c r="A8626" s="9">
        <v>8618</v>
      </c>
      <c r="B8626" s="10">
        <f t="shared" ca="1" si="134"/>
        <v>6.8601534727317184E-2</v>
      </c>
      <c r="C8626" s="10">
        <f ca="1">NPV(B8626,Project_FCF!C18:J18)+Project_FCF!B18</f>
        <v>1038.7658983400754</v>
      </c>
      <c r="D8626" s="4"/>
      <c r="E8626" s="4"/>
    </row>
    <row r="8627" spans="1:5" x14ac:dyDescent="0.3">
      <c r="A8627" s="9">
        <v>8619</v>
      </c>
      <c r="B8627" s="10">
        <f t="shared" ca="1" si="134"/>
        <v>9.7261576129748326E-2</v>
      </c>
      <c r="C8627" s="10">
        <f ca="1">NPV(B8627,Project_FCF!C18:J18)+Project_FCF!B18</f>
        <v>802.54119981945178</v>
      </c>
      <c r="D8627" s="4"/>
      <c r="E8627" s="4"/>
    </row>
    <row r="8628" spans="1:5" x14ac:dyDescent="0.3">
      <c r="A8628" s="9">
        <v>8620</v>
      </c>
      <c r="B8628" s="10">
        <f t="shared" ca="1" si="134"/>
        <v>6.8820909758025101E-2</v>
      </c>
      <c r="C8628" s="10">
        <f ca="1">NPV(B8628,Project_FCF!C18:J18)+Project_FCF!B18</f>
        <v>1036.745439492242</v>
      </c>
      <c r="D8628" s="4"/>
      <c r="E8628" s="4"/>
    </row>
    <row r="8629" spans="1:5" x14ac:dyDescent="0.3">
      <c r="A8629" s="9">
        <v>8621</v>
      </c>
      <c r="B8629" s="10">
        <f t="shared" ca="1" si="134"/>
        <v>8.2388294004857865E-2</v>
      </c>
      <c r="C8629" s="10">
        <f ca="1">NPV(B8629,Project_FCF!C18:J18)+Project_FCF!B18</f>
        <v>918.43612417195618</v>
      </c>
      <c r="D8629" s="4"/>
      <c r="E8629" s="4"/>
    </row>
    <row r="8630" spans="1:5" x14ac:dyDescent="0.3">
      <c r="A8630" s="9">
        <v>8622</v>
      </c>
      <c r="B8630" s="10">
        <f t="shared" ca="1" si="134"/>
        <v>9.6667482646704245E-2</v>
      </c>
      <c r="C8630" s="10">
        <f ca="1">NPV(B8630,Project_FCF!C18:J18)+Project_FCF!B18</f>
        <v>806.9160255791171</v>
      </c>
      <c r="D8630" s="4"/>
      <c r="E8630" s="4"/>
    </row>
    <row r="8631" spans="1:5" x14ac:dyDescent="0.3">
      <c r="A8631" s="9">
        <v>8623</v>
      </c>
      <c r="B8631" s="10">
        <f t="shared" ca="1" si="134"/>
        <v>0.10125655736370542</v>
      </c>
      <c r="C8631" s="10">
        <f ca="1">NPV(B8631,Project_FCF!C18:J18)+Project_FCF!B18</f>
        <v>773.64240651078171</v>
      </c>
      <c r="D8631" s="4"/>
      <c r="E8631" s="4"/>
    </row>
    <row r="8632" spans="1:5" x14ac:dyDescent="0.3">
      <c r="A8632" s="9">
        <v>8624</v>
      </c>
      <c r="B8632" s="10">
        <f t="shared" ca="1" si="134"/>
        <v>8.8850216678118821E-2</v>
      </c>
      <c r="C8632" s="10">
        <f ca="1">NPV(B8632,Project_FCF!C18:J18)+Project_FCF!B18</f>
        <v>866.41534383020849</v>
      </c>
      <c r="D8632" s="4"/>
      <c r="E8632" s="4"/>
    </row>
    <row r="8633" spans="1:5" x14ac:dyDescent="0.3">
      <c r="A8633" s="9">
        <v>8625</v>
      </c>
      <c r="B8633" s="10">
        <f t="shared" ca="1" si="134"/>
        <v>7.1351240124418777E-2</v>
      </c>
      <c r="C8633" s="10">
        <f ca="1">NPV(B8633,Project_FCF!C18:J18)+Project_FCF!B18</f>
        <v>1013.696489709175</v>
      </c>
      <c r="D8633" s="4"/>
      <c r="E8633" s="4"/>
    </row>
    <row r="8634" spans="1:5" x14ac:dyDescent="0.3">
      <c r="A8634" s="9">
        <v>8626</v>
      </c>
      <c r="B8634" s="10">
        <f t="shared" ca="1" si="134"/>
        <v>8.6131384834631231E-2</v>
      </c>
      <c r="C8634" s="10">
        <f ca="1">NPV(B8634,Project_FCF!C18:J18)+Project_FCF!B18</f>
        <v>887.9800601859165</v>
      </c>
      <c r="D8634" s="4"/>
      <c r="E8634" s="4"/>
    </row>
    <row r="8635" spans="1:5" x14ac:dyDescent="0.3">
      <c r="A8635" s="9">
        <v>8627</v>
      </c>
      <c r="B8635" s="10">
        <f t="shared" ca="1" si="134"/>
        <v>7.8001796927813741E-2</v>
      </c>
      <c r="C8635" s="10">
        <f ca="1">NPV(B8635,Project_FCF!C18:J18)+Project_FCF!B18</f>
        <v>955.29607349379307</v>
      </c>
      <c r="D8635" s="4"/>
      <c r="E8635" s="4"/>
    </row>
    <row r="8636" spans="1:5" x14ac:dyDescent="0.3">
      <c r="A8636" s="9">
        <v>8628</v>
      </c>
      <c r="B8636" s="10">
        <f t="shared" ca="1" si="134"/>
        <v>7.9160985077696241E-2</v>
      </c>
      <c r="C8636" s="10">
        <f ca="1">NPV(B8636,Project_FCF!C18:J18)+Project_FCF!B18</f>
        <v>945.43016238445239</v>
      </c>
      <c r="D8636" s="4"/>
      <c r="E8636" s="4"/>
    </row>
    <row r="8637" spans="1:5" x14ac:dyDescent="0.3">
      <c r="A8637" s="9">
        <v>8629</v>
      </c>
      <c r="B8637" s="10">
        <f t="shared" ca="1" si="134"/>
        <v>7.3986696835612417E-2</v>
      </c>
      <c r="C8637" s="10">
        <f ca="1">NPV(B8637,Project_FCF!C18:J18)+Project_FCF!B18</f>
        <v>990.18190335781446</v>
      </c>
      <c r="D8637" s="4"/>
      <c r="E8637" s="4"/>
    </row>
    <row r="8638" spans="1:5" x14ac:dyDescent="0.3">
      <c r="A8638" s="9">
        <v>8630</v>
      </c>
      <c r="B8638" s="10">
        <f t="shared" ca="1" si="134"/>
        <v>6.4949276637742859E-2</v>
      </c>
      <c r="C8638" s="10">
        <f ca="1">NPV(B8638,Project_FCF!C18:J18)+Project_FCF!B18</f>
        <v>1072.933063574181</v>
      </c>
      <c r="D8638" s="4"/>
      <c r="E8638" s="4"/>
    </row>
    <row r="8639" spans="1:5" x14ac:dyDescent="0.3">
      <c r="A8639" s="9">
        <v>8631</v>
      </c>
      <c r="B8639" s="10">
        <f t="shared" ca="1" si="134"/>
        <v>8.8888074238064593E-2</v>
      </c>
      <c r="C8639" s="10">
        <f ca="1">NPV(B8639,Project_FCF!C18:J18)+Project_FCF!B18</f>
        <v>866.11831924422131</v>
      </c>
      <c r="D8639" s="4"/>
      <c r="E8639" s="4"/>
    </row>
    <row r="8640" spans="1:5" x14ac:dyDescent="0.3">
      <c r="A8640" s="9">
        <v>8632</v>
      </c>
      <c r="B8640" s="10">
        <f t="shared" ca="1" si="134"/>
        <v>8.2551395708032313E-2</v>
      </c>
      <c r="C8640" s="10">
        <f ca="1">NPV(B8640,Project_FCF!C18:J18)+Project_FCF!B18</f>
        <v>917.09015382537086</v>
      </c>
      <c r="D8640" s="4"/>
      <c r="E8640" s="4"/>
    </row>
    <row r="8641" spans="1:5" x14ac:dyDescent="0.3">
      <c r="A8641" s="9">
        <v>8633</v>
      </c>
      <c r="B8641" s="10">
        <f t="shared" ca="1" si="134"/>
        <v>6.7407362487017147E-2</v>
      </c>
      <c r="C8641" s="10">
        <f ca="1">NPV(B8641,Project_FCF!C18:J18)+Project_FCF!B18</f>
        <v>1049.8270563116507</v>
      </c>
      <c r="D8641" s="4"/>
      <c r="E8641" s="4"/>
    </row>
    <row r="8642" spans="1:5" x14ac:dyDescent="0.3">
      <c r="A8642" s="9">
        <v>8634</v>
      </c>
      <c r="B8642" s="10">
        <f t="shared" ca="1" si="134"/>
        <v>8.7450128610471634E-2</v>
      </c>
      <c r="C8642" s="10">
        <f ca="1">NPV(B8642,Project_FCF!C18:J18)+Project_FCF!B18</f>
        <v>877.46260761176927</v>
      </c>
      <c r="D8642" s="4"/>
      <c r="E8642" s="4"/>
    </row>
    <row r="8643" spans="1:5" x14ac:dyDescent="0.3">
      <c r="A8643" s="9">
        <v>8635</v>
      </c>
      <c r="B8643" s="10">
        <f t="shared" ca="1" si="134"/>
        <v>7.0557488188625436E-2</v>
      </c>
      <c r="C8643" s="10">
        <f ca="1">NPV(B8643,Project_FCF!C18:J18)+Project_FCF!B18</f>
        <v>1020.8764992192482</v>
      </c>
      <c r="D8643" s="4"/>
      <c r="E8643" s="4"/>
    </row>
    <row r="8644" spans="1:5" x14ac:dyDescent="0.3">
      <c r="A8644" s="9">
        <v>8636</v>
      </c>
      <c r="B8644" s="10">
        <f t="shared" ca="1" si="134"/>
        <v>7.0801957549001676E-2</v>
      </c>
      <c r="C8644" s="10">
        <f ca="1">NPV(B8644,Project_FCF!C18:J18)+Project_FCF!B18</f>
        <v>1018.6602390780381</v>
      </c>
      <c r="D8644" s="4"/>
      <c r="E8644" s="4"/>
    </row>
    <row r="8645" spans="1:5" x14ac:dyDescent="0.3">
      <c r="A8645" s="9">
        <v>8637</v>
      </c>
      <c r="B8645" s="10">
        <f t="shared" ca="1" si="134"/>
        <v>6.6139550774431594E-2</v>
      </c>
      <c r="C8645" s="10">
        <f ca="1">NPV(B8645,Project_FCF!C18:J18)+Project_FCF!B18</f>
        <v>1061.6872946126837</v>
      </c>
      <c r="D8645" s="4"/>
      <c r="E8645" s="4"/>
    </row>
    <row r="8646" spans="1:5" x14ac:dyDescent="0.3">
      <c r="A8646" s="9">
        <v>8638</v>
      </c>
      <c r="B8646" s="10">
        <f t="shared" ca="1" si="134"/>
        <v>8.8143848384054854E-2</v>
      </c>
      <c r="C8646" s="10">
        <f ca="1">NPV(B8646,Project_FCF!C18:J18)+Project_FCF!B18</f>
        <v>871.97365772458261</v>
      </c>
      <c r="D8646" s="4"/>
      <c r="E8646" s="4"/>
    </row>
    <row r="8647" spans="1:5" x14ac:dyDescent="0.3">
      <c r="A8647" s="9">
        <v>8639</v>
      </c>
      <c r="B8647" s="10">
        <f t="shared" ca="1" si="134"/>
        <v>6.9400978983881187E-2</v>
      </c>
      <c r="C8647" s="10">
        <f ca="1">NPV(B8647,Project_FCF!C18:J18)+Project_FCF!B18</f>
        <v>1031.4200973411037</v>
      </c>
      <c r="D8647" s="4"/>
      <c r="E8647" s="4"/>
    </row>
    <row r="8648" spans="1:5" x14ac:dyDescent="0.3">
      <c r="A8648" s="9">
        <v>8640</v>
      </c>
      <c r="B8648" s="10">
        <f t="shared" ca="1" si="134"/>
        <v>8.5958335970151276E-2</v>
      </c>
      <c r="C8648" s="10">
        <f ca="1">NPV(B8648,Project_FCF!C18:J18)+Project_FCF!B18</f>
        <v>889.36832271030585</v>
      </c>
      <c r="D8648" s="4"/>
      <c r="E8648" s="4"/>
    </row>
    <row r="8649" spans="1:5" x14ac:dyDescent="0.3">
      <c r="A8649" s="9">
        <v>8641</v>
      </c>
      <c r="B8649" s="10">
        <f t="shared" ref="B8649:B8712" ca="1" si="135">$B$4+RAND()*($B$5-$B$4)</f>
        <v>7.0571024022276219E-2</v>
      </c>
      <c r="C8649" s="10">
        <f ca="1">NPV(B8649,Project_FCF!C18:J18)+Project_FCF!B18</f>
        <v>1020.7536751184448</v>
      </c>
      <c r="D8649" s="4"/>
      <c r="E8649" s="4"/>
    </row>
    <row r="8650" spans="1:5" x14ac:dyDescent="0.3">
      <c r="A8650" s="9">
        <v>8642</v>
      </c>
      <c r="B8650" s="10">
        <f t="shared" ca="1" si="135"/>
        <v>7.4490066551868031E-2</v>
      </c>
      <c r="C8650" s="10">
        <f ca="1">NPV(B8650,Project_FCF!C18:J18)+Project_FCF!B18</f>
        <v>985.74675964523476</v>
      </c>
      <c r="D8650" s="4"/>
      <c r="E8650" s="4"/>
    </row>
    <row r="8651" spans="1:5" x14ac:dyDescent="0.3">
      <c r="A8651" s="9">
        <v>8643</v>
      </c>
      <c r="B8651" s="10">
        <f t="shared" ca="1" si="135"/>
        <v>7.0848995030327391E-2</v>
      </c>
      <c r="C8651" s="10">
        <f ca="1">NPV(B8651,Project_FCF!C18:J18)+Project_FCF!B18</f>
        <v>1018.2343147454912</v>
      </c>
      <c r="D8651" s="4"/>
      <c r="E8651" s="4"/>
    </row>
    <row r="8652" spans="1:5" x14ac:dyDescent="0.3">
      <c r="A8652" s="9">
        <v>8644</v>
      </c>
      <c r="B8652" s="10">
        <f t="shared" ca="1" si="135"/>
        <v>8.4773494279976991E-2</v>
      </c>
      <c r="C8652" s="10">
        <f ca="1">NPV(B8652,Project_FCF!C18:J18)+Project_FCF!B18</f>
        <v>898.92467836931064</v>
      </c>
      <c r="D8652" s="4"/>
      <c r="E8652" s="4"/>
    </row>
    <row r="8653" spans="1:5" x14ac:dyDescent="0.3">
      <c r="A8653" s="9">
        <v>8645</v>
      </c>
      <c r="B8653" s="10">
        <f t="shared" ca="1" si="135"/>
        <v>6.4040397751830139E-2</v>
      </c>
      <c r="C8653" s="10">
        <f ca="1">NPV(B8653,Project_FCF!C18:J18)+Project_FCF!B18</f>
        <v>1081.593250864021</v>
      </c>
      <c r="D8653" s="4"/>
      <c r="E8653" s="4"/>
    </row>
    <row r="8654" spans="1:5" x14ac:dyDescent="0.3">
      <c r="A8654" s="9">
        <v>8646</v>
      </c>
      <c r="B8654" s="10">
        <f t="shared" ca="1" si="135"/>
        <v>8.6575456352335711E-2</v>
      </c>
      <c r="C8654" s="10">
        <f ca="1">NPV(B8654,Project_FCF!C18:J18)+Project_FCF!B18</f>
        <v>884.4262123599608</v>
      </c>
      <c r="D8654" s="4"/>
      <c r="E8654" s="4"/>
    </row>
    <row r="8655" spans="1:5" x14ac:dyDescent="0.3">
      <c r="A8655" s="9">
        <v>8647</v>
      </c>
      <c r="B8655" s="10">
        <f t="shared" ca="1" si="135"/>
        <v>8.4806976353070745E-2</v>
      </c>
      <c r="C8655" s="10">
        <f ca="1">NPV(B8655,Project_FCF!C18:J18)+Project_FCF!B18</f>
        <v>898.65339870166758</v>
      </c>
      <c r="D8655" s="4"/>
      <c r="E8655" s="4"/>
    </row>
    <row r="8656" spans="1:5" x14ac:dyDescent="0.3">
      <c r="A8656" s="9">
        <v>8648</v>
      </c>
      <c r="B8656" s="10">
        <f t="shared" ca="1" si="135"/>
        <v>8.0157696694824629E-2</v>
      </c>
      <c r="C8656" s="10">
        <f ca="1">NPV(B8656,Project_FCF!C18:J18)+Project_FCF!B18</f>
        <v>937.01949112377656</v>
      </c>
      <c r="D8656" s="4"/>
      <c r="E8656" s="4"/>
    </row>
    <row r="8657" spans="1:5" x14ac:dyDescent="0.3">
      <c r="A8657" s="9">
        <v>8649</v>
      </c>
      <c r="B8657" s="10">
        <f t="shared" ca="1" si="135"/>
        <v>9.3845685580395743E-2</v>
      </c>
      <c r="C8657" s="10">
        <f ca="1">NPV(B8657,Project_FCF!C18:J18)+Project_FCF!B18</f>
        <v>827.97466741458879</v>
      </c>
      <c r="D8657" s="4"/>
      <c r="E8657" s="4"/>
    </row>
    <row r="8658" spans="1:5" x14ac:dyDescent="0.3">
      <c r="A8658" s="9">
        <v>8650</v>
      </c>
      <c r="B8658" s="10">
        <f t="shared" ca="1" si="135"/>
        <v>8.375287521438729E-2</v>
      </c>
      <c r="C8658" s="10">
        <f ca="1">NPV(B8658,Project_FCF!C18:J18)+Project_FCF!B18</f>
        <v>907.22851735528047</v>
      </c>
      <c r="D8658" s="4"/>
      <c r="E8658" s="4"/>
    </row>
    <row r="8659" spans="1:5" x14ac:dyDescent="0.3">
      <c r="A8659" s="9">
        <v>8651</v>
      </c>
      <c r="B8659" s="10">
        <f t="shared" ca="1" si="135"/>
        <v>8.5339127845282109E-2</v>
      </c>
      <c r="C8659" s="10">
        <f ca="1">NPV(B8659,Project_FCF!C18:J18)+Project_FCF!B18</f>
        <v>894.35140011136878</v>
      </c>
      <c r="D8659" s="4"/>
      <c r="E8659" s="4"/>
    </row>
    <row r="8660" spans="1:5" x14ac:dyDescent="0.3">
      <c r="A8660" s="9">
        <v>8652</v>
      </c>
      <c r="B8660" s="10">
        <f t="shared" ca="1" si="135"/>
        <v>7.2791970576559936E-2</v>
      </c>
      <c r="C8660" s="10">
        <f ca="1">NPV(B8660,Project_FCF!C18:J18)+Project_FCF!B18</f>
        <v>1000.7802699478764</v>
      </c>
      <c r="D8660" s="4"/>
      <c r="E8660" s="4"/>
    </row>
    <row r="8661" spans="1:5" x14ac:dyDescent="0.3">
      <c r="A8661" s="9">
        <v>8653</v>
      </c>
      <c r="B8661" s="10">
        <f t="shared" ca="1" si="135"/>
        <v>7.447946469179241E-2</v>
      </c>
      <c r="C8661" s="10">
        <f ca="1">NPV(B8661,Project_FCF!C18:J18)+Project_FCF!B18</f>
        <v>985.8399878403211</v>
      </c>
      <c r="D8661" s="4"/>
      <c r="E8661" s="4"/>
    </row>
    <row r="8662" spans="1:5" x14ac:dyDescent="0.3">
      <c r="A8662" s="9">
        <v>8654</v>
      </c>
      <c r="B8662" s="10">
        <f t="shared" ca="1" si="135"/>
        <v>6.5111979634355929E-2</v>
      </c>
      <c r="C8662" s="10">
        <f ca="1">NPV(B8662,Project_FCF!C18:J18)+Project_FCF!B18</f>
        <v>1071.389456726826</v>
      </c>
      <c r="D8662" s="4"/>
      <c r="E8662" s="4"/>
    </row>
    <row r="8663" spans="1:5" x14ac:dyDescent="0.3">
      <c r="A8663" s="9">
        <v>8655</v>
      </c>
      <c r="B8663" s="10">
        <f t="shared" ca="1" si="135"/>
        <v>9.9417553368301201E-2</v>
      </c>
      <c r="C8663" s="10">
        <f ca="1">NPV(B8663,Project_FCF!C18:J18)+Project_FCF!B18</f>
        <v>786.83386056598079</v>
      </c>
      <c r="D8663" s="4"/>
      <c r="E8663" s="4"/>
    </row>
    <row r="8664" spans="1:5" x14ac:dyDescent="0.3">
      <c r="A8664" s="9">
        <v>8656</v>
      </c>
      <c r="B8664" s="10">
        <f t="shared" ca="1" si="135"/>
        <v>8.6884239506175007E-2</v>
      </c>
      <c r="C8664" s="10">
        <f ca="1">NPV(B8664,Project_FCF!C18:J18)+Project_FCF!B18</f>
        <v>881.96238549576947</v>
      </c>
      <c r="D8664" s="4"/>
      <c r="E8664" s="4"/>
    </row>
    <row r="8665" spans="1:5" x14ac:dyDescent="0.3">
      <c r="A8665" s="9">
        <v>8657</v>
      </c>
      <c r="B8665" s="10">
        <f t="shared" ca="1" si="135"/>
        <v>7.4344567881160978E-2</v>
      </c>
      <c r="C8665" s="10">
        <f ca="1">NPV(B8665,Project_FCF!C18:J18)+Project_FCF!B18</f>
        <v>987.02690214886388</v>
      </c>
      <c r="D8665" s="4"/>
      <c r="E8665" s="4"/>
    </row>
    <row r="8666" spans="1:5" x14ac:dyDescent="0.3">
      <c r="A8666" s="9">
        <v>8658</v>
      </c>
      <c r="B8666" s="10">
        <f t="shared" ca="1" si="135"/>
        <v>6.8015258493140884E-2</v>
      </c>
      <c r="C8666" s="10">
        <f ca="1">NPV(B8666,Project_FCF!C18:J18)+Project_FCF!B18</f>
        <v>1044.1830682314121</v>
      </c>
      <c r="D8666" s="4"/>
      <c r="E8666" s="4"/>
    </row>
    <row r="8667" spans="1:5" x14ac:dyDescent="0.3">
      <c r="A8667" s="9">
        <v>8659</v>
      </c>
      <c r="B8667" s="10">
        <f t="shared" ca="1" si="135"/>
        <v>0.10279208035464302</v>
      </c>
      <c r="C8667" s="10">
        <f ca="1">NPV(B8667,Project_FCF!C18:J18)+Project_FCF!B18</f>
        <v>762.77120974235277</v>
      </c>
      <c r="D8667" s="4"/>
      <c r="E8667" s="4"/>
    </row>
    <row r="8668" spans="1:5" x14ac:dyDescent="0.3">
      <c r="A8668" s="9">
        <v>8660</v>
      </c>
      <c r="B8668" s="10">
        <f t="shared" ca="1" si="135"/>
        <v>6.501463985866604E-2</v>
      </c>
      <c r="C8668" s="10">
        <f ca="1">NPV(B8668,Project_FCF!C18:J18)+Project_FCF!B18</f>
        <v>1072.3127015522268</v>
      </c>
      <c r="D8668" s="4"/>
      <c r="E8668" s="4"/>
    </row>
    <row r="8669" spans="1:5" x14ac:dyDescent="0.3">
      <c r="A8669" s="9">
        <v>8661</v>
      </c>
      <c r="B8669" s="10">
        <f t="shared" ca="1" si="135"/>
        <v>9.4293418460465267E-2</v>
      </c>
      <c r="C8669" s="10">
        <f ca="1">NPV(B8669,Project_FCF!C18:J18)+Project_FCF!B18</f>
        <v>824.60223282434686</v>
      </c>
      <c r="D8669" s="4"/>
      <c r="E8669" s="4"/>
    </row>
    <row r="8670" spans="1:5" x14ac:dyDescent="0.3">
      <c r="A8670" s="9">
        <v>8662</v>
      </c>
      <c r="B8670" s="10">
        <f t="shared" ca="1" si="135"/>
        <v>6.4438828684882279E-2</v>
      </c>
      <c r="C8670" s="10">
        <f ca="1">NPV(B8670,Project_FCF!C18:J18)+Project_FCF!B18</f>
        <v>1077.7890021876701</v>
      </c>
      <c r="D8670" s="4"/>
      <c r="E8670" s="4"/>
    </row>
    <row r="8671" spans="1:5" x14ac:dyDescent="0.3">
      <c r="A8671" s="9">
        <v>8663</v>
      </c>
      <c r="B8671" s="10">
        <f t="shared" ca="1" si="135"/>
        <v>6.8983967273977181E-2</v>
      </c>
      <c r="C8671" s="10">
        <f ca="1">NPV(B8671,Project_FCF!C18:J18)+Project_FCF!B18</f>
        <v>1035.2459757833653</v>
      </c>
      <c r="D8671" s="4"/>
      <c r="E8671" s="4"/>
    </row>
    <row r="8672" spans="1:5" x14ac:dyDescent="0.3">
      <c r="A8672" s="9">
        <v>8664</v>
      </c>
      <c r="B8672" s="10">
        <f t="shared" ca="1" si="135"/>
        <v>9.701473975164096E-2</v>
      </c>
      <c r="C8672" s="10">
        <f ca="1">NPV(B8672,Project_FCF!C18:J18)+Project_FCF!B18</f>
        <v>804.3564097575254</v>
      </c>
      <c r="D8672" s="4"/>
      <c r="E8672" s="4"/>
    </row>
    <row r="8673" spans="1:5" x14ac:dyDescent="0.3">
      <c r="A8673" s="9">
        <v>8665</v>
      </c>
      <c r="B8673" s="10">
        <f t="shared" ca="1" si="135"/>
        <v>6.4058442830538131E-2</v>
      </c>
      <c r="C8673" s="10">
        <f ca="1">NPV(B8673,Project_FCF!C18:J18)+Project_FCF!B18</f>
        <v>1081.4206901662862</v>
      </c>
      <c r="D8673" s="4"/>
      <c r="E8673" s="4"/>
    </row>
    <row r="8674" spans="1:5" x14ac:dyDescent="0.3">
      <c r="A8674" s="9">
        <v>8666</v>
      </c>
      <c r="B8674" s="10">
        <f t="shared" ca="1" si="135"/>
        <v>9.0221919362036634E-2</v>
      </c>
      <c r="C8674" s="10">
        <f ca="1">NPV(B8674,Project_FCF!C18:J18)+Project_FCF!B18</f>
        <v>855.70940728081155</v>
      </c>
      <c r="D8674" s="4"/>
      <c r="E8674" s="4"/>
    </row>
    <row r="8675" spans="1:5" x14ac:dyDescent="0.3">
      <c r="A8675" s="9">
        <v>8667</v>
      </c>
      <c r="B8675" s="10">
        <f t="shared" ca="1" si="135"/>
        <v>8.2024077422003364E-2</v>
      </c>
      <c r="C8675" s="10">
        <f ca="1">NPV(B8675,Project_FCF!C18:J18)+Project_FCF!B18</f>
        <v>921.4480478477717</v>
      </c>
      <c r="D8675" s="4"/>
      <c r="E8675" s="4"/>
    </row>
    <row r="8676" spans="1:5" x14ac:dyDescent="0.3">
      <c r="A8676" s="9">
        <v>8668</v>
      </c>
      <c r="B8676" s="10">
        <f t="shared" ca="1" si="135"/>
        <v>7.1677642509071354E-2</v>
      </c>
      <c r="C8676" s="10">
        <f ca="1">NPV(B8676,Project_FCF!C18:J18)+Project_FCF!B18</f>
        <v>1010.7571994864636</v>
      </c>
      <c r="D8676" s="4"/>
      <c r="E8676" s="4"/>
    </row>
    <row r="8677" spans="1:5" x14ac:dyDescent="0.3">
      <c r="A8677" s="9">
        <v>8669</v>
      </c>
      <c r="B8677" s="10">
        <f t="shared" ca="1" si="135"/>
        <v>0.1008196402529018</v>
      </c>
      <c r="C8677" s="10">
        <f ca="1">NPV(B8677,Project_FCF!C18:J18)+Project_FCF!B18</f>
        <v>776.75943404651662</v>
      </c>
      <c r="D8677" s="4"/>
      <c r="E8677" s="4"/>
    </row>
    <row r="8678" spans="1:5" x14ac:dyDescent="0.3">
      <c r="A8678" s="9">
        <v>8670</v>
      </c>
      <c r="B8678" s="10">
        <f t="shared" ca="1" si="135"/>
        <v>7.2426212669258583E-2</v>
      </c>
      <c r="C8678" s="10">
        <f ca="1">NPV(B8678,Project_FCF!C18:J18)+Project_FCF!B18</f>
        <v>1004.0452038666244</v>
      </c>
      <c r="D8678" s="4"/>
      <c r="E8678" s="4"/>
    </row>
    <row r="8679" spans="1:5" x14ac:dyDescent="0.3">
      <c r="A8679" s="9">
        <v>8671</v>
      </c>
      <c r="B8679" s="10">
        <f t="shared" ca="1" si="135"/>
        <v>9.7104057680057948E-2</v>
      </c>
      <c r="C8679" s="10">
        <f ca="1">NPV(B8679,Project_FCF!C18:J18)+Project_FCF!B18</f>
        <v>803.69917134498223</v>
      </c>
      <c r="D8679" s="4"/>
      <c r="E8679" s="4"/>
    </row>
    <row r="8680" spans="1:5" x14ac:dyDescent="0.3">
      <c r="A8680" s="9">
        <v>8672</v>
      </c>
      <c r="B8680" s="10">
        <f t="shared" ca="1" si="135"/>
        <v>7.8015055401269601E-2</v>
      </c>
      <c r="C8680" s="10">
        <f ca="1">NPV(B8680,Project_FCF!C18:J18)+Project_FCF!B18</f>
        <v>955.18271475539041</v>
      </c>
      <c r="D8680" s="4"/>
      <c r="E8680" s="4"/>
    </row>
    <row r="8681" spans="1:5" x14ac:dyDescent="0.3">
      <c r="A8681" s="9">
        <v>8673</v>
      </c>
      <c r="B8681" s="10">
        <f t="shared" ca="1" si="135"/>
        <v>9.383741701402179E-2</v>
      </c>
      <c r="C8681" s="10">
        <f ca="1">NPV(B8681,Project_FCF!C18:J18)+Project_FCF!B18</f>
        <v>828.03705944488183</v>
      </c>
      <c r="D8681" s="4"/>
      <c r="E8681" s="4"/>
    </row>
    <row r="8682" spans="1:5" x14ac:dyDescent="0.3">
      <c r="A8682" s="9">
        <v>8674</v>
      </c>
      <c r="B8682" s="10">
        <f t="shared" ca="1" si="135"/>
        <v>9.033763382973474E-2</v>
      </c>
      <c r="C8682" s="10">
        <f ca="1">NPV(B8682,Project_FCF!C18:J18)+Project_FCF!B18</f>
        <v>854.81153991154724</v>
      </c>
      <c r="D8682" s="4"/>
      <c r="E8682" s="4"/>
    </row>
    <row r="8683" spans="1:5" x14ac:dyDescent="0.3">
      <c r="A8683" s="9">
        <v>8675</v>
      </c>
      <c r="B8683" s="10">
        <f t="shared" ca="1" si="135"/>
        <v>8.5051221891677006E-2</v>
      </c>
      <c r="C8683" s="10">
        <f ca="1">NPV(B8683,Project_FCF!C18:J18)+Project_FCF!B18</f>
        <v>896.67663313068147</v>
      </c>
      <c r="D8683" s="4"/>
      <c r="E8683" s="4"/>
    </row>
    <row r="8684" spans="1:5" x14ac:dyDescent="0.3">
      <c r="A8684" s="9">
        <v>8676</v>
      </c>
      <c r="B8684" s="10">
        <f t="shared" ca="1" si="135"/>
        <v>9.4388320661935504E-2</v>
      </c>
      <c r="C8684" s="10">
        <f ca="1">NPV(B8684,Project_FCF!C18:J18)+Project_FCF!B18</f>
        <v>823.88892158093381</v>
      </c>
      <c r="D8684" s="4"/>
      <c r="E8684" s="4"/>
    </row>
    <row r="8685" spans="1:5" x14ac:dyDescent="0.3">
      <c r="A8685" s="9">
        <v>8677</v>
      </c>
      <c r="B8685" s="10">
        <f t="shared" ca="1" si="135"/>
        <v>9.3541744826239226E-2</v>
      </c>
      <c r="C8685" s="10">
        <f ca="1">NPV(B8685,Project_FCF!C18:J18)+Project_FCF!B18</f>
        <v>830.27076485018847</v>
      </c>
      <c r="D8685" s="4"/>
      <c r="E8685" s="4"/>
    </row>
    <row r="8686" spans="1:5" x14ac:dyDescent="0.3">
      <c r="A8686" s="9">
        <v>8678</v>
      </c>
      <c r="B8686" s="10">
        <f t="shared" ca="1" si="135"/>
        <v>7.2538077895282257E-2</v>
      </c>
      <c r="C8686" s="10">
        <f ca="1">NPV(B8686,Project_FCF!C18:J18)+Project_FCF!B18</f>
        <v>1003.0456250233756</v>
      </c>
      <c r="D8686" s="4"/>
      <c r="E8686" s="4"/>
    </row>
    <row r="8687" spans="1:5" x14ac:dyDescent="0.3">
      <c r="A8687" s="9">
        <v>8679</v>
      </c>
      <c r="B8687" s="10">
        <f t="shared" ca="1" si="135"/>
        <v>7.2469731588491793E-2</v>
      </c>
      <c r="C8687" s="10">
        <f ca="1">NPV(B8687,Project_FCF!C18:J18)+Project_FCF!B18</f>
        <v>1003.6562313816983</v>
      </c>
      <c r="D8687" s="4"/>
      <c r="E8687" s="4"/>
    </row>
    <row r="8688" spans="1:5" x14ac:dyDescent="0.3">
      <c r="A8688" s="9">
        <v>8680</v>
      </c>
      <c r="B8688" s="10">
        <f t="shared" ca="1" si="135"/>
        <v>9.3408662999246356E-2</v>
      </c>
      <c r="C8688" s="10">
        <f ca="1">NPV(B8688,Project_FCF!C18:J18)+Project_FCF!B18</f>
        <v>831.27784191051933</v>
      </c>
      <c r="D8688" s="4"/>
      <c r="E8688" s="4"/>
    </row>
    <row r="8689" spans="1:5" x14ac:dyDescent="0.3">
      <c r="A8689" s="9">
        <v>8681</v>
      </c>
      <c r="B8689" s="10">
        <f t="shared" ca="1" si="135"/>
        <v>0.10375186257260724</v>
      </c>
      <c r="C8689" s="10">
        <f ca="1">NPV(B8689,Project_FCF!C18:J18)+Project_FCF!B18</f>
        <v>756.04155419868039</v>
      </c>
      <c r="D8689" s="4"/>
      <c r="E8689" s="4"/>
    </row>
    <row r="8690" spans="1:5" x14ac:dyDescent="0.3">
      <c r="A8690" s="9">
        <v>8682</v>
      </c>
      <c r="B8690" s="10">
        <f t="shared" ca="1" si="135"/>
        <v>6.8487307907745099E-2</v>
      </c>
      <c r="C8690" s="10">
        <f ca="1">NPV(B8690,Project_FCF!C18:J18)+Project_FCF!B18</f>
        <v>1039.8193469813098</v>
      </c>
      <c r="D8690" s="4"/>
      <c r="E8690" s="4"/>
    </row>
    <row r="8691" spans="1:5" x14ac:dyDescent="0.3">
      <c r="A8691" s="9">
        <v>8683</v>
      </c>
      <c r="B8691" s="10">
        <f t="shared" ca="1" si="135"/>
        <v>0.1037961374249133</v>
      </c>
      <c r="C8691" s="10">
        <f ca="1">NPV(B8691,Project_FCF!C18:J18)+Project_FCF!B18</f>
        <v>755.73231959714826</v>
      </c>
      <c r="D8691" s="4"/>
      <c r="E8691" s="4"/>
    </row>
    <row r="8692" spans="1:5" x14ac:dyDescent="0.3">
      <c r="A8692" s="9">
        <v>8684</v>
      </c>
      <c r="B8692" s="10">
        <f t="shared" ca="1" si="135"/>
        <v>6.7899983427888486E-2</v>
      </c>
      <c r="C8692" s="10">
        <f ca="1">NPV(B8692,Project_FCF!C18:J18)+Project_FCF!B18</f>
        <v>1045.2512146055331</v>
      </c>
      <c r="D8692" s="4"/>
      <c r="E8692" s="4"/>
    </row>
    <row r="8693" spans="1:5" x14ac:dyDescent="0.3">
      <c r="A8693" s="9">
        <v>8685</v>
      </c>
      <c r="B8693" s="10">
        <f t="shared" ca="1" si="135"/>
        <v>8.2070649194160003E-2</v>
      </c>
      <c r="C8693" s="10">
        <f ca="1">NPV(B8693,Project_FCF!C18:J18)+Project_FCF!B18</f>
        <v>921.0624333146493</v>
      </c>
      <c r="D8693" s="4"/>
      <c r="E8693" s="4"/>
    </row>
    <row r="8694" spans="1:5" x14ac:dyDescent="0.3">
      <c r="A8694" s="9">
        <v>8686</v>
      </c>
      <c r="B8694" s="10">
        <f t="shared" ca="1" si="135"/>
        <v>6.4534139084717404E-2</v>
      </c>
      <c r="C8694" s="10">
        <f ca="1">NPV(B8694,Project_FCF!C18:J18)+Project_FCF!B18</f>
        <v>1076.8807848873371</v>
      </c>
      <c r="D8694" s="4"/>
      <c r="E8694" s="4"/>
    </row>
    <row r="8695" spans="1:5" x14ac:dyDescent="0.3">
      <c r="A8695" s="9">
        <v>8687</v>
      </c>
      <c r="B8695" s="10">
        <f t="shared" ca="1" si="135"/>
        <v>8.4329026478884239E-2</v>
      </c>
      <c r="C8695" s="10">
        <f ca="1">NPV(B8695,Project_FCF!C18:J18)+Project_FCF!B18</f>
        <v>902.53267039265029</v>
      </c>
      <c r="D8695" s="4"/>
      <c r="E8695" s="4"/>
    </row>
    <row r="8696" spans="1:5" x14ac:dyDescent="0.3">
      <c r="A8696" s="9">
        <v>8688</v>
      </c>
      <c r="B8696" s="10">
        <f t="shared" ca="1" si="135"/>
        <v>8.0861803240432351E-2</v>
      </c>
      <c r="C8696" s="10">
        <f ca="1">NPV(B8696,Project_FCF!C18:J18)+Project_FCF!B18</f>
        <v>931.1179440239398</v>
      </c>
      <c r="D8696" s="4"/>
      <c r="E8696" s="4"/>
    </row>
    <row r="8697" spans="1:5" x14ac:dyDescent="0.3">
      <c r="A8697" s="9">
        <v>8689</v>
      </c>
      <c r="B8697" s="10">
        <f t="shared" ca="1" si="135"/>
        <v>9.1375431673337407E-2</v>
      </c>
      <c r="C8697" s="10">
        <f ca="1">NPV(B8697,Project_FCF!C18:J18)+Project_FCF!B18</f>
        <v>846.79527666799686</v>
      </c>
      <c r="D8697" s="4"/>
      <c r="E8697" s="4"/>
    </row>
    <row r="8698" spans="1:5" x14ac:dyDescent="0.3">
      <c r="A8698" s="9">
        <v>8690</v>
      </c>
      <c r="B8698" s="10">
        <f t="shared" ca="1" si="135"/>
        <v>7.0146429206968244E-2</v>
      </c>
      <c r="C8698" s="10">
        <f ca="1">NPV(B8698,Project_FCF!C18:J18)+Project_FCF!B18</f>
        <v>1024.6128089436386</v>
      </c>
      <c r="D8698" s="4"/>
      <c r="E8698" s="4"/>
    </row>
    <row r="8699" spans="1:5" x14ac:dyDescent="0.3">
      <c r="A8699" s="9">
        <v>8691</v>
      </c>
      <c r="B8699" s="10">
        <f t="shared" ca="1" si="135"/>
        <v>7.8160759297445856E-2</v>
      </c>
      <c r="C8699" s="10">
        <f ca="1">NPV(B8699,Project_FCF!C18:J18)+Project_FCF!B18</f>
        <v>953.93774746739086</v>
      </c>
      <c r="D8699" s="4"/>
      <c r="E8699" s="4"/>
    </row>
    <row r="8700" spans="1:5" x14ac:dyDescent="0.3">
      <c r="A8700" s="9">
        <v>8692</v>
      </c>
      <c r="B8700" s="10">
        <f t="shared" ca="1" si="135"/>
        <v>8.1055178676178799E-2</v>
      </c>
      <c r="C8700" s="10">
        <f ca="1">NPV(B8700,Project_FCF!C18:J18)+Project_FCF!B18</f>
        <v>929.50291018112102</v>
      </c>
      <c r="D8700" s="4"/>
      <c r="E8700" s="4"/>
    </row>
    <row r="8701" spans="1:5" x14ac:dyDescent="0.3">
      <c r="A8701" s="9">
        <v>8693</v>
      </c>
      <c r="B8701" s="10">
        <f t="shared" ca="1" si="135"/>
        <v>8.4506691264524869E-2</v>
      </c>
      <c r="C8701" s="10">
        <f ca="1">NPV(B8701,Project_FCF!C18:J18)+Project_FCF!B18</f>
        <v>901.08894597079598</v>
      </c>
      <c r="D8701" s="4"/>
      <c r="E8701" s="4"/>
    </row>
    <row r="8702" spans="1:5" x14ac:dyDescent="0.3">
      <c r="A8702" s="9">
        <v>8694</v>
      </c>
      <c r="B8702" s="10">
        <f t="shared" ca="1" si="135"/>
        <v>0.10317319221246066</v>
      </c>
      <c r="C8702" s="10">
        <f ca="1">NPV(B8702,Project_FCF!C18:J18)+Project_FCF!B18</f>
        <v>760.09299791204535</v>
      </c>
      <c r="D8702" s="4"/>
      <c r="E8702" s="4"/>
    </row>
    <row r="8703" spans="1:5" x14ac:dyDescent="0.3">
      <c r="A8703" s="9">
        <v>8695</v>
      </c>
      <c r="B8703" s="10">
        <f t="shared" ca="1" si="135"/>
        <v>7.7691412639139368E-2</v>
      </c>
      <c r="C8703" s="10">
        <f ca="1">NPV(B8703,Project_FCF!C18:J18)+Project_FCF!B18</f>
        <v>957.95325215768298</v>
      </c>
      <c r="D8703" s="4"/>
      <c r="E8703" s="4"/>
    </row>
    <row r="8704" spans="1:5" x14ac:dyDescent="0.3">
      <c r="A8704" s="9">
        <v>8696</v>
      </c>
      <c r="B8704" s="10">
        <f t="shared" ca="1" si="135"/>
        <v>7.9703056412650436E-2</v>
      </c>
      <c r="C8704" s="10">
        <f ca="1">NPV(B8704,Project_FCF!C18:J18)+Project_FCF!B18</f>
        <v>940.84767644212116</v>
      </c>
      <c r="D8704" s="4"/>
      <c r="E8704" s="4"/>
    </row>
    <row r="8705" spans="1:5" x14ac:dyDescent="0.3">
      <c r="A8705" s="9">
        <v>8697</v>
      </c>
      <c r="B8705" s="10">
        <f t="shared" ca="1" si="135"/>
        <v>0.10390522403351213</v>
      </c>
      <c r="C8705" s="10">
        <f ca="1">NPV(B8705,Project_FCF!C18:J18)+Project_FCF!B18</f>
        <v>754.97086386397746</v>
      </c>
      <c r="D8705" s="4"/>
      <c r="E8705" s="4"/>
    </row>
    <row r="8706" spans="1:5" x14ac:dyDescent="0.3">
      <c r="A8706" s="9">
        <v>8698</v>
      </c>
      <c r="B8706" s="10">
        <f t="shared" ca="1" si="135"/>
        <v>6.9868377335690304E-2</v>
      </c>
      <c r="C8706" s="10">
        <f ca="1">NPV(B8706,Project_FCF!C18:J18)+Project_FCF!B18</f>
        <v>1027.1471535805342</v>
      </c>
      <c r="D8706" s="4"/>
      <c r="E8706" s="4"/>
    </row>
    <row r="8707" spans="1:5" x14ac:dyDescent="0.3">
      <c r="A8707" s="9">
        <v>8699</v>
      </c>
      <c r="B8707" s="10">
        <f t="shared" ca="1" si="135"/>
        <v>9.4620660437384152E-2</v>
      </c>
      <c r="C8707" s="10">
        <f ca="1">NPV(B8707,Project_FCF!C18:J18)+Project_FCF!B18</f>
        <v>822.14482391388356</v>
      </c>
      <c r="D8707" s="4"/>
      <c r="E8707" s="4"/>
    </row>
    <row r="8708" spans="1:5" x14ac:dyDescent="0.3">
      <c r="A8708" s="9">
        <v>8700</v>
      </c>
      <c r="B8708" s="10">
        <f t="shared" ca="1" si="135"/>
        <v>9.7457606147239417E-2</v>
      </c>
      <c r="C8708" s="10">
        <f ca="1">NPV(B8708,Project_FCF!C18:J18)+Project_FCF!B18</f>
        <v>801.10210096650371</v>
      </c>
      <c r="D8708" s="4"/>
      <c r="E8708" s="4"/>
    </row>
    <row r="8709" spans="1:5" x14ac:dyDescent="0.3">
      <c r="A8709" s="9">
        <v>8701</v>
      </c>
      <c r="B8709" s="10">
        <f t="shared" ca="1" si="135"/>
        <v>8.8109117625518207E-2</v>
      </c>
      <c r="C8709" s="10">
        <f ca="1">NPV(B8709,Project_FCF!C18:J18)+Project_FCF!B18</f>
        <v>872.24774705547884</v>
      </c>
      <c r="D8709" s="4"/>
      <c r="E8709" s="4"/>
    </row>
    <row r="8710" spans="1:5" x14ac:dyDescent="0.3">
      <c r="A8710" s="9">
        <v>8702</v>
      </c>
      <c r="B8710" s="10">
        <f t="shared" ca="1" si="135"/>
        <v>9.4686030677747696E-2</v>
      </c>
      <c r="C8710" s="10">
        <f ca="1">NPV(B8710,Project_FCF!C18:J18)+Project_FCF!B18</f>
        <v>821.65468195995504</v>
      </c>
      <c r="D8710" s="4"/>
      <c r="E8710" s="4"/>
    </row>
    <row r="8711" spans="1:5" x14ac:dyDescent="0.3">
      <c r="A8711" s="9">
        <v>8703</v>
      </c>
      <c r="B8711" s="10">
        <f t="shared" ca="1" si="135"/>
        <v>9.6775755726494453E-2</v>
      </c>
      <c r="C8711" s="10">
        <f ca="1">NPV(B8711,Project_FCF!C18:J18)+Project_FCF!B18</f>
        <v>806.11720596292753</v>
      </c>
      <c r="D8711" s="4"/>
      <c r="E8711" s="4"/>
    </row>
    <row r="8712" spans="1:5" x14ac:dyDescent="0.3">
      <c r="A8712" s="9">
        <v>8704</v>
      </c>
      <c r="B8712" s="10">
        <f t="shared" ca="1" si="135"/>
        <v>7.0600083512341344E-2</v>
      </c>
      <c r="C8712" s="10">
        <f ca="1">NPV(B8712,Project_FCF!C18:J18)+Project_FCF!B18</f>
        <v>1020.4900344794567</v>
      </c>
      <c r="D8712" s="4"/>
      <c r="E8712" s="4"/>
    </row>
    <row r="8713" spans="1:5" x14ac:dyDescent="0.3">
      <c r="A8713" s="9">
        <v>8705</v>
      </c>
      <c r="B8713" s="10">
        <f t="shared" ref="B8713:B8776" ca="1" si="136">$B$4+RAND()*($B$5-$B$4)</f>
        <v>8.4190797699773626E-2</v>
      </c>
      <c r="C8713" s="10">
        <f ca="1">NPV(B8713,Project_FCF!C18:J18)+Project_FCF!B18</f>
        <v>903.65733657230658</v>
      </c>
      <c r="D8713" s="4"/>
      <c r="E8713" s="4"/>
    </row>
    <row r="8714" spans="1:5" x14ac:dyDescent="0.3">
      <c r="A8714" s="9">
        <v>8706</v>
      </c>
      <c r="B8714" s="10">
        <f t="shared" ca="1" si="136"/>
        <v>8.830505176298728E-2</v>
      </c>
      <c r="C8714" s="10">
        <f ca="1">NPV(B8714,Project_FCF!C18:J18)+Project_FCF!B18</f>
        <v>870.70244828112891</v>
      </c>
      <c r="D8714" s="4"/>
      <c r="E8714" s="4"/>
    </row>
    <row r="8715" spans="1:5" x14ac:dyDescent="0.3">
      <c r="A8715" s="9">
        <v>8707</v>
      </c>
      <c r="B8715" s="10">
        <f t="shared" ca="1" si="136"/>
        <v>7.3768923710447437E-2</v>
      </c>
      <c r="C8715" s="10">
        <f ca="1">NPV(B8715,Project_FCF!C18:J18)+Project_FCF!B18</f>
        <v>992.10621939067983</v>
      </c>
      <c r="D8715" s="4"/>
      <c r="E8715" s="4"/>
    </row>
    <row r="8716" spans="1:5" x14ac:dyDescent="0.3">
      <c r="A8716" s="9">
        <v>8708</v>
      </c>
      <c r="B8716" s="10">
        <f t="shared" ca="1" si="136"/>
        <v>9.5425931106101231E-2</v>
      </c>
      <c r="C8716" s="10">
        <f ca="1">NPV(B8716,Project_FCF!C18:J18)+Project_FCF!B18</f>
        <v>816.1243757424354</v>
      </c>
      <c r="D8716" s="4"/>
      <c r="E8716" s="4"/>
    </row>
    <row r="8717" spans="1:5" x14ac:dyDescent="0.3">
      <c r="A8717" s="9">
        <v>8709</v>
      </c>
      <c r="B8717" s="10">
        <f t="shared" ca="1" si="136"/>
        <v>9.6926866094777381E-2</v>
      </c>
      <c r="C8717" s="10">
        <f ca="1">NPV(B8717,Project_FCF!C18:J18)+Project_FCF!B18</f>
        <v>805.00346743629052</v>
      </c>
      <c r="D8717" s="4"/>
      <c r="E8717" s="4"/>
    </row>
    <row r="8718" spans="1:5" x14ac:dyDescent="0.3">
      <c r="A8718" s="9">
        <v>8710</v>
      </c>
      <c r="B8718" s="10">
        <f t="shared" ca="1" si="136"/>
        <v>8.7875769237028167E-2</v>
      </c>
      <c r="C8718" s="10">
        <f ca="1">NPV(B8718,Project_FCF!C18:J18)+Project_FCF!B18</f>
        <v>874.09123813336896</v>
      </c>
      <c r="D8718" s="4"/>
      <c r="E8718" s="4"/>
    </row>
    <row r="8719" spans="1:5" x14ac:dyDescent="0.3">
      <c r="A8719" s="9">
        <v>8711</v>
      </c>
      <c r="B8719" s="10">
        <f t="shared" ca="1" si="136"/>
        <v>6.5870954858030017E-2</v>
      </c>
      <c r="C8719" s="10">
        <f ca="1">NPV(B8719,Project_FCF!C18:J18)+Project_FCF!B18</f>
        <v>1064.2155757414605</v>
      </c>
      <c r="D8719" s="4"/>
      <c r="E8719" s="4"/>
    </row>
    <row r="8720" spans="1:5" x14ac:dyDescent="0.3">
      <c r="A8720" s="9">
        <v>8712</v>
      </c>
      <c r="B8720" s="10">
        <f t="shared" ca="1" si="136"/>
        <v>7.7127091359354194E-2</v>
      </c>
      <c r="C8720" s="10">
        <f ca="1">NPV(B8720,Project_FCF!C18:J18)+Project_FCF!B18</f>
        <v>962.80122500335438</v>
      </c>
      <c r="D8720" s="4"/>
      <c r="E8720" s="4"/>
    </row>
    <row r="8721" spans="1:5" x14ac:dyDescent="0.3">
      <c r="A8721" s="9">
        <v>8713</v>
      </c>
      <c r="B8721" s="10">
        <f t="shared" ca="1" si="136"/>
        <v>7.4603698284925676E-2</v>
      </c>
      <c r="C8721" s="10">
        <f ca="1">NPV(B8721,Project_FCF!C18:J18)+Project_FCF!B18</f>
        <v>984.74802683804955</v>
      </c>
      <c r="D8721" s="4"/>
      <c r="E8721" s="4"/>
    </row>
    <row r="8722" spans="1:5" x14ac:dyDescent="0.3">
      <c r="A8722" s="9">
        <v>8714</v>
      </c>
      <c r="B8722" s="10">
        <f t="shared" ca="1" si="136"/>
        <v>9.2934643715216619E-2</v>
      </c>
      <c r="C8722" s="10">
        <f ca="1">NPV(B8722,Project_FCF!C18:J18)+Project_FCF!B18</f>
        <v>834.87344882035472</v>
      </c>
      <c r="D8722" s="4"/>
      <c r="E8722" s="4"/>
    </row>
    <row r="8723" spans="1:5" x14ac:dyDescent="0.3">
      <c r="A8723" s="9">
        <v>8715</v>
      </c>
      <c r="B8723" s="10">
        <f t="shared" ca="1" si="136"/>
        <v>7.0409908644204017E-2</v>
      </c>
      <c r="C8723" s="10">
        <f ca="1">NPV(B8723,Project_FCF!C18:J18)+Project_FCF!B18</f>
        <v>1022.2165014650386</v>
      </c>
      <c r="D8723" s="4"/>
      <c r="E8723" s="4"/>
    </row>
    <row r="8724" spans="1:5" x14ac:dyDescent="0.3">
      <c r="A8724" s="9">
        <v>8716</v>
      </c>
      <c r="B8724" s="10">
        <f t="shared" ca="1" si="136"/>
        <v>7.8439920639361241E-2</v>
      </c>
      <c r="C8724" s="10">
        <f ca="1">NPV(B8724,Project_FCF!C18:J18)+Project_FCF!B18</f>
        <v>951.55648123330207</v>
      </c>
      <c r="D8724" s="4"/>
      <c r="E8724" s="4"/>
    </row>
    <row r="8725" spans="1:5" x14ac:dyDescent="0.3">
      <c r="A8725" s="9">
        <v>8717</v>
      </c>
      <c r="B8725" s="10">
        <f t="shared" ca="1" si="136"/>
        <v>8.5138993691459192E-2</v>
      </c>
      <c r="C8725" s="10">
        <f ca="1">NPV(B8725,Project_FCF!C18:J18)+Project_FCF!B18</f>
        <v>895.96719590458383</v>
      </c>
      <c r="D8725" s="4"/>
      <c r="E8725" s="4"/>
    </row>
    <row r="8726" spans="1:5" x14ac:dyDescent="0.3">
      <c r="A8726" s="9">
        <v>8718</v>
      </c>
      <c r="B8726" s="10">
        <f t="shared" ca="1" si="136"/>
        <v>7.3425569100221633E-2</v>
      </c>
      <c r="C8726" s="10">
        <f ca="1">NPV(B8726,Project_FCF!C18:J18)+Project_FCF!B18</f>
        <v>995.14703052176014</v>
      </c>
      <c r="D8726" s="4"/>
      <c r="E8726" s="4"/>
    </row>
    <row r="8727" spans="1:5" x14ac:dyDescent="0.3">
      <c r="A8727" s="9">
        <v>8719</v>
      </c>
      <c r="B8727" s="10">
        <f t="shared" ca="1" si="136"/>
        <v>7.3765648841133277E-2</v>
      </c>
      <c r="C8727" s="10">
        <f ca="1">NPV(B8727,Project_FCF!C18:J18)+Project_FCF!B18</f>
        <v>992.13518280946482</v>
      </c>
      <c r="D8727" s="4"/>
      <c r="E8727" s="4"/>
    </row>
    <row r="8728" spans="1:5" x14ac:dyDescent="0.3">
      <c r="A8728" s="9">
        <v>8720</v>
      </c>
      <c r="B8728" s="10">
        <f t="shared" ca="1" si="136"/>
        <v>7.3268330991549835E-2</v>
      </c>
      <c r="C8728" s="10">
        <f ca="1">NPV(B8728,Project_FCF!C18:J18)+Project_FCF!B18</f>
        <v>996.5423502833894</v>
      </c>
      <c r="D8728" s="4"/>
      <c r="E8728" s="4"/>
    </row>
    <row r="8729" spans="1:5" x14ac:dyDescent="0.3">
      <c r="A8729" s="9">
        <v>8721</v>
      </c>
      <c r="B8729" s="10">
        <f t="shared" ca="1" si="136"/>
        <v>9.8800361225451994E-2</v>
      </c>
      <c r="C8729" s="10">
        <f ca="1">NPV(B8729,Project_FCF!C18:J18)+Project_FCF!B18</f>
        <v>791.30350559082376</v>
      </c>
      <c r="D8729" s="4"/>
      <c r="E8729" s="4"/>
    </row>
    <row r="8730" spans="1:5" x14ac:dyDescent="0.3">
      <c r="A8730" s="9">
        <v>8722</v>
      </c>
      <c r="B8730" s="10">
        <f t="shared" ca="1" si="136"/>
        <v>6.4130528268769513E-2</v>
      </c>
      <c r="C8730" s="10">
        <f ca="1">NPV(B8730,Project_FCF!C18:J18)+Project_FCF!B18</f>
        <v>1080.7316056511263</v>
      </c>
      <c r="D8730" s="4"/>
      <c r="E8730" s="4"/>
    </row>
    <row r="8731" spans="1:5" x14ac:dyDescent="0.3">
      <c r="A8731" s="9">
        <v>8723</v>
      </c>
      <c r="B8731" s="10">
        <f t="shared" ca="1" si="136"/>
        <v>7.4293280200954007E-2</v>
      </c>
      <c r="C8731" s="10">
        <f ca="1">NPV(B8731,Project_FCF!C18:J18)+Project_FCF!B18</f>
        <v>987.47850200315224</v>
      </c>
      <c r="D8731" s="4"/>
      <c r="E8731" s="4"/>
    </row>
    <row r="8732" spans="1:5" x14ac:dyDescent="0.3">
      <c r="A8732" s="9">
        <v>8724</v>
      </c>
      <c r="B8732" s="10">
        <f t="shared" ca="1" si="136"/>
        <v>8.7541321490515495E-2</v>
      </c>
      <c r="C8732" s="10">
        <f ca="1">NPV(B8732,Project_FCF!C18:J18)+Project_FCF!B18</f>
        <v>876.73934493781348</v>
      </c>
      <c r="D8732" s="4"/>
      <c r="E8732" s="4"/>
    </row>
    <row r="8733" spans="1:5" x14ac:dyDescent="0.3">
      <c r="A8733" s="9">
        <v>8725</v>
      </c>
      <c r="B8733" s="10">
        <f t="shared" ca="1" si="136"/>
        <v>6.5289088970245032E-2</v>
      </c>
      <c r="C8733" s="10">
        <f ca="1">NPV(B8733,Project_FCF!C18:J18)+Project_FCF!B18</f>
        <v>1069.7114760162892</v>
      </c>
      <c r="D8733" s="4"/>
      <c r="E8733" s="4"/>
    </row>
    <row r="8734" spans="1:5" x14ac:dyDescent="0.3">
      <c r="A8734" s="9">
        <v>8726</v>
      </c>
      <c r="B8734" s="10">
        <f t="shared" ca="1" si="136"/>
        <v>8.4131907291277619E-2</v>
      </c>
      <c r="C8734" s="10">
        <f ca="1">NPV(B8734,Project_FCF!C18:J18)+Project_FCF!B18</f>
        <v>904.13685810418906</v>
      </c>
      <c r="D8734" s="4"/>
      <c r="E8734" s="4"/>
    </row>
    <row r="8735" spans="1:5" x14ac:dyDescent="0.3">
      <c r="A8735" s="9">
        <v>8727</v>
      </c>
      <c r="B8735" s="10">
        <f t="shared" ca="1" si="136"/>
        <v>7.4621549814554031E-2</v>
      </c>
      <c r="C8735" s="10">
        <f ca="1">NPV(B8735,Project_FCF!C18:J18)+Project_FCF!B18</f>
        <v>984.59120844359086</v>
      </c>
      <c r="D8735" s="4"/>
      <c r="E8735" s="4"/>
    </row>
    <row r="8736" spans="1:5" x14ac:dyDescent="0.3">
      <c r="A8736" s="9">
        <v>8728</v>
      </c>
      <c r="B8736" s="10">
        <f t="shared" ca="1" si="136"/>
        <v>7.6493230121095726E-2</v>
      </c>
      <c r="C8736" s="10">
        <f ca="1">NPV(B8736,Project_FCF!C18:J18)+Project_FCF!B18</f>
        <v>968.27265663059302</v>
      </c>
      <c r="D8736" s="4"/>
      <c r="E8736" s="4"/>
    </row>
    <row r="8737" spans="1:5" x14ac:dyDescent="0.3">
      <c r="A8737" s="9">
        <v>8729</v>
      </c>
      <c r="B8737" s="10">
        <f t="shared" ca="1" si="136"/>
        <v>9.2612033263162974E-2</v>
      </c>
      <c r="C8737" s="10">
        <f ca="1">NPV(B8737,Project_FCF!C18:J18)+Project_FCF!B18</f>
        <v>837.32820945595881</v>
      </c>
      <c r="D8737" s="4"/>
      <c r="E8737" s="4"/>
    </row>
    <row r="8738" spans="1:5" x14ac:dyDescent="0.3">
      <c r="A8738" s="9">
        <v>8730</v>
      </c>
      <c r="B8738" s="10">
        <f t="shared" ca="1" si="136"/>
        <v>0.10355178297892068</v>
      </c>
      <c r="C8738" s="10">
        <f ca="1">NPV(B8738,Project_FCF!C18:J18)+Project_FCF!B18</f>
        <v>757.440318481742</v>
      </c>
      <c r="D8738" s="4"/>
      <c r="E8738" s="4"/>
    </row>
    <row r="8739" spans="1:5" x14ac:dyDescent="0.3">
      <c r="A8739" s="9">
        <v>8731</v>
      </c>
      <c r="B8739" s="10">
        <f t="shared" ca="1" si="136"/>
        <v>6.8011054483131925E-2</v>
      </c>
      <c r="C8739" s="10">
        <f ca="1">NPV(B8739,Project_FCF!C18:J18)+Project_FCF!B18</f>
        <v>1044.2220054599411</v>
      </c>
      <c r="D8739" s="4"/>
      <c r="E8739" s="4"/>
    </row>
    <row r="8740" spans="1:5" x14ac:dyDescent="0.3">
      <c r="A8740" s="9">
        <v>8732</v>
      </c>
      <c r="B8740" s="10">
        <f t="shared" ca="1" si="136"/>
        <v>7.7594458506057715E-2</v>
      </c>
      <c r="C8740" s="10">
        <f ca="1">NPV(B8740,Project_FCF!C18:J18)+Project_FCF!B18</f>
        <v>958.78461664947326</v>
      </c>
      <c r="D8740" s="4"/>
      <c r="E8740" s="4"/>
    </row>
    <row r="8741" spans="1:5" x14ac:dyDescent="0.3">
      <c r="A8741" s="9">
        <v>8733</v>
      </c>
      <c r="B8741" s="10">
        <f t="shared" ca="1" si="136"/>
        <v>7.203517195266726E-2</v>
      </c>
      <c r="C8741" s="10">
        <f ca="1">NPV(B8741,Project_FCF!C18:J18)+Project_FCF!B18</f>
        <v>1007.5464181450752</v>
      </c>
      <c r="D8741" s="4"/>
      <c r="E8741" s="4"/>
    </row>
    <row r="8742" spans="1:5" x14ac:dyDescent="0.3">
      <c r="A8742" s="9">
        <v>8734</v>
      </c>
      <c r="B8742" s="10">
        <f t="shared" ca="1" si="136"/>
        <v>0.10011116308521203</v>
      </c>
      <c r="C8742" s="10">
        <f ca="1">NPV(B8742,Project_FCF!C18:J18)+Project_FCF!B18</f>
        <v>781.83634163978309</v>
      </c>
      <c r="D8742" s="4"/>
      <c r="E8742" s="4"/>
    </row>
    <row r="8743" spans="1:5" x14ac:dyDescent="0.3">
      <c r="A8743" s="9">
        <v>8735</v>
      </c>
      <c r="B8743" s="10">
        <f t="shared" ca="1" si="136"/>
        <v>9.7521284291791938E-2</v>
      </c>
      <c r="C8743" s="10">
        <f ca="1">NPV(B8743,Project_FCF!C18:J18)+Project_FCF!B18</f>
        <v>800.63509880172569</v>
      </c>
      <c r="D8743" s="4"/>
      <c r="E8743" s="4"/>
    </row>
    <row r="8744" spans="1:5" x14ac:dyDescent="0.3">
      <c r="A8744" s="9">
        <v>8736</v>
      </c>
      <c r="B8744" s="10">
        <f t="shared" ca="1" si="136"/>
        <v>6.7027199738067381E-2</v>
      </c>
      <c r="C8744" s="10">
        <f ca="1">NPV(B8744,Project_FCF!C18:J18)+Project_FCF!B18</f>
        <v>1053.3707284868885</v>
      </c>
      <c r="D8744" s="4"/>
      <c r="E8744" s="4"/>
    </row>
    <row r="8745" spans="1:5" x14ac:dyDescent="0.3">
      <c r="A8745" s="9">
        <v>8737</v>
      </c>
      <c r="B8745" s="10">
        <f t="shared" ca="1" si="136"/>
        <v>7.994791289548342E-2</v>
      </c>
      <c r="C8745" s="10">
        <f ca="1">NPV(B8745,Project_FCF!C18:J18)+Project_FCF!B18</f>
        <v>938.78420576107237</v>
      </c>
      <c r="D8745" s="4"/>
      <c r="E8745" s="4"/>
    </row>
    <row r="8746" spans="1:5" x14ac:dyDescent="0.3">
      <c r="A8746" s="9">
        <v>8738</v>
      </c>
      <c r="B8746" s="10">
        <f t="shared" ca="1" si="136"/>
        <v>8.8879068445457066E-2</v>
      </c>
      <c r="C8746" s="10">
        <f ca="1">NPV(B8746,Project_FCF!C18:J18)+Project_FCF!B18</f>
        <v>866.18896928866639</v>
      </c>
      <c r="D8746" s="4"/>
      <c r="E8746" s="4"/>
    </row>
    <row r="8747" spans="1:5" x14ac:dyDescent="0.3">
      <c r="A8747" s="9">
        <v>8739</v>
      </c>
      <c r="B8747" s="10">
        <f t="shared" ca="1" si="136"/>
        <v>6.7600705835087385E-2</v>
      </c>
      <c r="C8747" s="10">
        <f ca="1">NPV(B8747,Project_FCF!C18:J18)+Project_FCF!B18</f>
        <v>1048.028971123973</v>
      </c>
      <c r="D8747" s="4"/>
      <c r="E8747" s="4"/>
    </row>
    <row r="8748" spans="1:5" x14ac:dyDescent="0.3">
      <c r="A8748" s="9">
        <v>8740</v>
      </c>
      <c r="B8748" s="10">
        <f t="shared" ca="1" si="136"/>
        <v>7.0245190502759458E-2</v>
      </c>
      <c r="C8748" s="10">
        <f ca="1">NPV(B8748,Project_FCF!C18:J18)+Project_FCF!B18</f>
        <v>1023.713995350882</v>
      </c>
      <c r="D8748" s="4"/>
      <c r="E8748" s="4"/>
    </row>
    <row r="8749" spans="1:5" x14ac:dyDescent="0.3">
      <c r="A8749" s="9">
        <v>8741</v>
      </c>
      <c r="B8749" s="10">
        <f t="shared" ca="1" si="136"/>
        <v>6.5165004849505354E-2</v>
      </c>
      <c r="C8749" s="10">
        <f ca="1">NPV(B8749,Project_FCF!C18:J18)+Project_FCF!B18</f>
        <v>1070.8868302071182</v>
      </c>
      <c r="D8749" s="4"/>
      <c r="E8749" s="4"/>
    </row>
    <row r="8750" spans="1:5" x14ac:dyDescent="0.3">
      <c r="A8750" s="9">
        <v>8742</v>
      </c>
      <c r="B8750" s="10">
        <f t="shared" ca="1" si="136"/>
        <v>6.9025198863824272E-2</v>
      </c>
      <c r="C8750" s="10">
        <f ca="1">NPV(B8750,Project_FCF!C18:J18)+Project_FCF!B18</f>
        <v>1034.8671246459676</v>
      </c>
      <c r="D8750" s="4"/>
      <c r="E8750" s="4"/>
    </row>
    <row r="8751" spans="1:5" x14ac:dyDescent="0.3">
      <c r="A8751" s="9">
        <v>8743</v>
      </c>
      <c r="B8751" s="10">
        <f t="shared" ca="1" si="136"/>
        <v>9.7825063063184614E-2</v>
      </c>
      <c r="C8751" s="10">
        <f ca="1">NPV(B8751,Project_FCF!C18:J18)+Project_FCF!B18</f>
        <v>798.41043559704872</v>
      </c>
      <c r="D8751" s="4"/>
      <c r="E8751" s="4"/>
    </row>
    <row r="8752" spans="1:5" x14ac:dyDescent="0.3">
      <c r="A8752" s="9">
        <v>8744</v>
      </c>
      <c r="B8752" s="10">
        <f t="shared" ca="1" si="136"/>
        <v>9.0350765115316395E-2</v>
      </c>
      <c r="C8752" s="10">
        <f ca="1">NPV(B8752,Project_FCF!C18:J18)+Project_FCF!B18</f>
        <v>854.7097014051742</v>
      </c>
      <c r="D8752" s="4"/>
      <c r="E8752" s="4"/>
    </row>
    <row r="8753" spans="1:5" x14ac:dyDescent="0.3">
      <c r="A8753" s="9">
        <v>8745</v>
      </c>
      <c r="B8753" s="10">
        <f t="shared" ca="1" si="136"/>
        <v>8.0654815558794765E-2</v>
      </c>
      <c r="C8753" s="10">
        <f ca="1">NPV(B8753,Project_FCF!C18:J18)+Project_FCF!B18</f>
        <v>932.84941277929852</v>
      </c>
      <c r="D8753" s="4"/>
      <c r="E8753" s="4"/>
    </row>
    <row r="8754" spans="1:5" x14ac:dyDescent="0.3">
      <c r="A8754" s="9">
        <v>8746</v>
      </c>
      <c r="B8754" s="10">
        <f t="shared" ca="1" si="136"/>
        <v>6.8035776139999365E-2</v>
      </c>
      <c r="C8754" s="10">
        <f ca="1">NPV(B8754,Project_FCF!C18:J18)+Project_FCF!B18</f>
        <v>1043.9930542097864</v>
      </c>
      <c r="D8754" s="4"/>
      <c r="E8754" s="4"/>
    </row>
    <row r="8755" spans="1:5" x14ac:dyDescent="0.3">
      <c r="A8755" s="9">
        <v>8747</v>
      </c>
      <c r="B8755" s="10">
        <f t="shared" ca="1" si="136"/>
        <v>0.10249603136516681</v>
      </c>
      <c r="C8755" s="10">
        <f ca="1">NPV(B8755,Project_FCF!C18:J18)+Project_FCF!B18</f>
        <v>764.85711846880417</v>
      </c>
      <c r="D8755" s="4"/>
      <c r="E8755" s="4"/>
    </row>
    <row r="8756" spans="1:5" x14ac:dyDescent="0.3">
      <c r="A8756" s="9">
        <v>8748</v>
      </c>
      <c r="B8756" s="10">
        <f t="shared" ca="1" si="136"/>
        <v>8.6848305124666458E-2</v>
      </c>
      <c r="C8756" s="10">
        <f ca="1">NPV(B8756,Project_FCF!C18:J18)+Project_FCF!B18</f>
        <v>882.24880299231995</v>
      </c>
      <c r="D8756" s="4"/>
      <c r="E8756" s="4"/>
    </row>
    <row r="8757" spans="1:5" x14ac:dyDescent="0.3">
      <c r="A8757" s="9">
        <v>8749</v>
      </c>
      <c r="B8757" s="10">
        <f t="shared" ca="1" si="136"/>
        <v>9.4487298121082697E-2</v>
      </c>
      <c r="C8757" s="10">
        <f ca="1">NPV(B8757,Project_FCF!C18:J18)+Project_FCF!B18</f>
        <v>823.14554325157451</v>
      </c>
      <c r="D8757" s="4"/>
      <c r="E8757" s="4"/>
    </row>
    <row r="8758" spans="1:5" x14ac:dyDescent="0.3">
      <c r="A8758" s="9">
        <v>8750</v>
      </c>
      <c r="B8758" s="10">
        <f t="shared" ca="1" si="136"/>
        <v>9.9176403098244992E-2</v>
      </c>
      <c r="C8758" s="10">
        <f ca="1">NPV(B8758,Project_FCF!C18:J18)+Project_FCF!B18</f>
        <v>788.57769331679515</v>
      </c>
      <c r="D8758" s="4"/>
      <c r="E8758" s="4"/>
    </row>
    <row r="8759" spans="1:5" x14ac:dyDescent="0.3">
      <c r="A8759" s="9">
        <v>8751</v>
      </c>
      <c r="B8759" s="10">
        <f t="shared" ca="1" si="136"/>
        <v>7.7742224798594245E-2</v>
      </c>
      <c r="C8759" s="10">
        <f ca="1">NPV(B8759,Project_FCF!C18:J18)+Project_FCF!B18</f>
        <v>957.51780315279689</v>
      </c>
      <c r="D8759" s="4"/>
      <c r="E8759" s="4"/>
    </row>
    <row r="8760" spans="1:5" x14ac:dyDescent="0.3">
      <c r="A8760" s="9">
        <v>8752</v>
      </c>
      <c r="B8760" s="10">
        <f t="shared" ca="1" si="136"/>
        <v>8.8405361293724227E-2</v>
      </c>
      <c r="C8760" s="10">
        <f ca="1">NPV(B8760,Project_FCF!C18:J18)+Project_FCF!B18</f>
        <v>869.91224617768898</v>
      </c>
      <c r="D8760" s="4"/>
      <c r="E8760" s="4"/>
    </row>
    <row r="8761" spans="1:5" x14ac:dyDescent="0.3">
      <c r="A8761" s="9">
        <v>8753</v>
      </c>
      <c r="B8761" s="10">
        <f t="shared" ca="1" si="136"/>
        <v>7.8954477197044889E-2</v>
      </c>
      <c r="C8761" s="10">
        <f ca="1">NPV(B8761,Project_FCF!C18:J18)+Project_FCF!B18</f>
        <v>947.18110969806094</v>
      </c>
      <c r="D8761" s="4"/>
      <c r="E8761" s="4"/>
    </row>
    <row r="8762" spans="1:5" x14ac:dyDescent="0.3">
      <c r="A8762" s="9">
        <v>8754</v>
      </c>
      <c r="B8762" s="10">
        <f t="shared" ca="1" si="136"/>
        <v>7.2900357616049544E-2</v>
      </c>
      <c r="C8762" s="10">
        <f ca="1">NPV(B8762,Project_FCF!C18:J18)+Project_FCF!B18</f>
        <v>999.81458904983151</v>
      </c>
      <c r="D8762" s="4"/>
      <c r="E8762" s="4"/>
    </row>
    <row r="8763" spans="1:5" x14ac:dyDescent="0.3">
      <c r="A8763" s="9">
        <v>8755</v>
      </c>
      <c r="B8763" s="10">
        <f t="shared" ca="1" si="136"/>
        <v>7.3751860177610137E-2</v>
      </c>
      <c r="C8763" s="10">
        <f ca="1">NPV(B8763,Project_FCF!C18:J18)+Project_FCF!B18</f>
        <v>992.25714006784483</v>
      </c>
      <c r="D8763" s="4"/>
      <c r="E8763" s="4"/>
    </row>
    <row r="8764" spans="1:5" x14ac:dyDescent="0.3">
      <c r="A8764" s="9">
        <v>8756</v>
      </c>
      <c r="B8764" s="10">
        <f t="shared" ca="1" si="136"/>
        <v>7.6135679982145446E-2</v>
      </c>
      <c r="C8764" s="10">
        <f ca="1">NPV(B8764,Project_FCF!C18:J18)+Project_FCF!B18</f>
        <v>971.37121437432461</v>
      </c>
      <c r="D8764" s="4"/>
      <c r="E8764" s="4"/>
    </row>
    <row r="8765" spans="1:5" x14ac:dyDescent="0.3">
      <c r="A8765" s="9">
        <v>8757</v>
      </c>
      <c r="B8765" s="10">
        <f t="shared" ca="1" si="136"/>
        <v>6.4657972584792334E-2</v>
      </c>
      <c r="C8765" s="10">
        <f ca="1">NPV(B8765,Project_FCF!C18:J18)+Project_FCF!B18</f>
        <v>1075.7018134967175</v>
      </c>
      <c r="D8765" s="4"/>
      <c r="E8765" s="4"/>
    </row>
    <row r="8766" spans="1:5" x14ac:dyDescent="0.3">
      <c r="A8766" s="9">
        <v>8758</v>
      </c>
      <c r="B8766" s="10">
        <f t="shared" ca="1" si="136"/>
        <v>8.6168171489044473E-2</v>
      </c>
      <c r="C8766" s="10">
        <f ca="1">NPV(B8766,Project_FCF!C18:J18)+Project_FCF!B18</f>
        <v>887.6851881381549</v>
      </c>
      <c r="D8766" s="4"/>
      <c r="E8766" s="4"/>
    </row>
    <row r="8767" spans="1:5" x14ac:dyDescent="0.3">
      <c r="A8767" s="9">
        <v>8759</v>
      </c>
      <c r="B8767" s="10">
        <f t="shared" ca="1" si="136"/>
        <v>7.0595385198683525E-2</v>
      </c>
      <c r="C8767" s="10">
        <f ca="1">NPV(B8767,Project_FCF!C18:J18)+Project_FCF!B18</f>
        <v>1020.532655507938</v>
      </c>
      <c r="D8767" s="4"/>
      <c r="E8767" s="4"/>
    </row>
    <row r="8768" spans="1:5" x14ac:dyDescent="0.3">
      <c r="A8768" s="9">
        <v>8760</v>
      </c>
      <c r="B8768" s="10">
        <f t="shared" ca="1" si="136"/>
        <v>6.7792850229406371E-2</v>
      </c>
      <c r="C8768" s="10">
        <f ca="1">NPV(B8768,Project_FCF!C18:J18)+Project_FCF!B18</f>
        <v>1046.244806696526</v>
      </c>
      <c r="D8768" s="4"/>
      <c r="E8768" s="4"/>
    </row>
    <row r="8769" spans="1:5" x14ac:dyDescent="0.3">
      <c r="A8769" s="9">
        <v>8761</v>
      </c>
      <c r="B8769" s="10">
        <f t="shared" ca="1" si="136"/>
        <v>8.6949784359753493E-2</v>
      </c>
      <c r="C8769" s="10">
        <f ca="1">NPV(B8769,Project_FCF!C18:J18)+Project_FCF!B18</f>
        <v>881.440164577313</v>
      </c>
      <c r="D8769" s="4"/>
      <c r="E8769" s="4"/>
    </row>
    <row r="8770" spans="1:5" x14ac:dyDescent="0.3">
      <c r="A8770" s="9">
        <v>8762</v>
      </c>
      <c r="B8770" s="10">
        <f t="shared" ca="1" si="136"/>
        <v>8.2423767886202107E-2</v>
      </c>
      <c r="C8770" s="10">
        <f ca="1">NPV(B8770,Project_FCF!C18:J18)+Project_FCF!B18</f>
        <v>918.14323373039997</v>
      </c>
      <c r="D8770" s="4"/>
      <c r="E8770" s="4"/>
    </row>
    <row r="8771" spans="1:5" x14ac:dyDescent="0.3">
      <c r="A8771" s="9">
        <v>8763</v>
      </c>
      <c r="B8771" s="10">
        <f t="shared" ca="1" si="136"/>
        <v>7.1385426657947476E-2</v>
      </c>
      <c r="C8771" s="10">
        <f ca="1">NPV(B8771,Project_FCF!C18:J18)+Project_FCF!B18</f>
        <v>1013.3882754284539</v>
      </c>
      <c r="D8771" s="4"/>
      <c r="E8771" s="4"/>
    </row>
    <row r="8772" spans="1:5" x14ac:dyDescent="0.3">
      <c r="A8772" s="9">
        <v>8764</v>
      </c>
      <c r="B8772" s="10">
        <f t="shared" ca="1" si="136"/>
        <v>9.495819319738219E-2</v>
      </c>
      <c r="C8772" s="10">
        <f ca="1">NPV(B8772,Project_FCF!C18:J18)+Project_FCF!B18</f>
        <v>819.61671414674561</v>
      </c>
      <c r="D8772" s="4"/>
      <c r="E8772" s="4"/>
    </row>
    <row r="8773" spans="1:5" x14ac:dyDescent="0.3">
      <c r="A8773" s="9">
        <v>8765</v>
      </c>
      <c r="B8773" s="10">
        <f t="shared" ca="1" si="136"/>
        <v>8.7481910201254592E-2</v>
      </c>
      <c r="C8773" s="10">
        <f ca="1">NPV(B8773,Project_FCF!C18:J18)+Project_FCF!B18</f>
        <v>877.21048466444404</v>
      </c>
      <c r="D8773" s="4"/>
      <c r="E8773" s="4"/>
    </row>
    <row r="8774" spans="1:5" x14ac:dyDescent="0.3">
      <c r="A8774" s="9">
        <v>8766</v>
      </c>
      <c r="B8774" s="10">
        <f t="shared" ca="1" si="136"/>
        <v>7.5060666519501676E-2</v>
      </c>
      <c r="C8774" s="10">
        <f ca="1">NPV(B8774,Project_FCF!C18:J18)+Project_FCF!B18</f>
        <v>980.74077922503716</v>
      </c>
      <c r="D8774" s="4"/>
      <c r="E8774" s="4"/>
    </row>
    <row r="8775" spans="1:5" x14ac:dyDescent="0.3">
      <c r="A8775" s="9">
        <v>8767</v>
      </c>
      <c r="B8775" s="10">
        <f t="shared" ca="1" si="136"/>
        <v>9.3095511253245694E-2</v>
      </c>
      <c r="C8775" s="10">
        <f ca="1">NPV(B8775,Project_FCF!C18:J18)+Project_FCF!B18</f>
        <v>833.65171440764038</v>
      </c>
      <c r="D8775" s="4"/>
      <c r="E8775" s="4"/>
    </row>
    <row r="8776" spans="1:5" x14ac:dyDescent="0.3">
      <c r="A8776" s="9">
        <v>8768</v>
      </c>
      <c r="B8776" s="10">
        <f t="shared" ca="1" si="136"/>
        <v>8.406100062824727E-2</v>
      </c>
      <c r="C8776" s="10">
        <f ca="1">NPV(B8776,Project_FCF!C18:J18)+Project_FCF!B18</f>
        <v>904.71451963063487</v>
      </c>
      <c r="D8776" s="4"/>
      <c r="E8776" s="4"/>
    </row>
    <row r="8777" spans="1:5" x14ac:dyDescent="0.3">
      <c r="A8777" s="9">
        <v>8769</v>
      </c>
      <c r="B8777" s="10">
        <f t="shared" ref="B8777:B8840" ca="1" si="137">$B$4+RAND()*($B$5-$B$4)</f>
        <v>0.10105598945883507</v>
      </c>
      <c r="C8777" s="10">
        <f ca="1">NPV(B8777,Project_FCF!C18:J18)+Project_FCF!B18</f>
        <v>775.07197326589403</v>
      </c>
      <c r="D8777" s="4"/>
      <c r="E8777" s="4"/>
    </row>
    <row r="8778" spans="1:5" x14ac:dyDescent="0.3">
      <c r="A8778" s="9">
        <v>8770</v>
      </c>
      <c r="B8778" s="10">
        <f t="shared" ca="1" si="137"/>
        <v>9.6780791781601885E-2</v>
      </c>
      <c r="C8778" s="10">
        <f ca="1">NPV(B8778,Project_FCF!C18:J18)+Project_FCF!B18</f>
        <v>806.08006725474297</v>
      </c>
      <c r="D8778" s="4"/>
      <c r="E8778" s="4"/>
    </row>
    <row r="8779" spans="1:5" x14ac:dyDescent="0.3">
      <c r="A8779" s="9">
        <v>8771</v>
      </c>
      <c r="B8779" s="10">
        <f t="shared" ca="1" si="137"/>
        <v>9.5244968374934263E-2</v>
      </c>
      <c r="C8779" s="10">
        <f ca="1">NPV(B8779,Project_FCF!C18:J18)+Project_FCF!B18</f>
        <v>817.47401034459381</v>
      </c>
      <c r="D8779" s="4"/>
      <c r="E8779" s="4"/>
    </row>
    <row r="8780" spans="1:5" x14ac:dyDescent="0.3">
      <c r="A8780" s="9">
        <v>8772</v>
      </c>
      <c r="B8780" s="10">
        <f t="shared" ca="1" si="137"/>
        <v>8.1858349516560597E-2</v>
      </c>
      <c r="C8780" s="10">
        <f ca="1">NPV(B8780,Project_FCF!C18:J18)+Project_FCF!B18</f>
        <v>922.82143078167405</v>
      </c>
      <c r="D8780" s="4"/>
      <c r="E8780" s="4"/>
    </row>
    <row r="8781" spans="1:5" x14ac:dyDescent="0.3">
      <c r="A8781" s="9">
        <v>8773</v>
      </c>
      <c r="B8781" s="10">
        <f t="shared" ca="1" si="137"/>
        <v>6.4927586883242114E-2</v>
      </c>
      <c r="C8781" s="10">
        <f ca="1">NPV(B8781,Project_FCF!C18:J18)+Project_FCF!B18</f>
        <v>1073.1389932834736</v>
      </c>
      <c r="D8781" s="4"/>
      <c r="E8781" s="4"/>
    </row>
    <row r="8782" spans="1:5" x14ac:dyDescent="0.3">
      <c r="A8782" s="9">
        <v>8774</v>
      </c>
      <c r="B8782" s="10">
        <f t="shared" ca="1" si="137"/>
        <v>7.4813538674937979E-2</v>
      </c>
      <c r="C8782" s="10">
        <f ca="1">NPV(B8782,Project_FCF!C18:J18)+Project_FCF!B18</f>
        <v>982.90607754026678</v>
      </c>
      <c r="D8782" s="4"/>
      <c r="E8782" s="4"/>
    </row>
    <row r="8783" spans="1:5" x14ac:dyDescent="0.3">
      <c r="A8783" s="9">
        <v>8775</v>
      </c>
      <c r="B8783" s="10">
        <f t="shared" ca="1" si="137"/>
        <v>8.446167333380647E-2</v>
      </c>
      <c r="C8783" s="10">
        <f ca="1">NPV(B8783,Project_FCF!C18:J18)+Project_FCF!B18</f>
        <v>901.45457508991058</v>
      </c>
      <c r="D8783" s="4"/>
      <c r="E8783" s="4"/>
    </row>
    <row r="8784" spans="1:5" x14ac:dyDescent="0.3">
      <c r="A8784" s="9">
        <v>8776</v>
      </c>
      <c r="B8784" s="10">
        <f t="shared" ca="1" si="137"/>
        <v>0.10194811008820723</v>
      </c>
      <c r="C8784" s="10">
        <f ca="1">NPV(B8784,Project_FCF!C18:J18)+Project_FCF!B18</f>
        <v>768.73032552419977</v>
      </c>
      <c r="D8784" s="4"/>
      <c r="E8784" s="4"/>
    </row>
    <row r="8785" spans="1:5" x14ac:dyDescent="0.3">
      <c r="A8785" s="9">
        <v>8777</v>
      </c>
      <c r="B8785" s="10">
        <f t="shared" ca="1" si="137"/>
        <v>7.3105175360388325E-2</v>
      </c>
      <c r="C8785" s="10">
        <f ca="1">NPV(B8785,Project_FCF!C18:J18)+Project_FCF!B18</f>
        <v>997.99203856743679</v>
      </c>
      <c r="D8785" s="4"/>
      <c r="E8785" s="4"/>
    </row>
    <row r="8786" spans="1:5" x14ac:dyDescent="0.3">
      <c r="A8786" s="9">
        <v>8778</v>
      </c>
      <c r="B8786" s="10">
        <f t="shared" ca="1" si="137"/>
        <v>6.5016665422643338E-2</v>
      </c>
      <c r="C8786" s="10">
        <f ca="1">NPV(B8786,Project_FCF!C18:J18)+Project_FCF!B18</f>
        <v>1072.293482163127</v>
      </c>
      <c r="D8786" s="4"/>
      <c r="E8786" s="4"/>
    </row>
    <row r="8787" spans="1:5" x14ac:dyDescent="0.3">
      <c r="A8787" s="9">
        <v>8779</v>
      </c>
      <c r="B8787" s="10">
        <f t="shared" ca="1" si="137"/>
        <v>8.2614687588229735E-2</v>
      </c>
      <c r="C8787" s="10">
        <f ca="1">NPV(B8787,Project_FCF!C18:J18)+Project_FCF!B18</f>
        <v>916.56831595591188</v>
      </c>
      <c r="D8787" s="4"/>
      <c r="E8787" s="4"/>
    </row>
    <row r="8788" spans="1:5" x14ac:dyDescent="0.3">
      <c r="A8788" s="9">
        <v>8780</v>
      </c>
      <c r="B8788" s="10">
        <f t="shared" ca="1" si="137"/>
        <v>9.6114676198250065E-2</v>
      </c>
      <c r="C8788" s="10">
        <f ca="1">NPV(B8788,Project_FCF!C18:J18)+Project_FCF!B18</f>
        <v>811.00506705775001</v>
      </c>
      <c r="D8788" s="4"/>
      <c r="E8788" s="4"/>
    </row>
    <row r="8789" spans="1:5" x14ac:dyDescent="0.3">
      <c r="A8789" s="9">
        <v>8781</v>
      </c>
      <c r="B8789" s="10">
        <f t="shared" ca="1" si="137"/>
        <v>6.71539620142768E-2</v>
      </c>
      <c r="C8789" s="10">
        <f ca="1">NPV(B8789,Project_FCF!C18:J18)+Project_FCF!B18</f>
        <v>1052.1879129457263</v>
      </c>
      <c r="D8789" s="4"/>
      <c r="E8789" s="4"/>
    </row>
    <row r="8790" spans="1:5" x14ac:dyDescent="0.3">
      <c r="A8790" s="9">
        <v>8782</v>
      </c>
      <c r="B8790" s="10">
        <f t="shared" ca="1" si="137"/>
        <v>8.0178597840960014E-2</v>
      </c>
      <c r="C8790" s="10">
        <f ca="1">NPV(B8790,Project_FCF!C18:J18)+Project_FCF!B18</f>
        <v>936.84383035035717</v>
      </c>
      <c r="D8790" s="4"/>
      <c r="E8790" s="4"/>
    </row>
    <row r="8791" spans="1:5" x14ac:dyDescent="0.3">
      <c r="A8791" s="9">
        <v>8783</v>
      </c>
      <c r="B8791" s="10">
        <f t="shared" ca="1" si="137"/>
        <v>8.1580905125209532E-2</v>
      </c>
      <c r="C8791" s="10">
        <f ca="1">NPV(B8791,Project_FCF!C18:J18)+Project_FCF!B18</f>
        <v>925.12464748957154</v>
      </c>
      <c r="D8791" s="4"/>
      <c r="E8791" s="4"/>
    </row>
    <row r="8792" spans="1:5" x14ac:dyDescent="0.3">
      <c r="A8792" s="9">
        <v>8784</v>
      </c>
      <c r="B8792" s="10">
        <f t="shared" ca="1" si="137"/>
        <v>8.7322865623385884E-2</v>
      </c>
      <c r="C8792" s="10">
        <f ca="1">NPV(B8792,Project_FCF!C18:J18)+Project_FCF!B18</f>
        <v>878.47281598323912</v>
      </c>
      <c r="D8792" s="4"/>
      <c r="E8792" s="4"/>
    </row>
    <row r="8793" spans="1:5" x14ac:dyDescent="0.3">
      <c r="A8793" s="9">
        <v>8785</v>
      </c>
      <c r="B8793" s="10">
        <f t="shared" ca="1" si="137"/>
        <v>8.5847750299214709E-2</v>
      </c>
      <c r="C8793" s="10">
        <f ca="1">NPV(B8793,Project_FCF!C18:J18)+Project_FCF!B18</f>
        <v>890.25647548492748</v>
      </c>
      <c r="D8793" s="4"/>
      <c r="E8793" s="4"/>
    </row>
    <row r="8794" spans="1:5" x14ac:dyDescent="0.3">
      <c r="A8794" s="9">
        <v>8786</v>
      </c>
      <c r="B8794" s="10">
        <f t="shared" ca="1" si="137"/>
        <v>8.0194069706787593E-2</v>
      </c>
      <c r="C8794" s="10">
        <f ca="1">NPV(B8794,Project_FCF!C18:J18)+Project_FCF!B18</f>
        <v>936.71381798440393</v>
      </c>
      <c r="D8794" s="4"/>
      <c r="E8794" s="4"/>
    </row>
    <row r="8795" spans="1:5" x14ac:dyDescent="0.3">
      <c r="A8795" s="9">
        <v>8787</v>
      </c>
      <c r="B8795" s="10">
        <f t="shared" ca="1" si="137"/>
        <v>9.242437300179758E-2</v>
      </c>
      <c r="C8795" s="10">
        <f ca="1">NPV(B8795,Project_FCF!C18:J18)+Project_FCF!B18</f>
        <v>838.75898323094157</v>
      </c>
      <c r="D8795" s="4"/>
      <c r="E8795" s="4"/>
    </row>
    <row r="8796" spans="1:5" x14ac:dyDescent="0.3">
      <c r="A8796" s="9">
        <v>8788</v>
      </c>
      <c r="B8796" s="10">
        <f t="shared" ca="1" si="137"/>
        <v>6.9817980224239434E-2</v>
      </c>
      <c r="C8796" s="10">
        <f ca="1">NPV(B8796,Project_FCF!C18:J18)+Project_FCF!B18</f>
        <v>1027.607111500379</v>
      </c>
      <c r="D8796" s="4"/>
      <c r="E8796" s="4"/>
    </row>
    <row r="8797" spans="1:5" x14ac:dyDescent="0.3">
      <c r="A8797" s="9">
        <v>8789</v>
      </c>
      <c r="B8797" s="10">
        <f t="shared" ca="1" si="137"/>
        <v>9.8807745483655035E-2</v>
      </c>
      <c r="C8797" s="10">
        <f ca="1">NPV(B8797,Project_FCF!C18:J18)+Project_FCF!B18</f>
        <v>791.24990256173032</v>
      </c>
      <c r="D8797" s="4"/>
      <c r="E8797" s="4"/>
    </row>
    <row r="8798" spans="1:5" x14ac:dyDescent="0.3">
      <c r="A8798" s="9">
        <v>8790</v>
      </c>
      <c r="B8798" s="10">
        <f t="shared" ca="1" si="137"/>
        <v>6.7553490644241709E-2</v>
      </c>
      <c r="C8798" s="10">
        <f ca="1">NPV(B8798,Project_FCF!C18:J18)+Project_FCF!B18</f>
        <v>1048.4678121967759</v>
      </c>
      <c r="D8798" s="4"/>
      <c r="E8798" s="4"/>
    </row>
    <row r="8799" spans="1:5" x14ac:dyDescent="0.3">
      <c r="A8799" s="9">
        <v>8791</v>
      </c>
      <c r="B8799" s="10">
        <f t="shared" ca="1" si="137"/>
        <v>7.6472718606914694E-2</v>
      </c>
      <c r="C8799" s="10">
        <f ca="1">NPV(B8799,Project_FCF!C18:J18)+Project_FCF!B18</f>
        <v>968.45017228214101</v>
      </c>
      <c r="D8799" s="4"/>
      <c r="E8799" s="4"/>
    </row>
    <row r="8800" spans="1:5" x14ac:dyDescent="0.3">
      <c r="A8800" s="9">
        <v>8792</v>
      </c>
      <c r="B8800" s="10">
        <f t="shared" ca="1" si="137"/>
        <v>8.3490338587172086E-2</v>
      </c>
      <c r="C8800" s="10">
        <f ca="1">NPV(B8800,Project_FCF!C18:J18)+Project_FCF!B18</f>
        <v>909.37539544520723</v>
      </c>
      <c r="D8800" s="4"/>
      <c r="E8800" s="4"/>
    </row>
    <row r="8801" spans="1:5" x14ac:dyDescent="0.3">
      <c r="A8801" s="9">
        <v>8793</v>
      </c>
      <c r="B8801" s="10">
        <f t="shared" ca="1" si="137"/>
        <v>6.7034654190952989E-2</v>
      </c>
      <c r="C8801" s="10">
        <f ca="1">NPV(B8801,Project_FCF!C18:J18)+Project_FCF!B18</f>
        <v>1053.301137750695</v>
      </c>
      <c r="D8801" s="4"/>
      <c r="E8801" s="4"/>
    </row>
    <row r="8802" spans="1:5" x14ac:dyDescent="0.3">
      <c r="A8802" s="9">
        <v>8794</v>
      </c>
      <c r="B8802" s="10">
        <f t="shared" ca="1" si="137"/>
        <v>0.10158066665621224</v>
      </c>
      <c r="C8802" s="10">
        <f ca="1">NPV(B8802,Project_FCF!C18:J18)+Project_FCF!B18</f>
        <v>771.33698501882941</v>
      </c>
      <c r="D8802" s="4"/>
      <c r="E8802" s="4"/>
    </row>
    <row r="8803" spans="1:5" x14ac:dyDescent="0.3">
      <c r="A8803" s="9">
        <v>8795</v>
      </c>
      <c r="B8803" s="10">
        <f t="shared" ca="1" si="137"/>
        <v>6.6431026805548091E-2</v>
      </c>
      <c r="C8803" s="10">
        <f ca="1">NPV(B8803,Project_FCF!C18:J18)+Project_FCF!B18</f>
        <v>1058.9498319643599</v>
      </c>
      <c r="D8803" s="4"/>
      <c r="E8803" s="4"/>
    </row>
    <row r="8804" spans="1:5" x14ac:dyDescent="0.3">
      <c r="A8804" s="9">
        <v>8796</v>
      </c>
      <c r="B8804" s="10">
        <f t="shared" ca="1" si="137"/>
        <v>7.7411532505160877E-2</v>
      </c>
      <c r="C8804" s="10">
        <f ca="1">NPV(B8804,Project_FCF!C18:J18)+Project_FCF!B18</f>
        <v>960.35492369444069</v>
      </c>
      <c r="D8804" s="4"/>
      <c r="E8804" s="4"/>
    </row>
    <row r="8805" spans="1:5" x14ac:dyDescent="0.3">
      <c r="A8805" s="9">
        <v>8797</v>
      </c>
      <c r="B8805" s="10">
        <f t="shared" ca="1" si="137"/>
        <v>8.5178343477837343E-2</v>
      </c>
      <c r="C8805" s="10">
        <f ca="1">NPV(B8805,Project_FCF!C18:J18)+Project_FCF!B18</f>
        <v>895.64930117872404</v>
      </c>
      <c r="D8805" s="4"/>
      <c r="E8805" s="4"/>
    </row>
    <row r="8806" spans="1:5" x14ac:dyDescent="0.3">
      <c r="A8806" s="9">
        <v>8798</v>
      </c>
      <c r="B8806" s="10">
        <f t="shared" ca="1" si="137"/>
        <v>7.2044196126427845E-2</v>
      </c>
      <c r="C8806" s="10">
        <f ca="1">NPV(B8806,Project_FCF!C18:J18)+Project_FCF!B18</f>
        <v>1007.4654957996761</v>
      </c>
      <c r="D8806" s="4"/>
      <c r="E8806" s="4"/>
    </row>
    <row r="8807" spans="1:5" x14ac:dyDescent="0.3">
      <c r="A8807" s="9">
        <v>8799</v>
      </c>
      <c r="B8807" s="10">
        <f t="shared" ca="1" si="137"/>
        <v>7.1254039508462555E-2</v>
      </c>
      <c r="C8807" s="10">
        <f ca="1">NPV(B8807,Project_FCF!C18:J18)+Project_FCF!B18</f>
        <v>1014.5732794543462</v>
      </c>
      <c r="D8807" s="4"/>
      <c r="E8807" s="4"/>
    </row>
    <row r="8808" spans="1:5" x14ac:dyDescent="0.3">
      <c r="A8808" s="9">
        <v>8800</v>
      </c>
      <c r="B8808" s="10">
        <f t="shared" ca="1" si="137"/>
        <v>8.7897865966175437E-2</v>
      </c>
      <c r="C8808" s="10">
        <f ca="1">NPV(B8808,Project_FCF!C18:J18)+Project_FCF!B18</f>
        <v>873.91652507864114</v>
      </c>
      <c r="D8808" s="4"/>
      <c r="E8808" s="4"/>
    </row>
    <row r="8809" spans="1:5" x14ac:dyDescent="0.3">
      <c r="A8809" s="9">
        <v>8801</v>
      </c>
      <c r="B8809" s="10">
        <f t="shared" ca="1" si="137"/>
        <v>8.5320278813374423E-2</v>
      </c>
      <c r="C8809" s="10">
        <f ca="1">NPV(B8809,Project_FCF!C18:J18)+Project_FCF!B18</f>
        <v>894.5034700620829</v>
      </c>
      <c r="D8809" s="4"/>
      <c r="E8809" s="4"/>
    </row>
    <row r="8810" spans="1:5" x14ac:dyDescent="0.3">
      <c r="A8810" s="9">
        <v>8802</v>
      </c>
      <c r="B8810" s="10">
        <f t="shared" ca="1" si="137"/>
        <v>8.0596858896803403E-2</v>
      </c>
      <c r="C8810" s="10">
        <f ca="1">NPV(B8810,Project_FCF!C18:J18)+Project_FCF!B18</f>
        <v>933.33473486613957</v>
      </c>
      <c r="D8810" s="4"/>
      <c r="E8810" s="4"/>
    </row>
    <row r="8811" spans="1:5" x14ac:dyDescent="0.3">
      <c r="A8811" s="9">
        <v>8803</v>
      </c>
      <c r="B8811" s="10">
        <f t="shared" ca="1" si="137"/>
        <v>8.0882642615961897E-2</v>
      </c>
      <c r="C8811" s="10">
        <f ca="1">NPV(B8811,Project_FCF!C18:J18)+Project_FCF!B18</f>
        <v>930.94377848103295</v>
      </c>
      <c r="D8811" s="4"/>
      <c r="E8811" s="4"/>
    </row>
    <row r="8812" spans="1:5" x14ac:dyDescent="0.3">
      <c r="A8812" s="9">
        <v>8804</v>
      </c>
      <c r="B8812" s="10">
        <f t="shared" ca="1" si="137"/>
        <v>0.10103807543804758</v>
      </c>
      <c r="C8812" s="10">
        <f ca="1">NPV(B8812,Project_FCF!C18:J18)+Project_FCF!B18</f>
        <v>775.1997654531458</v>
      </c>
      <c r="D8812" s="4"/>
      <c r="E8812" s="4"/>
    </row>
    <row r="8813" spans="1:5" x14ac:dyDescent="0.3">
      <c r="A8813" s="9">
        <v>8805</v>
      </c>
      <c r="B8813" s="10">
        <f t="shared" ca="1" si="137"/>
        <v>7.3875394878093442E-2</v>
      </c>
      <c r="C8813" s="10">
        <f ca="1">NPV(B8813,Project_FCF!C18:J18)+Project_FCF!B18</f>
        <v>991.16498599484316</v>
      </c>
      <c r="D8813" s="4"/>
      <c r="E8813" s="4"/>
    </row>
    <row r="8814" spans="1:5" x14ac:dyDescent="0.3">
      <c r="A8814" s="9">
        <v>8806</v>
      </c>
      <c r="B8814" s="10">
        <f t="shared" ca="1" si="137"/>
        <v>7.3896993792299998E-2</v>
      </c>
      <c r="C8814" s="10">
        <f ca="1">NPV(B8814,Project_FCF!C18:J18)+Project_FCF!B18</f>
        <v>990.97414359884169</v>
      </c>
      <c r="D8814" s="4"/>
      <c r="E8814" s="4"/>
    </row>
    <row r="8815" spans="1:5" x14ac:dyDescent="0.3">
      <c r="A8815" s="9">
        <v>8807</v>
      </c>
      <c r="B8815" s="10">
        <f t="shared" ca="1" si="137"/>
        <v>9.3219905563116462E-2</v>
      </c>
      <c r="C8815" s="10">
        <f ca="1">NPV(B8815,Project_FCF!C18:J18)+Project_FCF!B18</f>
        <v>832.70803633420678</v>
      </c>
      <c r="D8815" s="4"/>
      <c r="E8815" s="4"/>
    </row>
    <row r="8816" spans="1:5" x14ac:dyDescent="0.3">
      <c r="A8816" s="9">
        <v>8808</v>
      </c>
      <c r="B8816" s="10">
        <f t="shared" ca="1" si="137"/>
        <v>9.3091679863896312E-2</v>
      </c>
      <c r="C8816" s="10">
        <f ca="1">NPV(B8816,Project_FCF!C18:J18)+Project_FCF!B18</f>
        <v>833.68079462374271</v>
      </c>
      <c r="D8816" s="4"/>
      <c r="E8816" s="4"/>
    </row>
    <row r="8817" spans="1:5" x14ac:dyDescent="0.3">
      <c r="A8817" s="9">
        <v>8809</v>
      </c>
      <c r="B8817" s="10">
        <f t="shared" ca="1" si="137"/>
        <v>6.9455430393448273E-2</v>
      </c>
      <c r="C8817" s="10">
        <f ca="1">NPV(B8817,Project_FCF!C18:J18)+Project_FCF!B18</f>
        <v>1030.9214779186452</v>
      </c>
      <c r="D8817" s="4"/>
      <c r="E8817" s="4"/>
    </row>
    <row r="8818" spans="1:5" x14ac:dyDescent="0.3">
      <c r="A8818" s="9">
        <v>8810</v>
      </c>
      <c r="B8818" s="10">
        <f t="shared" ca="1" si="137"/>
        <v>7.1275549242826156E-2</v>
      </c>
      <c r="C8818" s="10">
        <f ca="1">NPV(B8818,Project_FCF!C18:J18)+Project_FCF!B18</f>
        <v>1014.3791938770632</v>
      </c>
      <c r="D8818" s="4"/>
      <c r="E8818" s="4"/>
    </row>
    <row r="8819" spans="1:5" x14ac:dyDescent="0.3">
      <c r="A8819" s="9">
        <v>8811</v>
      </c>
      <c r="B8819" s="10">
        <f t="shared" ca="1" si="137"/>
        <v>7.4946260601579398E-2</v>
      </c>
      <c r="C8819" s="10">
        <f ca="1">NPV(B8819,Project_FCF!C18:J18)+Project_FCF!B18</f>
        <v>981.74265605205937</v>
      </c>
      <c r="D8819" s="4"/>
      <c r="E8819" s="4"/>
    </row>
    <row r="8820" spans="1:5" x14ac:dyDescent="0.3">
      <c r="A8820" s="9">
        <v>8812</v>
      </c>
      <c r="B8820" s="10">
        <f t="shared" ca="1" si="137"/>
        <v>7.2191053402432398E-2</v>
      </c>
      <c r="C8820" s="10">
        <f ca="1">NPV(B8820,Project_FCF!C18:J18)+Project_FCF!B18</f>
        <v>1006.1494065469258</v>
      </c>
      <c r="D8820" s="4"/>
      <c r="E8820" s="4"/>
    </row>
    <row r="8821" spans="1:5" x14ac:dyDescent="0.3">
      <c r="A8821" s="9">
        <v>8813</v>
      </c>
      <c r="B8821" s="10">
        <f t="shared" ca="1" si="137"/>
        <v>8.7287887827490196E-2</v>
      </c>
      <c r="C8821" s="10">
        <f ca="1">NPV(B8821,Project_FCF!C18:J18)+Project_FCF!B18</f>
        <v>878.75064579824038</v>
      </c>
      <c r="D8821" s="4"/>
      <c r="E8821" s="4"/>
    </row>
    <row r="8822" spans="1:5" x14ac:dyDescent="0.3">
      <c r="A8822" s="9">
        <v>8814</v>
      </c>
      <c r="B8822" s="10">
        <f t="shared" ca="1" si="137"/>
        <v>8.0929653124618972E-2</v>
      </c>
      <c r="C8822" s="10">
        <f ca="1">NPV(B8822,Project_FCF!C18:J18)+Project_FCF!B18</f>
        <v>930.55099285394795</v>
      </c>
      <c r="D8822" s="4"/>
      <c r="E8822" s="4"/>
    </row>
    <row r="8823" spans="1:5" x14ac:dyDescent="0.3">
      <c r="A8823" s="9">
        <v>8815</v>
      </c>
      <c r="B8823" s="10">
        <f t="shared" ca="1" si="137"/>
        <v>0.1028102752503755</v>
      </c>
      <c r="C8823" s="10">
        <f ca="1">NPV(B8823,Project_FCF!C18:J18)+Project_FCF!B18</f>
        <v>762.64316775321731</v>
      </c>
      <c r="D8823" s="4"/>
      <c r="E8823" s="4"/>
    </row>
    <row r="8824" spans="1:5" x14ac:dyDescent="0.3">
      <c r="A8824" s="9">
        <v>8816</v>
      </c>
      <c r="B8824" s="10">
        <f t="shared" ca="1" si="137"/>
        <v>7.3798915733790035E-2</v>
      </c>
      <c r="C8824" s="10">
        <f ca="1">NPV(B8824,Project_FCF!C18:J18)+Project_FCF!B18</f>
        <v>991.84100086685248</v>
      </c>
      <c r="D8824" s="4"/>
      <c r="E8824" s="4"/>
    </row>
    <row r="8825" spans="1:5" x14ac:dyDescent="0.3">
      <c r="A8825" s="9">
        <v>8817</v>
      </c>
      <c r="B8825" s="10">
        <f t="shared" ca="1" si="137"/>
        <v>8.1214843923089183E-2</v>
      </c>
      <c r="C8825" s="10">
        <f ca="1">NPV(B8825,Project_FCF!C18:J18)+Project_FCF!B18</f>
        <v>928.17128335543089</v>
      </c>
      <c r="D8825" s="4"/>
      <c r="E8825" s="4"/>
    </row>
    <row r="8826" spans="1:5" x14ac:dyDescent="0.3">
      <c r="A8826" s="9">
        <v>8818</v>
      </c>
      <c r="B8826" s="10">
        <f t="shared" ca="1" si="137"/>
        <v>8.0496701147112368E-2</v>
      </c>
      <c r="C8826" s="10">
        <f ca="1">NPV(B8826,Project_FCF!C18:J18)+Project_FCF!B18</f>
        <v>934.17397022314071</v>
      </c>
      <c r="D8826" s="4"/>
      <c r="E8826" s="4"/>
    </row>
    <row r="8827" spans="1:5" x14ac:dyDescent="0.3">
      <c r="A8827" s="9">
        <v>8819</v>
      </c>
      <c r="B8827" s="10">
        <f t="shared" ca="1" si="137"/>
        <v>9.5005669616154989E-2</v>
      </c>
      <c r="C8827" s="10">
        <f ca="1">NPV(B8827,Project_FCF!C18:J18)+Project_FCF!B18</f>
        <v>819.26165193647671</v>
      </c>
      <c r="D8827" s="4"/>
      <c r="E8827" s="4"/>
    </row>
    <row r="8828" spans="1:5" x14ac:dyDescent="0.3">
      <c r="A8828" s="9">
        <v>8820</v>
      </c>
      <c r="B8828" s="10">
        <f t="shared" ca="1" si="137"/>
        <v>8.6858176989289021E-2</v>
      </c>
      <c r="C8828" s="10">
        <f ca="1">NPV(B8828,Project_FCF!C18:J18)+Project_FCF!B18</f>
        <v>882.1701105229331</v>
      </c>
      <c r="D8828" s="4"/>
      <c r="E8828" s="4"/>
    </row>
    <row r="8829" spans="1:5" x14ac:dyDescent="0.3">
      <c r="A8829" s="9">
        <v>8821</v>
      </c>
      <c r="B8829" s="10">
        <f t="shared" ca="1" si="137"/>
        <v>8.5850147082159961E-2</v>
      </c>
      <c r="C8829" s="10">
        <f ca="1">NPV(B8829,Project_FCF!C18:J18)+Project_FCF!B18</f>
        <v>890.23721785189582</v>
      </c>
      <c r="D8829" s="4"/>
      <c r="E8829" s="4"/>
    </row>
    <row r="8830" spans="1:5" x14ac:dyDescent="0.3">
      <c r="A8830" s="9">
        <v>8822</v>
      </c>
      <c r="B8830" s="10">
        <f t="shared" ca="1" si="137"/>
        <v>7.3447039973336445E-2</v>
      </c>
      <c r="C8830" s="10">
        <f ca="1">NPV(B8830,Project_FCF!C18:J18)+Project_FCF!B18</f>
        <v>994.95663568112741</v>
      </c>
      <c r="D8830" s="4"/>
      <c r="E8830" s="4"/>
    </row>
    <row r="8831" spans="1:5" x14ac:dyDescent="0.3">
      <c r="A8831" s="9">
        <v>8823</v>
      </c>
      <c r="B8831" s="10">
        <f t="shared" ca="1" si="137"/>
        <v>6.7576385944366393E-2</v>
      </c>
      <c r="C8831" s="10">
        <f ca="1">NPV(B8831,Project_FCF!C18:J18)+Project_FCF!B18</f>
        <v>1048.2549912493907</v>
      </c>
      <c r="D8831" s="4"/>
      <c r="E8831" s="4"/>
    </row>
    <row r="8832" spans="1:5" x14ac:dyDescent="0.3">
      <c r="A8832" s="9">
        <v>8824</v>
      </c>
      <c r="B8832" s="10">
        <f t="shared" ca="1" si="137"/>
        <v>7.4675205435235426E-2</v>
      </c>
      <c r="C8832" s="10">
        <f ca="1">NPV(B8832,Project_FCF!C18:J18)+Project_FCF!B18</f>
        <v>984.12000034215203</v>
      </c>
      <c r="D8832" s="4"/>
      <c r="E8832" s="4"/>
    </row>
    <row r="8833" spans="1:5" x14ac:dyDescent="0.3">
      <c r="A8833" s="9">
        <v>8825</v>
      </c>
      <c r="B8833" s="10">
        <f t="shared" ca="1" si="137"/>
        <v>8.4253360774726019E-2</v>
      </c>
      <c r="C8833" s="10">
        <f ca="1">NPV(B8833,Project_FCF!C18:J18)+Project_FCF!B18</f>
        <v>903.14815447682417</v>
      </c>
      <c r="D8833" s="4"/>
      <c r="E8833" s="4"/>
    </row>
    <row r="8834" spans="1:5" x14ac:dyDescent="0.3">
      <c r="A8834" s="9">
        <v>8826</v>
      </c>
      <c r="B8834" s="10">
        <f t="shared" ca="1" si="137"/>
        <v>7.9879209554533842E-2</v>
      </c>
      <c r="C8834" s="10">
        <f ca="1">NPV(B8834,Project_FCF!C18:J18)+Project_FCF!B18</f>
        <v>939.36278206173847</v>
      </c>
      <c r="D8834" s="4"/>
      <c r="E8834" s="4"/>
    </row>
    <row r="8835" spans="1:5" x14ac:dyDescent="0.3">
      <c r="A8835" s="9">
        <v>8827</v>
      </c>
      <c r="B8835" s="10">
        <f t="shared" ca="1" si="137"/>
        <v>0.10292560081204624</v>
      </c>
      <c r="C8835" s="10">
        <f ca="1">NPV(B8835,Project_FCF!C18:J18)+Project_FCF!B18</f>
        <v>761.83201286085819</v>
      </c>
      <c r="D8835" s="4"/>
      <c r="E8835" s="4"/>
    </row>
    <row r="8836" spans="1:5" x14ac:dyDescent="0.3">
      <c r="A8836" s="9">
        <v>8828</v>
      </c>
      <c r="B8836" s="10">
        <f t="shared" ca="1" si="137"/>
        <v>7.9627440877809486E-2</v>
      </c>
      <c r="C8836" s="10">
        <f ca="1">NPV(B8836,Project_FCF!C18:J18)+Project_FCF!B18</f>
        <v>941.48572025122576</v>
      </c>
      <c r="D8836" s="4"/>
      <c r="E8836" s="4"/>
    </row>
    <row r="8837" spans="1:5" x14ac:dyDescent="0.3">
      <c r="A8837" s="9">
        <v>8829</v>
      </c>
      <c r="B8837" s="10">
        <f t="shared" ca="1" si="137"/>
        <v>6.8468256379452405E-2</v>
      </c>
      <c r="C8837" s="10">
        <f ca="1">NPV(B8837,Project_FCF!C18:J18)+Project_FCF!B18</f>
        <v>1039.995142515171</v>
      </c>
      <c r="D8837" s="4"/>
      <c r="E8837" s="4"/>
    </row>
    <row r="8838" spans="1:5" x14ac:dyDescent="0.3">
      <c r="A8838" s="9">
        <v>8830</v>
      </c>
      <c r="B8838" s="10">
        <f t="shared" ca="1" si="137"/>
        <v>9.8821099075250968E-2</v>
      </c>
      <c r="C8838" s="10">
        <f ca="1">NPV(B8838,Project_FCF!C18:J18)+Project_FCF!B18</f>
        <v>791.1529753978798</v>
      </c>
      <c r="D8838" s="4"/>
      <c r="E8838" s="4"/>
    </row>
    <row r="8839" spans="1:5" x14ac:dyDescent="0.3">
      <c r="A8839" s="9">
        <v>8831</v>
      </c>
      <c r="B8839" s="10">
        <f t="shared" ca="1" si="137"/>
        <v>7.4252852205823811E-2</v>
      </c>
      <c r="C8839" s="10">
        <f ca="1">NPV(B8839,Project_FCF!C18:J18)+Project_FCF!B18</f>
        <v>987.83461030712965</v>
      </c>
      <c r="D8839" s="4"/>
      <c r="E8839" s="4"/>
    </row>
    <row r="8840" spans="1:5" x14ac:dyDescent="0.3">
      <c r="A8840" s="9">
        <v>8832</v>
      </c>
      <c r="B8840" s="10">
        <f t="shared" ca="1" si="137"/>
        <v>9.2810656887090143E-2</v>
      </c>
      <c r="C8840" s="10">
        <f ca="1">NPV(B8840,Project_FCF!C18:J18)+Project_FCF!B18</f>
        <v>835.81613760308551</v>
      </c>
      <c r="D8840" s="4"/>
      <c r="E8840" s="4"/>
    </row>
    <row r="8841" spans="1:5" x14ac:dyDescent="0.3">
      <c r="A8841" s="9">
        <v>8833</v>
      </c>
      <c r="B8841" s="10">
        <f t="shared" ref="B8841:B8904" ca="1" si="138">$B$4+RAND()*($B$5-$B$4)</f>
        <v>8.7148767082397063E-2</v>
      </c>
      <c r="C8841" s="10">
        <f ca="1">NPV(B8841,Project_FCF!C18:J18)+Project_FCF!B18</f>
        <v>879.85644487396576</v>
      </c>
      <c r="D8841" s="4"/>
      <c r="E8841" s="4"/>
    </row>
    <row r="8842" spans="1:5" x14ac:dyDescent="0.3">
      <c r="A8842" s="9">
        <v>8834</v>
      </c>
      <c r="B8842" s="10">
        <f t="shared" ca="1" si="138"/>
        <v>7.4349015835242879E-2</v>
      </c>
      <c r="C8842" s="10">
        <f ca="1">NPV(B8842,Project_FCF!C18:J18)+Project_FCF!B18</f>
        <v>986.98774560869197</v>
      </c>
      <c r="D8842" s="4"/>
      <c r="E8842" s="4"/>
    </row>
    <row r="8843" spans="1:5" x14ac:dyDescent="0.3">
      <c r="A8843" s="9">
        <v>8835</v>
      </c>
      <c r="B8843" s="10">
        <f t="shared" ca="1" si="138"/>
        <v>8.6919302874474108E-2</v>
      </c>
      <c r="C8843" s="10">
        <f ca="1">NPV(B8843,Project_FCF!C18:J18)+Project_FCF!B18</f>
        <v>881.68298866732925</v>
      </c>
      <c r="D8843" s="4"/>
      <c r="E8843" s="4"/>
    </row>
    <row r="8844" spans="1:5" x14ac:dyDescent="0.3">
      <c r="A8844" s="9">
        <v>8836</v>
      </c>
      <c r="B8844" s="10">
        <f t="shared" ca="1" si="138"/>
        <v>9.5810727500352327E-2</v>
      </c>
      <c r="C8844" s="10">
        <f ca="1">NPV(B8844,Project_FCF!C18:J18)+Project_FCF!B18</f>
        <v>813.26086557342455</v>
      </c>
      <c r="D8844" s="4"/>
      <c r="E8844" s="4"/>
    </row>
    <row r="8845" spans="1:5" x14ac:dyDescent="0.3">
      <c r="A8845" s="9">
        <v>8837</v>
      </c>
      <c r="B8845" s="10">
        <f t="shared" ca="1" si="138"/>
        <v>9.7702874030788978E-2</v>
      </c>
      <c r="C8845" s="10">
        <f ca="1">NPV(B8845,Project_FCF!C18:J18)+Project_FCF!B18</f>
        <v>799.30462962946126</v>
      </c>
      <c r="D8845" s="4"/>
      <c r="E8845" s="4"/>
    </row>
    <row r="8846" spans="1:5" x14ac:dyDescent="0.3">
      <c r="A8846" s="9">
        <v>8838</v>
      </c>
      <c r="B8846" s="10">
        <f t="shared" ca="1" si="138"/>
        <v>8.822362461442694E-2</v>
      </c>
      <c r="C8846" s="10">
        <f ca="1">NPV(B8846,Project_FCF!C18:J18)+Project_FCF!B18</f>
        <v>871.34436075484609</v>
      </c>
      <c r="D8846" s="4"/>
      <c r="E8846" s="4"/>
    </row>
    <row r="8847" spans="1:5" x14ac:dyDescent="0.3">
      <c r="A8847" s="9">
        <v>8839</v>
      </c>
      <c r="B8847" s="10">
        <f t="shared" ca="1" si="138"/>
        <v>8.025102985166456E-2</v>
      </c>
      <c r="C8847" s="10">
        <f ca="1">NPV(B8847,Project_FCF!C18:J18)+Project_FCF!B18</f>
        <v>936.23531112219757</v>
      </c>
      <c r="D8847" s="4"/>
      <c r="E8847" s="4"/>
    </row>
    <row r="8848" spans="1:5" x14ac:dyDescent="0.3">
      <c r="A8848" s="9">
        <v>8840</v>
      </c>
      <c r="B8848" s="10">
        <f t="shared" ca="1" si="138"/>
        <v>7.1735148907436347E-2</v>
      </c>
      <c r="C8848" s="10">
        <f ca="1">NPV(B8848,Project_FCF!C18:J18)+Project_FCF!B18</f>
        <v>1010.240144177299</v>
      </c>
      <c r="D8848" s="4"/>
      <c r="E8848" s="4"/>
    </row>
    <row r="8849" spans="1:5" x14ac:dyDescent="0.3">
      <c r="A8849" s="9">
        <v>8841</v>
      </c>
      <c r="B8849" s="10">
        <f t="shared" ca="1" si="138"/>
        <v>9.5318151559476372E-2</v>
      </c>
      <c r="C8849" s="10">
        <f ca="1">NPV(B8849,Project_FCF!C18:J18)+Project_FCF!B18</f>
        <v>816.92797450621083</v>
      </c>
      <c r="D8849" s="4"/>
      <c r="E8849" s="4"/>
    </row>
    <row r="8850" spans="1:5" x14ac:dyDescent="0.3">
      <c r="A8850" s="9">
        <v>8842</v>
      </c>
      <c r="B8850" s="10">
        <f t="shared" ca="1" si="138"/>
        <v>8.5702761587968052E-2</v>
      </c>
      <c r="C8850" s="10">
        <f ca="1">NPV(B8850,Project_FCF!C18:J18)+Project_FCF!B18</f>
        <v>891.42210624819359</v>
      </c>
      <c r="D8850" s="4"/>
      <c r="E8850" s="4"/>
    </row>
    <row r="8851" spans="1:5" x14ac:dyDescent="0.3">
      <c r="A8851" s="9">
        <v>8843</v>
      </c>
      <c r="B8851" s="10">
        <f t="shared" ca="1" si="138"/>
        <v>7.0413410282225405E-2</v>
      </c>
      <c r="C8851" s="10">
        <f ca="1">NPV(B8851,Project_FCF!C18:J18)+Project_FCF!B18</f>
        <v>1022.1846886821593</v>
      </c>
      <c r="D8851" s="4"/>
      <c r="E8851" s="4"/>
    </row>
    <row r="8852" spans="1:5" x14ac:dyDescent="0.3">
      <c r="A8852" s="9">
        <v>8844</v>
      </c>
      <c r="B8852" s="10">
        <f t="shared" ca="1" si="138"/>
        <v>0.1015885083096357</v>
      </c>
      <c r="C8852" s="10">
        <f ca="1">NPV(B8852,Project_FCF!C18:J18)+Project_FCF!B18</f>
        <v>771.28127836560679</v>
      </c>
      <c r="D8852" s="4"/>
      <c r="E8852" s="4"/>
    </row>
    <row r="8853" spans="1:5" x14ac:dyDescent="0.3">
      <c r="A8853" s="9">
        <v>8845</v>
      </c>
      <c r="B8853" s="10">
        <f t="shared" ca="1" si="138"/>
        <v>7.0505221769860904E-2</v>
      </c>
      <c r="C8853" s="10">
        <f ca="1">NPV(B8853,Project_FCF!C18:J18)+Project_FCF!B18</f>
        <v>1021.3508897275976</v>
      </c>
      <c r="D8853" s="4"/>
      <c r="E8853" s="4"/>
    </row>
    <row r="8854" spans="1:5" x14ac:dyDescent="0.3">
      <c r="A8854" s="9">
        <v>8846</v>
      </c>
      <c r="B8854" s="10">
        <f t="shared" ca="1" si="138"/>
        <v>9.8255093033618304E-2</v>
      </c>
      <c r="C8854" s="10">
        <f ca="1">NPV(B8854,Project_FCF!C18:J18)+Project_FCF!B18</f>
        <v>795.27018415605721</v>
      </c>
      <c r="D8854" s="4"/>
      <c r="E8854" s="4"/>
    </row>
    <row r="8855" spans="1:5" x14ac:dyDescent="0.3">
      <c r="A8855" s="9">
        <v>8847</v>
      </c>
      <c r="B8855" s="10">
        <f t="shared" ca="1" si="138"/>
        <v>8.4242932603502241E-2</v>
      </c>
      <c r="C8855" s="10">
        <f ca="1">NPV(B8855,Project_FCF!C18:J18)+Project_FCF!B18</f>
        <v>903.2330087439118</v>
      </c>
      <c r="D8855" s="4"/>
      <c r="E8855" s="4"/>
    </row>
    <row r="8856" spans="1:5" x14ac:dyDescent="0.3">
      <c r="A8856" s="9">
        <v>8848</v>
      </c>
      <c r="B8856" s="10">
        <f t="shared" ca="1" si="138"/>
        <v>8.6245161770095613E-2</v>
      </c>
      <c r="C8856" s="10">
        <f ca="1">NPV(B8856,Project_FCF!C18:J18)+Project_FCF!B18</f>
        <v>887.06833139668697</v>
      </c>
      <c r="D8856" s="4"/>
      <c r="E8856" s="4"/>
    </row>
    <row r="8857" spans="1:5" x14ac:dyDescent="0.3">
      <c r="A8857" s="9">
        <v>8849</v>
      </c>
      <c r="B8857" s="10">
        <f t="shared" ca="1" si="138"/>
        <v>6.5136212635791654E-2</v>
      </c>
      <c r="C8857" s="10">
        <f ca="1">NPV(B8857,Project_FCF!C18:J18)+Project_FCF!B18</f>
        <v>1071.1597251821838</v>
      </c>
      <c r="D8857" s="4"/>
      <c r="E8857" s="4"/>
    </row>
    <row r="8858" spans="1:5" x14ac:dyDescent="0.3">
      <c r="A8858" s="9">
        <v>8850</v>
      </c>
      <c r="B8858" s="10">
        <f t="shared" ca="1" si="138"/>
        <v>7.0378946842205942E-2</v>
      </c>
      <c r="C8858" s="10">
        <f ca="1">NPV(B8858,Project_FCF!C18:J18)+Project_FCF!B18</f>
        <v>1022.4978318909587</v>
      </c>
      <c r="D8858" s="4"/>
      <c r="E8858" s="4"/>
    </row>
    <row r="8859" spans="1:5" x14ac:dyDescent="0.3">
      <c r="A8859" s="9">
        <v>8851</v>
      </c>
      <c r="B8859" s="10">
        <f t="shared" ca="1" si="138"/>
        <v>7.4267438187096385E-2</v>
      </c>
      <c r="C8859" s="10">
        <f ca="1">NPV(B8859,Project_FCF!C18:J18)+Project_FCF!B18</f>
        <v>987.706117033787</v>
      </c>
      <c r="D8859" s="4"/>
      <c r="E8859" s="4"/>
    </row>
    <row r="8860" spans="1:5" x14ac:dyDescent="0.3">
      <c r="A8860" s="9">
        <v>8852</v>
      </c>
      <c r="B8860" s="10">
        <f t="shared" ca="1" si="138"/>
        <v>9.3979959645964381E-2</v>
      </c>
      <c r="C8860" s="10">
        <f ca="1">NPV(B8860,Project_FCF!C18:J18)+Project_FCF!B18</f>
        <v>826.96204180736322</v>
      </c>
      <c r="D8860" s="4"/>
      <c r="E8860" s="4"/>
    </row>
    <row r="8861" spans="1:5" x14ac:dyDescent="0.3">
      <c r="A8861" s="9">
        <v>8853</v>
      </c>
      <c r="B8861" s="10">
        <f t="shared" ca="1" si="138"/>
        <v>9.0886642127097003E-2</v>
      </c>
      <c r="C8861" s="10">
        <f ca="1">NPV(B8861,Project_FCF!C18:J18)+Project_FCF!B18</f>
        <v>850.56270029703978</v>
      </c>
      <c r="D8861" s="4"/>
      <c r="E8861" s="4"/>
    </row>
    <row r="8862" spans="1:5" x14ac:dyDescent="0.3">
      <c r="A8862" s="9">
        <v>8854</v>
      </c>
      <c r="B8862" s="10">
        <f t="shared" ca="1" si="138"/>
        <v>6.7909427035351314E-2</v>
      </c>
      <c r="C8862" s="10">
        <f ca="1">NPV(B8862,Project_FCF!C18:J18)+Project_FCF!B18</f>
        <v>1045.1636722476273</v>
      </c>
      <c r="D8862" s="4"/>
      <c r="E8862" s="4"/>
    </row>
    <row r="8863" spans="1:5" x14ac:dyDescent="0.3">
      <c r="A8863" s="9">
        <v>8855</v>
      </c>
      <c r="B8863" s="10">
        <f t="shared" ca="1" si="138"/>
        <v>8.7886827214181215E-2</v>
      </c>
      <c r="C8863" s="10">
        <f ca="1">NPV(B8863,Project_FCF!C18:J18)+Project_FCF!B18</f>
        <v>874.0038018018804</v>
      </c>
      <c r="D8863" s="4"/>
      <c r="E8863" s="4"/>
    </row>
    <row r="8864" spans="1:5" x14ac:dyDescent="0.3">
      <c r="A8864" s="9">
        <v>8856</v>
      </c>
      <c r="B8864" s="10">
        <f t="shared" ca="1" si="138"/>
        <v>6.4288580365409076E-2</v>
      </c>
      <c r="C8864" s="10">
        <f ca="1">NPV(B8864,Project_FCF!C18:J18)+Project_FCF!B18</f>
        <v>1079.2221463346978</v>
      </c>
      <c r="D8864" s="4"/>
      <c r="E8864" s="4"/>
    </row>
    <row r="8865" spans="1:5" x14ac:dyDescent="0.3">
      <c r="A8865" s="9">
        <v>8857</v>
      </c>
      <c r="B8865" s="10">
        <f t="shared" ca="1" si="138"/>
        <v>0.10235495296371194</v>
      </c>
      <c r="C8865" s="10">
        <f ca="1">NPV(B8865,Project_FCF!C18:J18)+Project_FCF!B18</f>
        <v>765.8528169725148</v>
      </c>
      <c r="D8865" s="4"/>
      <c r="E8865" s="4"/>
    </row>
    <row r="8866" spans="1:5" x14ac:dyDescent="0.3">
      <c r="A8866" s="9">
        <v>8858</v>
      </c>
      <c r="B8866" s="10">
        <f t="shared" ca="1" si="138"/>
        <v>9.8417566673238449E-2</v>
      </c>
      <c r="C8866" s="10">
        <f ca="1">NPV(B8866,Project_FCF!C18:J18)+Project_FCF!B18</f>
        <v>794.0864708592394</v>
      </c>
      <c r="D8866" s="4"/>
      <c r="E8866" s="4"/>
    </row>
    <row r="8867" spans="1:5" x14ac:dyDescent="0.3">
      <c r="A8867" s="9">
        <v>8859</v>
      </c>
      <c r="B8867" s="10">
        <f t="shared" ca="1" si="138"/>
        <v>9.7269805280083457E-2</v>
      </c>
      <c r="C8867" s="10">
        <f ca="1">NPV(B8867,Project_FCF!C18:J18)+Project_FCF!B18</f>
        <v>802.48074361800673</v>
      </c>
      <c r="D8867" s="4"/>
      <c r="E8867" s="4"/>
    </row>
    <row r="8868" spans="1:5" x14ac:dyDescent="0.3">
      <c r="A8868" s="9">
        <v>8860</v>
      </c>
      <c r="B8868" s="10">
        <f t="shared" ca="1" si="138"/>
        <v>6.7163335129346274E-2</v>
      </c>
      <c r="C8868" s="10">
        <f ca="1">NPV(B8868,Project_FCF!C18:J18)+Project_FCF!B18</f>
        <v>1052.1005005911609</v>
      </c>
      <c r="D8868" s="4"/>
      <c r="E8868" s="4"/>
    </row>
    <row r="8869" spans="1:5" x14ac:dyDescent="0.3">
      <c r="A8869" s="9">
        <v>8861</v>
      </c>
      <c r="B8869" s="10">
        <f t="shared" ca="1" si="138"/>
        <v>7.7647853359170044E-2</v>
      </c>
      <c r="C8869" s="10">
        <f ca="1">NPV(B8869,Project_FCF!C18:J18)+Project_FCF!B18</f>
        <v>958.32668585584724</v>
      </c>
      <c r="D8869" s="4"/>
      <c r="E8869" s="4"/>
    </row>
    <row r="8870" spans="1:5" x14ac:dyDescent="0.3">
      <c r="A8870" s="9">
        <v>8862</v>
      </c>
      <c r="B8870" s="10">
        <f t="shared" ca="1" si="138"/>
        <v>7.1814632579325341E-2</v>
      </c>
      <c r="C8870" s="10">
        <f ca="1">NPV(B8870,Project_FCF!C18:J18)+Project_FCF!B18</f>
        <v>1009.5258775359764</v>
      </c>
      <c r="D8870" s="4"/>
      <c r="E8870" s="4"/>
    </row>
    <row r="8871" spans="1:5" x14ac:dyDescent="0.3">
      <c r="A8871" s="9">
        <v>8863</v>
      </c>
      <c r="B8871" s="10">
        <f t="shared" ca="1" si="138"/>
        <v>6.7410495123900904E-2</v>
      </c>
      <c r="C8871" s="10">
        <f ca="1">NPV(B8871,Project_FCF!C18:J18)+Project_FCF!B18</f>
        <v>1049.7979006034441</v>
      </c>
      <c r="D8871" s="4"/>
      <c r="E8871" s="4"/>
    </row>
    <row r="8872" spans="1:5" x14ac:dyDescent="0.3">
      <c r="A8872" s="9">
        <v>8864</v>
      </c>
      <c r="B8872" s="10">
        <f t="shared" ca="1" si="138"/>
        <v>8.2543129285023331E-2</v>
      </c>
      <c r="C8872" s="10">
        <f ca="1">NPV(B8872,Project_FCF!C18:J18)+Project_FCF!B18</f>
        <v>917.15832931760133</v>
      </c>
      <c r="D8872" s="4"/>
      <c r="E8872" s="4"/>
    </row>
    <row r="8873" spans="1:5" x14ac:dyDescent="0.3">
      <c r="A8873" s="9">
        <v>8865</v>
      </c>
      <c r="B8873" s="10">
        <f t="shared" ca="1" si="138"/>
        <v>6.492779287646612E-2</v>
      </c>
      <c r="C8873" s="10">
        <f ca="1">NPV(B8873,Project_FCF!C18:J18)+Project_FCF!B18</f>
        <v>1073.1370373459893</v>
      </c>
      <c r="D8873" s="4"/>
      <c r="E8873" s="4"/>
    </row>
    <row r="8874" spans="1:5" x14ac:dyDescent="0.3">
      <c r="A8874" s="9">
        <v>8866</v>
      </c>
      <c r="B8874" s="10">
        <f t="shared" ca="1" si="138"/>
        <v>0.10099648031090347</v>
      </c>
      <c r="C8874" s="10">
        <f ca="1">NPV(B8874,Project_FCF!C18:J18)+Project_FCF!B18</f>
        <v>775.49655869305002</v>
      </c>
      <c r="D8874" s="4"/>
      <c r="E8874" s="4"/>
    </row>
    <row r="8875" spans="1:5" x14ac:dyDescent="0.3">
      <c r="A8875" s="9">
        <v>8867</v>
      </c>
      <c r="B8875" s="10">
        <f t="shared" ca="1" si="138"/>
        <v>8.1647239987441625E-2</v>
      </c>
      <c r="C8875" s="10">
        <f ca="1">NPV(B8875,Project_FCF!C18:J18)+Project_FCF!B18</f>
        <v>924.57350484680342</v>
      </c>
      <c r="D8875" s="4"/>
      <c r="E8875" s="4"/>
    </row>
    <row r="8876" spans="1:5" x14ac:dyDescent="0.3">
      <c r="A8876" s="9">
        <v>8868</v>
      </c>
      <c r="B8876" s="10">
        <f t="shared" ca="1" si="138"/>
        <v>6.7734673651006105E-2</v>
      </c>
      <c r="C8876" s="10">
        <f ca="1">NPV(B8876,Project_FCF!C18:J18)+Project_FCF!B18</f>
        <v>1046.7847163991437</v>
      </c>
      <c r="D8876" s="4"/>
      <c r="E8876" s="4"/>
    </row>
    <row r="8877" spans="1:5" x14ac:dyDescent="0.3">
      <c r="A8877" s="9">
        <v>8869</v>
      </c>
      <c r="B8877" s="10">
        <f t="shared" ca="1" si="138"/>
        <v>7.5627024332815804E-2</v>
      </c>
      <c r="C8877" s="10">
        <f ca="1">NPV(B8877,Project_FCF!C18:J18)+Project_FCF!B18</f>
        <v>975.79451974246285</v>
      </c>
      <c r="D8877" s="4"/>
      <c r="E8877" s="4"/>
    </row>
    <row r="8878" spans="1:5" x14ac:dyDescent="0.3">
      <c r="A8878" s="9">
        <v>8870</v>
      </c>
      <c r="B8878" s="10">
        <f t="shared" ca="1" si="138"/>
        <v>7.5990037663685159E-2</v>
      </c>
      <c r="C8878" s="10">
        <f ca="1">NPV(B8878,Project_FCF!C18:J18)+Project_FCF!B18</f>
        <v>972.63589688105981</v>
      </c>
      <c r="D8878" s="4"/>
      <c r="E8878" s="4"/>
    </row>
    <row r="8879" spans="1:5" x14ac:dyDescent="0.3">
      <c r="A8879" s="9">
        <v>8871</v>
      </c>
      <c r="B8879" s="10">
        <f t="shared" ca="1" si="138"/>
        <v>8.8866560957896384E-2</v>
      </c>
      <c r="C8879" s="10">
        <f ca="1">NPV(B8879,Project_FCF!C18:J18)+Project_FCF!B18</f>
        <v>866.28709827751527</v>
      </c>
      <c r="D8879" s="4"/>
      <c r="E8879" s="4"/>
    </row>
    <row r="8880" spans="1:5" x14ac:dyDescent="0.3">
      <c r="A8880" s="9">
        <v>8872</v>
      </c>
      <c r="B8880" s="10">
        <f t="shared" ca="1" si="138"/>
        <v>0.10225059490234797</v>
      </c>
      <c r="C8880" s="10">
        <f ca="1">NPV(B8880,Project_FCF!C18:J18)+Project_FCF!B18</f>
        <v>766.59005285417152</v>
      </c>
      <c r="D8880" s="4"/>
      <c r="E8880" s="4"/>
    </row>
    <row r="8881" spans="1:5" x14ac:dyDescent="0.3">
      <c r="A8881" s="9">
        <v>8873</v>
      </c>
      <c r="B8881" s="10">
        <f t="shared" ca="1" si="138"/>
        <v>7.3596758151938307E-2</v>
      </c>
      <c r="C8881" s="10">
        <f ca="1">NPV(B8881,Project_FCF!C18:J18)+Project_FCF!B18</f>
        <v>993.62990524125939</v>
      </c>
      <c r="D8881" s="4"/>
      <c r="E8881" s="4"/>
    </row>
    <row r="8882" spans="1:5" x14ac:dyDescent="0.3">
      <c r="A8882" s="9">
        <v>8874</v>
      </c>
      <c r="B8882" s="10">
        <f t="shared" ca="1" si="138"/>
        <v>7.9727142635649145E-2</v>
      </c>
      <c r="C8882" s="10">
        <f ca="1">NPV(B8882,Project_FCF!C18:J18)+Project_FCF!B18</f>
        <v>940.64451739771789</v>
      </c>
      <c r="D8882" s="4"/>
      <c r="E8882" s="4"/>
    </row>
    <row r="8883" spans="1:5" x14ac:dyDescent="0.3">
      <c r="A8883" s="9">
        <v>8875</v>
      </c>
      <c r="B8883" s="10">
        <f t="shared" ca="1" si="138"/>
        <v>7.9048764717673484E-2</v>
      </c>
      <c r="C8883" s="10">
        <f ca="1">NPV(B8883,Project_FCF!C18:J18)+Project_FCF!B18</f>
        <v>946.38130424211977</v>
      </c>
      <c r="D8883" s="4"/>
      <c r="E8883" s="4"/>
    </row>
    <row r="8884" spans="1:5" x14ac:dyDescent="0.3">
      <c r="A8884" s="9">
        <v>8876</v>
      </c>
      <c r="B8884" s="10">
        <f t="shared" ca="1" si="138"/>
        <v>7.4806591068182438E-2</v>
      </c>
      <c r="C8884" s="10">
        <f ca="1">NPV(B8884,Project_FCF!C18:J18)+Project_FCF!B18</f>
        <v>982.96701324554533</v>
      </c>
      <c r="D8884" s="4"/>
      <c r="E8884" s="4"/>
    </row>
    <row r="8885" spans="1:5" x14ac:dyDescent="0.3">
      <c r="A8885" s="9">
        <v>8877</v>
      </c>
      <c r="B8885" s="10">
        <f t="shared" ca="1" si="138"/>
        <v>7.4290058613724189E-2</v>
      </c>
      <c r="C8885" s="10">
        <f ca="1">NPV(B8885,Project_FCF!C18:J18)+Project_FCF!B18</f>
        <v>987.5068750007606</v>
      </c>
      <c r="D8885" s="4"/>
      <c r="E8885" s="4"/>
    </row>
    <row r="8886" spans="1:5" x14ac:dyDescent="0.3">
      <c r="A8886" s="9">
        <v>8878</v>
      </c>
      <c r="B8886" s="10">
        <f t="shared" ca="1" si="138"/>
        <v>6.7249158225426278E-2</v>
      </c>
      <c r="C8886" s="10">
        <f ca="1">NPV(B8886,Project_FCF!C18:J18)+Project_FCF!B18</f>
        <v>1051.3004332017642</v>
      </c>
      <c r="D8886" s="4"/>
      <c r="E8886" s="4"/>
    </row>
    <row r="8887" spans="1:5" x14ac:dyDescent="0.3">
      <c r="A8887" s="9">
        <v>8879</v>
      </c>
      <c r="B8887" s="10">
        <f t="shared" ca="1" si="138"/>
        <v>9.5167993314389451E-2</v>
      </c>
      <c r="C8887" s="10">
        <f ca="1">NPV(B8887,Project_FCF!C18:J18)+Project_FCF!B18</f>
        <v>818.0486751520973</v>
      </c>
      <c r="D8887" s="4"/>
      <c r="E8887" s="4"/>
    </row>
    <row r="8888" spans="1:5" x14ac:dyDescent="0.3">
      <c r="A8888" s="9">
        <v>8880</v>
      </c>
      <c r="B8888" s="10">
        <f t="shared" ca="1" si="138"/>
        <v>7.6450740506407183E-2</v>
      </c>
      <c r="C8888" s="10">
        <f ca="1">NPV(B8888,Project_FCF!C18:J18)+Project_FCF!B18</f>
        <v>968.64041263586728</v>
      </c>
      <c r="D8888" s="4"/>
      <c r="E8888" s="4"/>
    </row>
    <row r="8889" spans="1:5" x14ac:dyDescent="0.3">
      <c r="A8889" s="9">
        <v>8881</v>
      </c>
      <c r="B8889" s="10">
        <f t="shared" ca="1" si="138"/>
        <v>8.1638107602482038E-2</v>
      </c>
      <c r="C8889" s="10">
        <f ca="1">NPV(B8889,Project_FCF!C18:J18)+Project_FCF!B18</f>
        <v>924.6493639858536</v>
      </c>
      <c r="D8889" s="4"/>
      <c r="E8889" s="4"/>
    </row>
    <row r="8890" spans="1:5" x14ac:dyDescent="0.3">
      <c r="A8890" s="9">
        <v>8882</v>
      </c>
      <c r="B8890" s="10">
        <f t="shared" ca="1" si="138"/>
        <v>7.7630627922039175E-2</v>
      </c>
      <c r="C8890" s="10">
        <f ca="1">NPV(B8890,Project_FCF!C18:J18)+Project_FCF!B18</f>
        <v>958.47439526518929</v>
      </c>
      <c r="D8890" s="4"/>
      <c r="E8890" s="4"/>
    </row>
    <row r="8891" spans="1:5" x14ac:dyDescent="0.3">
      <c r="A8891" s="9">
        <v>8883</v>
      </c>
      <c r="B8891" s="10">
        <f t="shared" ca="1" si="138"/>
        <v>8.582838526454549E-2</v>
      </c>
      <c r="C8891" s="10">
        <f ca="1">NPV(B8891,Project_FCF!C18:J18)+Project_FCF!B18</f>
        <v>890.41208271553319</v>
      </c>
      <c r="D8891" s="4"/>
      <c r="E8891" s="4"/>
    </row>
    <row r="8892" spans="1:5" x14ac:dyDescent="0.3">
      <c r="A8892" s="9">
        <v>8884</v>
      </c>
      <c r="B8892" s="10">
        <f t="shared" ca="1" si="138"/>
        <v>8.2978314552102056E-2</v>
      </c>
      <c r="C8892" s="10">
        <f ca="1">NPV(B8892,Project_FCF!C18:J18)+Project_FCF!B18</f>
        <v>913.57529527245129</v>
      </c>
      <c r="D8892" s="4"/>
      <c r="E8892" s="4"/>
    </row>
    <row r="8893" spans="1:5" x14ac:dyDescent="0.3">
      <c r="A8893" s="9">
        <v>8885</v>
      </c>
      <c r="B8893" s="10">
        <f t="shared" ca="1" si="138"/>
        <v>8.1361494781291455E-2</v>
      </c>
      <c r="C8893" s="10">
        <f ca="1">NPV(B8893,Project_FCF!C18:J18)+Project_FCF!B18</f>
        <v>926.94968297545051</v>
      </c>
      <c r="D8893" s="4"/>
      <c r="E8893" s="4"/>
    </row>
    <row r="8894" spans="1:5" x14ac:dyDescent="0.3">
      <c r="A8894" s="9">
        <v>8886</v>
      </c>
      <c r="B8894" s="10">
        <f t="shared" ca="1" si="138"/>
        <v>7.8292631422713158E-2</v>
      </c>
      <c r="C8894" s="10">
        <f ca="1">NPV(B8894,Project_FCF!C18:J18)+Project_FCF!B18</f>
        <v>952.81220962448697</v>
      </c>
      <c r="D8894" s="4"/>
      <c r="E8894" s="4"/>
    </row>
    <row r="8895" spans="1:5" x14ac:dyDescent="0.3">
      <c r="A8895" s="9">
        <v>8887</v>
      </c>
      <c r="B8895" s="10">
        <f t="shared" ca="1" si="138"/>
        <v>8.5696343371065589E-2</v>
      </c>
      <c r="C8895" s="10">
        <f ca="1">NPV(B8895,Project_FCF!C18:J18)+Project_FCF!B18</f>
        <v>891.47373607525674</v>
      </c>
      <c r="D8895" s="4"/>
      <c r="E8895" s="4"/>
    </row>
    <row r="8896" spans="1:5" x14ac:dyDescent="0.3">
      <c r="A8896" s="9">
        <v>8888</v>
      </c>
      <c r="B8896" s="10">
        <f t="shared" ca="1" si="138"/>
        <v>7.6545524008312577E-2</v>
      </c>
      <c r="C8896" s="10">
        <f ca="1">NPV(B8896,Project_FCF!C18:J18)+Project_FCF!B18</f>
        <v>967.82021368903247</v>
      </c>
      <c r="D8896" s="4"/>
      <c r="E8896" s="4"/>
    </row>
    <row r="8897" spans="1:5" x14ac:dyDescent="0.3">
      <c r="A8897" s="9">
        <v>8889</v>
      </c>
      <c r="B8897" s="10">
        <f t="shared" ca="1" si="138"/>
        <v>7.005188929418614E-2</v>
      </c>
      <c r="C8897" s="10">
        <f ca="1">NPV(B8897,Project_FCF!C18:J18)+Project_FCF!B18</f>
        <v>1025.4738721240017</v>
      </c>
      <c r="D8897" s="4"/>
      <c r="E8897" s="4"/>
    </row>
    <row r="8898" spans="1:5" x14ac:dyDescent="0.3">
      <c r="A8898" s="9">
        <v>8890</v>
      </c>
      <c r="B8898" s="10">
        <f t="shared" ca="1" si="138"/>
        <v>8.3307440516411646E-2</v>
      </c>
      <c r="C8898" s="10">
        <f ca="1">NPV(B8898,Project_FCF!C18:J18)+Project_FCF!B18</f>
        <v>910.87367150457476</v>
      </c>
      <c r="D8898" s="4"/>
      <c r="E8898" s="4"/>
    </row>
    <row r="8899" spans="1:5" x14ac:dyDescent="0.3">
      <c r="A8899" s="9">
        <v>8891</v>
      </c>
      <c r="B8899" s="10">
        <f t="shared" ca="1" si="138"/>
        <v>0.10306369598208615</v>
      </c>
      <c r="C8899" s="10">
        <f ca="1">NPV(B8899,Project_FCF!C18:J18)+Project_FCF!B18</f>
        <v>760.86165845440337</v>
      </c>
      <c r="D8899" s="4"/>
      <c r="E8899" s="4"/>
    </row>
    <row r="8900" spans="1:5" x14ac:dyDescent="0.3">
      <c r="A8900" s="9">
        <v>8892</v>
      </c>
      <c r="B8900" s="10">
        <f t="shared" ca="1" si="138"/>
        <v>9.2289530158010502E-2</v>
      </c>
      <c r="C8900" s="10">
        <f ca="1">NPV(B8900,Project_FCF!C18:J18)+Project_FCF!B18</f>
        <v>839.78836215423621</v>
      </c>
      <c r="D8900" s="4"/>
      <c r="E8900" s="4"/>
    </row>
    <row r="8901" spans="1:5" x14ac:dyDescent="0.3">
      <c r="A8901" s="9">
        <v>8893</v>
      </c>
      <c r="B8901" s="10">
        <f t="shared" ca="1" si="138"/>
        <v>0.10054260078038534</v>
      </c>
      <c r="C8901" s="10">
        <f ca="1">NPV(B8901,Project_FCF!C18:J18)+Project_FCF!B18</f>
        <v>778.74135746081606</v>
      </c>
      <c r="D8901" s="4"/>
      <c r="E8901" s="4"/>
    </row>
    <row r="8902" spans="1:5" x14ac:dyDescent="0.3">
      <c r="A8902" s="9">
        <v>8894</v>
      </c>
      <c r="B8902" s="10">
        <f t="shared" ca="1" si="138"/>
        <v>9.827851978171781E-2</v>
      </c>
      <c r="C8902" s="10">
        <f ca="1">NPV(B8902,Project_FCF!C18:J18)+Project_FCF!B18</f>
        <v>795.09941450834594</v>
      </c>
      <c r="D8902" s="4"/>
      <c r="E8902" s="4"/>
    </row>
    <row r="8903" spans="1:5" x14ac:dyDescent="0.3">
      <c r="A8903" s="9">
        <v>8895</v>
      </c>
      <c r="B8903" s="10">
        <f t="shared" ca="1" si="138"/>
        <v>7.4882781778236526E-2</v>
      </c>
      <c r="C8903" s="10">
        <f ca="1">NPV(B8903,Project_FCF!C18:J18)+Project_FCF!B18</f>
        <v>982.29894850767687</v>
      </c>
      <c r="D8903" s="4"/>
      <c r="E8903" s="4"/>
    </row>
    <row r="8904" spans="1:5" x14ac:dyDescent="0.3">
      <c r="A8904" s="9">
        <v>8896</v>
      </c>
      <c r="B8904" s="10">
        <f t="shared" ca="1" si="138"/>
        <v>8.7082630944191941E-2</v>
      </c>
      <c r="C8904" s="10">
        <f ca="1">NPV(B8904,Project_FCF!C18:J18)+Project_FCF!B18</f>
        <v>880.38255224276236</v>
      </c>
      <c r="D8904" s="4"/>
      <c r="E8904" s="4"/>
    </row>
    <row r="8905" spans="1:5" x14ac:dyDescent="0.3">
      <c r="A8905" s="9">
        <v>8897</v>
      </c>
      <c r="B8905" s="10">
        <f t="shared" ref="B8905:B8968" ca="1" si="139">$B$4+RAND()*($B$5-$B$4)</f>
        <v>7.8526991851863168E-2</v>
      </c>
      <c r="C8905" s="10">
        <f ca="1">NPV(B8905,Project_FCF!C18:J18)+Project_FCF!B18</f>
        <v>950.81483899006957</v>
      </c>
      <c r="D8905" s="4"/>
      <c r="E8905" s="4"/>
    </row>
    <row r="8906" spans="1:5" x14ac:dyDescent="0.3">
      <c r="A8906" s="9">
        <v>8898</v>
      </c>
      <c r="B8906" s="10">
        <f t="shared" ca="1" si="139"/>
        <v>9.3391393043022852E-2</v>
      </c>
      <c r="C8906" s="10">
        <f ca="1">NPV(B8906,Project_FCF!C18:J18)+Project_FCF!B18</f>
        <v>831.40860666688718</v>
      </c>
      <c r="D8906" s="4"/>
      <c r="E8906" s="4"/>
    </row>
    <row r="8907" spans="1:5" x14ac:dyDescent="0.3">
      <c r="A8907" s="9">
        <v>8899</v>
      </c>
      <c r="B8907" s="10">
        <f t="shared" ca="1" si="139"/>
        <v>9.3181921884938013E-2</v>
      </c>
      <c r="C8907" s="10">
        <f ca="1">NPV(B8907,Project_FCF!C18:J18)+Project_FCF!B18</f>
        <v>832.99609002252396</v>
      </c>
      <c r="D8907" s="4"/>
      <c r="E8907" s="4"/>
    </row>
    <row r="8908" spans="1:5" x14ac:dyDescent="0.3">
      <c r="A8908" s="9">
        <v>8900</v>
      </c>
      <c r="B8908" s="10">
        <f t="shared" ca="1" si="139"/>
        <v>6.6074193541060811E-2</v>
      </c>
      <c r="C8908" s="10">
        <f ca="1">NPV(B8908,Project_FCF!C18:J18)+Project_FCF!B18</f>
        <v>1062.3019952239658</v>
      </c>
      <c r="D8908" s="4"/>
      <c r="E8908" s="4"/>
    </row>
    <row r="8909" spans="1:5" x14ac:dyDescent="0.3">
      <c r="A8909" s="9">
        <v>8901</v>
      </c>
      <c r="B8909" s="10">
        <f t="shared" ca="1" si="139"/>
        <v>6.7585492664134009E-2</v>
      </c>
      <c r="C8909" s="10">
        <f ca="1">NPV(B8909,Project_FCF!C18:J18)+Project_FCF!B18</f>
        <v>1048.1703515603801</v>
      </c>
      <c r="D8909" s="4"/>
      <c r="E8909" s="4"/>
    </row>
    <row r="8910" spans="1:5" x14ac:dyDescent="0.3">
      <c r="A8910" s="9">
        <v>8902</v>
      </c>
      <c r="B8910" s="10">
        <f t="shared" ca="1" si="139"/>
        <v>8.9868263252089325E-2</v>
      </c>
      <c r="C8910" s="10">
        <f ca="1">NPV(B8910,Project_FCF!C18:J18)+Project_FCF!B18</f>
        <v>858.45860791237396</v>
      </c>
      <c r="D8910" s="4"/>
      <c r="E8910" s="4"/>
    </row>
    <row r="8911" spans="1:5" x14ac:dyDescent="0.3">
      <c r="A8911" s="9">
        <v>8903</v>
      </c>
      <c r="B8911" s="10">
        <f t="shared" ca="1" si="139"/>
        <v>6.4869049456655933E-2</v>
      </c>
      <c r="C8911" s="10">
        <f ca="1">NPV(B8911,Project_FCF!C18:J18)+Project_FCF!B18</f>
        <v>1073.6949470246414</v>
      </c>
      <c r="D8911" s="4"/>
      <c r="E8911" s="4"/>
    </row>
    <row r="8912" spans="1:5" x14ac:dyDescent="0.3">
      <c r="A8912" s="9">
        <v>8904</v>
      </c>
      <c r="B8912" s="10">
        <f t="shared" ca="1" si="139"/>
        <v>7.6200565899736172E-2</v>
      </c>
      <c r="C8912" s="10">
        <f ca="1">NPV(B8912,Project_FCF!C18:J18)+Project_FCF!B18</f>
        <v>970.80825152519424</v>
      </c>
      <c r="D8912" s="4"/>
      <c r="E8912" s="4"/>
    </row>
    <row r="8913" spans="1:5" x14ac:dyDescent="0.3">
      <c r="A8913" s="9">
        <v>8905</v>
      </c>
      <c r="B8913" s="10">
        <f t="shared" ca="1" si="139"/>
        <v>6.5414470472252878E-2</v>
      </c>
      <c r="C8913" s="10">
        <f ca="1">NPV(B8913,Project_FCF!C18:J18)+Project_FCF!B18</f>
        <v>1068.5250276922368</v>
      </c>
      <c r="D8913" s="4"/>
      <c r="E8913" s="4"/>
    </row>
    <row r="8914" spans="1:5" x14ac:dyDescent="0.3">
      <c r="A8914" s="9">
        <v>8906</v>
      </c>
      <c r="B8914" s="10">
        <f t="shared" ca="1" si="139"/>
        <v>9.3208423988168712E-2</v>
      </c>
      <c r="C8914" s="10">
        <f ca="1">NPV(B8914,Project_FCF!C18:J18)+Project_FCF!B18</f>
        <v>832.79509917438941</v>
      </c>
      <c r="D8914" s="4"/>
      <c r="E8914" s="4"/>
    </row>
    <row r="8915" spans="1:5" x14ac:dyDescent="0.3">
      <c r="A8915" s="9">
        <v>8907</v>
      </c>
      <c r="B8915" s="10">
        <f t="shared" ca="1" si="139"/>
        <v>8.5242752365313534E-2</v>
      </c>
      <c r="C8915" s="10">
        <f ca="1">NPV(B8915,Project_FCF!C18:J18)+Project_FCF!B18</f>
        <v>895.129174888536</v>
      </c>
      <c r="D8915" s="4"/>
      <c r="E8915" s="4"/>
    </row>
    <row r="8916" spans="1:5" x14ac:dyDescent="0.3">
      <c r="A8916" s="9">
        <v>8908</v>
      </c>
      <c r="B8916" s="10">
        <f t="shared" ca="1" si="139"/>
        <v>7.2381534809948953E-2</v>
      </c>
      <c r="C8916" s="10">
        <f ca="1">NPV(B8916,Project_FCF!C18:J18)+Project_FCF!B18</f>
        <v>1004.4446760125861</v>
      </c>
      <c r="D8916" s="4"/>
      <c r="E8916" s="4"/>
    </row>
    <row r="8917" spans="1:5" x14ac:dyDescent="0.3">
      <c r="A8917" s="9">
        <v>8909</v>
      </c>
      <c r="B8917" s="10">
        <f t="shared" ca="1" si="139"/>
        <v>8.148670539387487E-2</v>
      </c>
      <c r="C8917" s="10">
        <f ca="1">NPV(B8917,Project_FCF!C18:J18)+Project_FCF!B18</f>
        <v>925.90780341891764</v>
      </c>
      <c r="D8917" s="4"/>
      <c r="E8917" s="4"/>
    </row>
    <row r="8918" spans="1:5" x14ac:dyDescent="0.3">
      <c r="A8918" s="9">
        <v>8910</v>
      </c>
      <c r="B8918" s="10">
        <f t="shared" ca="1" si="139"/>
        <v>8.8656049736638182E-2</v>
      </c>
      <c r="C8918" s="10">
        <f ca="1">NPV(B8918,Project_FCF!C18:J18)+Project_FCF!B18</f>
        <v>867.94013882830063</v>
      </c>
      <c r="D8918" s="4"/>
      <c r="E8918" s="4"/>
    </row>
    <row r="8919" spans="1:5" x14ac:dyDescent="0.3">
      <c r="A8919" s="9">
        <v>8911</v>
      </c>
      <c r="B8919" s="10">
        <f t="shared" ca="1" si="139"/>
        <v>0.10268481804148466</v>
      </c>
      <c r="C8919" s="10">
        <f ca="1">NPV(B8919,Project_FCF!C18:J18)+Project_FCF!B18</f>
        <v>763.52640821988007</v>
      </c>
      <c r="D8919" s="4"/>
      <c r="E8919" s="4"/>
    </row>
    <row r="8920" spans="1:5" x14ac:dyDescent="0.3">
      <c r="A8920" s="9">
        <v>8912</v>
      </c>
      <c r="B8920" s="10">
        <f t="shared" ca="1" si="139"/>
        <v>9.9573434145998729E-2</v>
      </c>
      <c r="C8920" s="10">
        <f ca="1">NPV(B8920,Project_FCF!C18:J18)+Project_FCF!B18</f>
        <v>785.70837709353464</v>
      </c>
      <c r="D8920" s="4"/>
      <c r="E8920" s="4"/>
    </row>
    <row r="8921" spans="1:5" x14ac:dyDescent="0.3">
      <c r="A8921" s="9">
        <v>8913</v>
      </c>
      <c r="B8921" s="10">
        <f t="shared" ca="1" si="139"/>
        <v>8.8286917266017034E-2</v>
      </c>
      <c r="C8921" s="10">
        <f ca="1">NPV(B8921,Project_FCF!C18:J18)+Project_FCF!B18</f>
        <v>870.84537187072556</v>
      </c>
      <c r="D8921" s="4"/>
      <c r="E8921" s="4"/>
    </row>
    <row r="8922" spans="1:5" x14ac:dyDescent="0.3">
      <c r="A8922" s="9">
        <v>8914</v>
      </c>
      <c r="B8922" s="10">
        <f t="shared" ca="1" si="139"/>
        <v>0.10066327519858813</v>
      </c>
      <c r="C8922" s="10">
        <f ca="1">NPV(B8922,Project_FCF!C18:J18)+Project_FCF!B18</f>
        <v>777.87753586810072</v>
      </c>
      <c r="D8922" s="4"/>
      <c r="E8922" s="4"/>
    </row>
    <row r="8923" spans="1:5" x14ac:dyDescent="0.3">
      <c r="A8923" s="9">
        <v>8915</v>
      </c>
      <c r="B8923" s="10">
        <f t="shared" ca="1" si="139"/>
        <v>8.9141127355749764E-2</v>
      </c>
      <c r="C8923" s="10">
        <f ca="1">NPV(B8923,Project_FCF!C18:J18)+Project_FCF!B18</f>
        <v>864.13517322805706</v>
      </c>
      <c r="D8923" s="4"/>
      <c r="E8923" s="4"/>
    </row>
    <row r="8924" spans="1:5" x14ac:dyDescent="0.3">
      <c r="A8924" s="9">
        <v>8916</v>
      </c>
      <c r="B8924" s="10">
        <f t="shared" ca="1" si="139"/>
        <v>7.6595014612692275E-2</v>
      </c>
      <c r="C8924" s="10">
        <f ca="1">NPV(B8924,Project_FCF!C18:J18)+Project_FCF!B18</f>
        <v>967.39219823763096</v>
      </c>
      <c r="D8924" s="4"/>
      <c r="E8924" s="4"/>
    </row>
    <row r="8925" spans="1:5" x14ac:dyDescent="0.3">
      <c r="A8925" s="9">
        <v>8917</v>
      </c>
      <c r="B8925" s="10">
        <f t="shared" ca="1" si="139"/>
        <v>7.8388365004375155E-2</v>
      </c>
      <c r="C8925" s="10">
        <f ca="1">NPV(B8925,Project_FCF!C18:J18)+Project_FCF!B18</f>
        <v>951.9958563755572</v>
      </c>
      <c r="D8925" s="4"/>
      <c r="E8925" s="4"/>
    </row>
    <row r="8926" spans="1:5" x14ac:dyDescent="0.3">
      <c r="A8926" s="9">
        <v>8918</v>
      </c>
      <c r="B8926" s="10">
        <f t="shared" ca="1" si="139"/>
        <v>6.4085740142486608E-2</v>
      </c>
      <c r="C8926" s="10">
        <f ca="1">NPV(B8926,Project_FCF!C18:J18)+Project_FCF!B18</f>
        <v>1081.1597004349117</v>
      </c>
      <c r="D8926" s="4"/>
      <c r="E8926" s="4"/>
    </row>
    <row r="8927" spans="1:5" x14ac:dyDescent="0.3">
      <c r="A8927" s="9">
        <v>8919</v>
      </c>
      <c r="B8927" s="10">
        <f t="shared" ca="1" si="139"/>
        <v>9.4910496741426292E-2</v>
      </c>
      <c r="C8927" s="10">
        <f ca="1">NPV(B8927,Project_FCF!C18:J18)+Project_FCF!B18</f>
        <v>819.97355461863481</v>
      </c>
      <c r="D8927" s="4"/>
      <c r="E8927" s="4"/>
    </row>
    <row r="8928" spans="1:5" x14ac:dyDescent="0.3">
      <c r="A8928" s="9">
        <v>8920</v>
      </c>
      <c r="B8928" s="10">
        <f t="shared" ca="1" si="139"/>
        <v>9.7375379400568979E-2</v>
      </c>
      <c r="C8928" s="10">
        <f ca="1">NPV(B8928,Project_FCF!C18:J18)+Project_FCF!B18</f>
        <v>801.70547763941795</v>
      </c>
      <c r="D8928" s="4"/>
      <c r="E8928" s="4"/>
    </row>
    <row r="8929" spans="1:5" x14ac:dyDescent="0.3">
      <c r="A8929" s="9">
        <v>8921</v>
      </c>
      <c r="B8929" s="10">
        <f t="shared" ca="1" si="139"/>
        <v>9.2495862165099807E-2</v>
      </c>
      <c r="C8929" s="10">
        <f ca="1">NPV(B8929,Project_FCF!C18:J18)+Project_FCF!B18</f>
        <v>838.21368199323115</v>
      </c>
      <c r="D8929" s="4"/>
      <c r="E8929" s="4"/>
    </row>
    <row r="8930" spans="1:5" x14ac:dyDescent="0.3">
      <c r="A8930" s="9">
        <v>8922</v>
      </c>
      <c r="B8930" s="10">
        <f t="shared" ca="1" si="139"/>
        <v>0.10245771751993785</v>
      </c>
      <c r="C8930" s="10">
        <f ca="1">NPV(B8930,Project_FCF!C18:J18)+Project_FCF!B18</f>
        <v>765.1274209751225</v>
      </c>
      <c r="D8930" s="4"/>
      <c r="E8930" s="4"/>
    </row>
    <row r="8931" spans="1:5" x14ac:dyDescent="0.3">
      <c r="A8931" s="9">
        <v>8923</v>
      </c>
      <c r="B8931" s="10">
        <f t="shared" ca="1" si="139"/>
        <v>7.7054292410463632E-2</v>
      </c>
      <c r="C8931" s="10">
        <f ca="1">NPV(B8931,Project_FCF!C18:J18)+Project_FCF!B18</f>
        <v>963.42821489022208</v>
      </c>
      <c r="D8931" s="4"/>
      <c r="E8931" s="4"/>
    </row>
    <row r="8932" spans="1:5" x14ac:dyDescent="0.3">
      <c r="A8932" s="9">
        <v>8924</v>
      </c>
      <c r="B8932" s="10">
        <f t="shared" ca="1" si="139"/>
        <v>0.10169263132995017</v>
      </c>
      <c r="C8932" s="10">
        <f ca="1">NPV(B8932,Project_FCF!C18:J18)+Project_FCF!B18</f>
        <v>770.54191561201787</v>
      </c>
      <c r="D8932" s="4"/>
      <c r="E8932" s="4"/>
    </row>
    <row r="8933" spans="1:5" x14ac:dyDescent="0.3">
      <c r="A8933" s="9">
        <v>8925</v>
      </c>
      <c r="B8933" s="10">
        <f t="shared" ca="1" si="139"/>
        <v>7.912943732120406E-2</v>
      </c>
      <c r="C8933" s="10">
        <f ca="1">NPV(B8933,Project_FCF!C18:J18)+Project_FCF!B18</f>
        <v>945.69746477303556</v>
      </c>
      <c r="D8933" s="4"/>
      <c r="E8933" s="4"/>
    </row>
    <row r="8934" spans="1:5" x14ac:dyDescent="0.3">
      <c r="A8934" s="9">
        <v>8926</v>
      </c>
      <c r="B8934" s="10">
        <f t="shared" ca="1" si="139"/>
        <v>6.6006405465772675E-2</v>
      </c>
      <c r="C8934" s="10">
        <f ca="1">NPV(B8934,Project_FCF!C18:J18)+Project_FCF!B18</f>
        <v>1062.9399008444866</v>
      </c>
      <c r="D8934" s="4"/>
      <c r="E8934" s="4"/>
    </row>
    <row r="8935" spans="1:5" x14ac:dyDescent="0.3">
      <c r="A8935" s="9">
        <v>8927</v>
      </c>
      <c r="B8935" s="10">
        <f t="shared" ca="1" si="139"/>
        <v>8.6813062701276228E-2</v>
      </c>
      <c r="C8935" s="10">
        <f ca="1">NPV(B8935,Project_FCF!C18:J18)+Project_FCF!B18</f>
        <v>882.52978400745951</v>
      </c>
      <c r="D8935" s="4"/>
      <c r="E8935" s="4"/>
    </row>
    <row r="8936" spans="1:5" x14ac:dyDescent="0.3">
      <c r="A8936" s="9">
        <v>8928</v>
      </c>
      <c r="B8936" s="10">
        <f t="shared" ca="1" si="139"/>
        <v>7.8934236895021437E-2</v>
      </c>
      <c r="C8936" s="10">
        <f ca="1">NPV(B8936,Project_FCF!C18:J18)+Project_FCF!B18</f>
        <v>947.35287872766207</v>
      </c>
      <c r="D8936" s="4"/>
      <c r="E8936" s="4"/>
    </row>
    <row r="8937" spans="1:5" x14ac:dyDescent="0.3">
      <c r="A8937" s="9">
        <v>8929</v>
      </c>
      <c r="B8937" s="10">
        <f t="shared" ca="1" si="139"/>
        <v>9.3453789549147528E-2</v>
      </c>
      <c r="C8937" s="10">
        <f ca="1">NPV(B8937,Project_FCF!C18:J18)+Project_FCF!B18</f>
        <v>830.93623586247236</v>
      </c>
      <c r="D8937" s="4"/>
      <c r="E8937" s="4"/>
    </row>
    <row r="8938" spans="1:5" x14ac:dyDescent="0.3">
      <c r="A8938" s="9">
        <v>8930</v>
      </c>
      <c r="B8938" s="10">
        <f t="shared" ca="1" si="139"/>
        <v>7.503595042222537E-2</v>
      </c>
      <c r="C8938" s="10">
        <f ca="1">NPV(B8938,Project_FCF!C18:J18)+Project_FCF!B18</f>
        <v>980.95714581486914</v>
      </c>
      <c r="D8938" s="4"/>
      <c r="E8938" s="4"/>
    </row>
    <row r="8939" spans="1:5" x14ac:dyDescent="0.3">
      <c r="A8939" s="9">
        <v>8931</v>
      </c>
      <c r="B8939" s="10">
        <f t="shared" ca="1" si="139"/>
        <v>7.6077680503405881E-2</v>
      </c>
      <c r="C8939" s="10">
        <f ca="1">NPV(B8939,Project_FCF!C18:J18)+Project_FCF!B18</f>
        <v>971.87467579664076</v>
      </c>
      <c r="D8939" s="4"/>
      <c r="E8939" s="4"/>
    </row>
    <row r="8940" spans="1:5" x14ac:dyDescent="0.3">
      <c r="A8940" s="9">
        <v>8932</v>
      </c>
      <c r="B8940" s="10">
        <f t="shared" ca="1" si="139"/>
        <v>9.1966509735913346E-2</v>
      </c>
      <c r="C8940" s="10">
        <f ca="1">NPV(B8940,Project_FCF!C18:J18)+Project_FCF!B18</f>
        <v>842.25870182385893</v>
      </c>
      <c r="D8940" s="4"/>
      <c r="E8940" s="4"/>
    </row>
    <row r="8941" spans="1:5" x14ac:dyDescent="0.3">
      <c r="A8941" s="9">
        <v>8933</v>
      </c>
      <c r="B8941" s="10">
        <f t="shared" ca="1" si="139"/>
        <v>8.3011170352316269E-2</v>
      </c>
      <c r="C8941" s="10">
        <f ca="1">NPV(B8941,Project_FCF!C18:J18)+Project_FCF!B18</f>
        <v>913.30528276258588</v>
      </c>
      <c r="D8941" s="4"/>
      <c r="E8941" s="4"/>
    </row>
    <row r="8942" spans="1:5" x14ac:dyDescent="0.3">
      <c r="A8942" s="9">
        <v>8934</v>
      </c>
      <c r="B8942" s="10">
        <f t="shared" ca="1" si="139"/>
        <v>8.437892360598355E-2</v>
      </c>
      <c r="C8942" s="10">
        <f ca="1">NPV(B8942,Project_FCF!C18:J18)+Project_FCF!B18</f>
        <v>902.12699585202063</v>
      </c>
      <c r="D8942" s="4"/>
      <c r="E8942" s="4"/>
    </row>
    <row r="8943" spans="1:5" x14ac:dyDescent="0.3">
      <c r="A8943" s="9">
        <v>8935</v>
      </c>
      <c r="B8943" s="10">
        <f t="shared" ca="1" si="139"/>
        <v>7.104850826814596E-2</v>
      </c>
      <c r="C8943" s="10">
        <f ca="1">NPV(B8943,Project_FCF!C18:J18)+Project_FCF!B18</f>
        <v>1016.4295079863866</v>
      </c>
      <c r="D8943" s="4"/>
      <c r="E8943" s="4"/>
    </row>
    <row r="8944" spans="1:5" x14ac:dyDescent="0.3">
      <c r="A8944" s="9">
        <v>8936</v>
      </c>
      <c r="B8944" s="10">
        <f t="shared" ca="1" si="139"/>
        <v>6.7521546579468419E-2</v>
      </c>
      <c r="C8944" s="10">
        <f ca="1">NPV(B8944,Project_FCF!C18:J18)+Project_FCF!B18</f>
        <v>1048.7648105761307</v>
      </c>
      <c r="D8944" s="4"/>
      <c r="E8944" s="4"/>
    </row>
    <row r="8945" spans="1:5" x14ac:dyDescent="0.3">
      <c r="A8945" s="9">
        <v>8937</v>
      </c>
      <c r="B8945" s="10">
        <f t="shared" ca="1" si="139"/>
        <v>8.5254468105497194E-2</v>
      </c>
      <c r="C8945" s="10">
        <f ca="1">NPV(B8945,Project_FCF!C18:J18)+Project_FCF!B18</f>
        <v>895.0345942605577</v>
      </c>
      <c r="D8945" s="4"/>
      <c r="E8945" s="4"/>
    </row>
    <row r="8946" spans="1:5" x14ac:dyDescent="0.3">
      <c r="A8946" s="9">
        <v>8938</v>
      </c>
      <c r="B8946" s="10">
        <f t="shared" ca="1" si="139"/>
        <v>9.1395618499030759E-2</v>
      </c>
      <c r="C8946" s="10">
        <f ca="1">NPV(B8946,Project_FCF!C18:J18)+Project_FCF!B18</f>
        <v>846.63999393954987</v>
      </c>
      <c r="D8946" s="4"/>
      <c r="E8946" s="4"/>
    </row>
    <row r="8947" spans="1:5" x14ac:dyDescent="0.3">
      <c r="A8947" s="9">
        <v>8939</v>
      </c>
      <c r="B8947" s="10">
        <f t="shared" ca="1" si="139"/>
        <v>0.10193798840271769</v>
      </c>
      <c r="C8947" s="10">
        <f ca="1">NPV(B8947,Project_FCF!C18:J18)+Project_FCF!B18</f>
        <v>768.80202973607356</v>
      </c>
      <c r="D8947" s="4"/>
      <c r="E8947" s="4"/>
    </row>
    <row r="8948" spans="1:5" x14ac:dyDescent="0.3">
      <c r="A8948" s="9">
        <v>8940</v>
      </c>
      <c r="B8948" s="10">
        <f t="shared" ca="1" si="139"/>
        <v>9.9340030240162872E-2</v>
      </c>
      <c r="C8948" s="10">
        <f ca="1">NPV(B8948,Project_FCF!C18:J18)+Project_FCF!B18</f>
        <v>787.39409779059474</v>
      </c>
      <c r="D8948" s="4"/>
      <c r="E8948" s="4"/>
    </row>
    <row r="8949" spans="1:5" x14ac:dyDescent="0.3">
      <c r="A8949" s="9">
        <v>8941</v>
      </c>
      <c r="B8949" s="10">
        <f t="shared" ca="1" si="139"/>
        <v>7.8132089659537315E-2</v>
      </c>
      <c r="C8949" s="10">
        <f ca="1">NPV(B8949,Project_FCF!C18:J18)+Project_FCF!B18</f>
        <v>954.18260118535363</v>
      </c>
      <c r="D8949" s="4"/>
      <c r="E8949" s="4"/>
    </row>
    <row r="8950" spans="1:5" x14ac:dyDescent="0.3">
      <c r="A8950" s="9">
        <v>8942</v>
      </c>
      <c r="B8950" s="10">
        <f t="shared" ca="1" si="139"/>
        <v>7.0631678012075649E-2</v>
      </c>
      <c r="C8950" s="10">
        <f ca="1">NPV(B8950,Project_FCF!C18:J18)+Project_FCF!B18</f>
        <v>1020.2034648463111</v>
      </c>
      <c r="D8950" s="4"/>
      <c r="E8950" s="4"/>
    </row>
    <row r="8951" spans="1:5" x14ac:dyDescent="0.3">
      <c r="A8951" s="9">
        <v>8943</v>
      </c>
      <c r="B8951" s="10">
        <f t="shared" ca="1" si="139"/>
        <v>6.6338590195794425E-2</v>
      </c>
      <c r="C8951" s="10">
        <f ca="1">NPV(B8951,Project_FCF!C18:J18)+Project_FCF!B18</f>
        <v>1059.8172747496667</v>
      </c>
      <c r="D8951" s="4"/>
      <c r="E8951" s="4"/>
    </row>
    <row r="8952" spans="1:5" x14ac:dyDescent="0.3">
      <c r="A8952" s="9">
        <v>8944</v>
      </c>
      <c r="B8952" s="10">
        <f t="shared" ca="1" si="139"/>
        <v>6.6801605646845508E-2</v>
      </c>
      <c r="C8952" s="10">
        <f ca="1">NPV(B8952,Project_FCF!C18:J18)+Project_FCF!B18</f>
        <v>1055.4787309611088</v>
      </c>
      <c r="D8952" s="4"/>
      <c r="E8952" s="4"/>
    </row>
    <row r="8953" spans="1:5" x14ac:dyDescent="0.3">
      <c r="A8953" s="9">
        <v>8945</v>
      </c>
      <c r="B8953" s="10">
        <f t="shared" ca="1" si="139"/>
        <v>7.4619176915247568E-2</v>
      </c>
      <c r="C8953" s="10">
        <f ca="1">NPV(B8953,Project_FCF!C18:J18)+Project_FCF!B18</f>
        <v>984.6120521057494</v>
      </c>
      <c r="D8953" s="4"/>
      <c r="E8953" s="4"/>
    </row>
    <row r="8954" spans="1:5" x14ac:dyDescent="0.3">
      <c r="A8954" s="9">
        <v>8946</v>
      </c>
      <c r="B8954" s="10">
        <f t="shared" ca="1" si="139"/>
        <v>9.5292930951657417E-2</v>
      </c>
      <c r="C8954" s="10">
        <f ca="1">NPV(B8954,Project_FCF!C18:J18)+Project_FCF!B18</f>
        <v>817.11611575891106</v>
      </c>
      <c r="D8954" s="4"/>
      <c r="E8954" s="4"/>
    </row>
    <row r="8955" spans="1:5" x14ac:dyDescent="0.3">
      <c r="A8955" s="9">
        <v>8947</v>
      </c>
      <c r="B8955" s="10">
        <f t="shared" ca="1" si="139"/>
        <v>8.7101930281994311E-2</v>
      </c>
      <c r="C8955" s="10">
        <f ca="1">NPV(B8955,Project_FCF!C18:J18)+Project_FCF!B18</f>
        <v>880.22899931208167</v>
      </c>
      <c r="D8955" s="4"/>
      <c r="E8955" s="4"/>
    </row>
    <row r="8956" spans="1:5" x14ac:dyDescent="0.3">
      <c r="A8956" s="9">
        <v>8948</v>
      </c>
      <c r="B8956" s="10">
        <f t="shared" ca="1" si="139"/>
        <v>8.7149721903869742E-2</v>
      </c>
      <c r="C8956" s="10">
        <f ca="1">NPV(B8956,Project_FCF!C18:J18)+Project_FCF!B18</f>
        <v>879.84885135799095</v>
      </c>
      <c r="D8956" s="4"/>
      <c r="E8956" s="4"/>
    </row>
    <row r="8957" spans="1:5" x14ac:dyDescent="0.3">
      <c r="A8957" s="9">
        <v>8949</v>
      </c>
      <c r="B8957" s="10">
        <f t="shared" ca="1" si="139"/>
        <v>8.6858147177206843E-2</v>
      </c>
      <c r="C8957" s="10">
        <f ca="1">NPV(B8957,Project_FCF!C18:J18)+Project_FCF!B18</f>
        <v>882.1703481574084</v>
      </c>
      <c r="D8957" s="4"/>
      <c r="E8957" s="4"/>
    </row>
    <row r="8958" spans="1:5" x14ac:dyDescent="0.3">
      <c r="A8958" s="9">
        <v>8950</v>
      </c>
      <c r="B8958" s="10">
        <f t="shared" ca="1" si="139"/>
        <v>7.4443458452743833E-2</v>
      </c>
      <c r="C8958" s="10">
        <f ca="1">NPV(B8958,Project_FCF!C18:J18)+Project_FCF!B18</f>
        <v>986.1566701741051</v>
      </c>
      <c r="D8958" s="4"/>
      <c r="E8958" s="4"/>
    </row>
    <row r="8959" spans="1:5" x14ac:dyDescent="0.3">
      <c r="A8959" s="9">
        <v>8951</v>
      </c>
      <c r="B8959" s="10">
        <f t="shared" ca="1" si="139"/>
        <v>9.6882883379037055E-2</v>
      </c>
      <c r="C8959" s="10">
        <f ca="1">NPV(B8959,Project_FCF!C18:J18)+Project_FCF!B18</f>
        <v>805.3275006976462</v>
      </c>
      <c r="D8959" s="4"/>
      <c r="E8959" s="4"/>
    </row>
    <row r="8960" spans="1:5" x14ac:dyDescent="0.3">
      <c r="A8960" s="9">
        <v>8952</v>
      </c>
      <c r="B8960" s="10">
        <f t="shared" ca="1" si="139"/>
        <v>6.4281155436904852E-2</v>
      </c>
      <c r="C8960" s="10">
        <f ca="1">NPV(B8960,Project_FCF!C18:J18)+Project_FCF!B18</f>
        <v>1079.2930141614715</v>
      </c>
      <c r="D8960" s="4"/>
      <c r="E8960" s="4"/>
    </row>
    <row r="8961" spans="1:5" x14ac:dyDescent="0.3">
      <c r="A8961" s="9">
        <v>8953</v>
      </c>
      <c r="B8961" s="10">
        <f t="shared" ca="1" si="139"/>
        <v>9.3918743785169734E-2</v>
      </c>
      <c r="C8961" s="10">
        <f ca="1">NPV(B8961,Project_FCF!C18:J18)+Project_FCF!B18</f>
        <v>827.42356826511173</v>
      </c>
      <c r="D8961" s="4"/>
      <c r="E8961" s="4"/>
    </row>
    <row r="8962" spans="1:5" x14ac:dyDescent="0.3">
      <c r="A8962" s="9">
        <v>8954</v>
      </c>
      <c r="B8962" s="10">
        <f t="shared" ca="1" si="139"/>
        <v>0.10128974507132205</v>
      </c>
      <c r="C8962" s="10">
        <f ca="1">NPV(B8962,Project_FCF!C18:J18)+Project_FCF!B18</f>
        <v>773.40607249515938</v>
      </c>
      <c r="D8962" s="4"/>
      <c r="E8962" s="4"/>
    </row>
    <row r="8963" spans="1:5" x14ac:dyDescent="0.3">
      <c r="A8963" s="9">
        <v>8955</v>
      </c>
      <c r="B8963" s="10">
        <f t="shared" ca="1" si="139"/>
        <v>9.9371021214731306E-2</v>
      </c>
      <c r="C8963" s="10">
        <f ca="1">NPV(B8963,Project_FCF!C18:J18)+Project_FCF!B18</f>
        <v>787.17009445614235</v>
      </c>
      <c r="D8963" s="4"/>
      <c r="E8963" s="4"/>
    </row>
    <row r="8964" spans="1:5" x14ac:dyDescent="0.3">
      <c r="A8964" s="9">
        <v>8956</v>
      </c>
      <c r="B8964" s="10">
        <f t="shared" ca="1" si="139"/>
        <v>6.966045597783993E-2</v>
      </c>
      <c r="C8964" s="10">
        <f ca="1">NPV(B8964,Project_FCF!C18:J18)+Project_FCF!B18</f>
        <v>1029.0459846025117</v>
      </c>
      <c r="D8964" s="4"/>
      <c r="E8964" s="4"/>
    </row>
    <row r="8965" spans="1:5" x14ac:dyDescent="0.3">
      <c r="A8965" s="9">
        <v>8957</v>
      </c>
      <c r="B8965" s="10">
        <f t="shared" ca="1" si="139"/>
        <v>9.0827958160645511E-2</v>
      </c>
      <c r="C8965" s="10">
        <f ca="1">NPV(B8965,Project_FCF!C18:J18)+Project_FCF!B18</f>
        <v>851.01598878398272</v>
      </c>
      <c r="D8965" s="4"/>
      <c r="E8965" s="4"/>
    </row>
    <row r="8966" spans="1:5" x14ac:dyDescent="0.3">
      <c r="A8966" s="9">
        <v>8958</v>
      </c>
      <c r="B8966" s="10">
        <f t="shared" ca="1" si="139"/>
        <v>7.9227440211233152E-2</v>
      </c>
      <c r="C8966" s="10">
        <f ca="1">NPV(B8966,Project_FCF!C18:J18)+Project_FCF!B18</f>
        <v>944.86731101306827</v>
      </c>
      <c r="D8966" s="4"/>
      <c r="E8966" s="4"/>
    </row>
    <row r="8967" spans="1:5" x14ac:dyDescent="0.3">
      <c r="A8967" s="9">
        <v>8959</v>
      </c>
      <c r="B8967" s="10">
        <f t="shared" ca="1" si="139"/>
        <v>7.232873348840381E-2</v>
      </c>
      <c r="C8967" s="10">
        <f ca="1">NPV(B8967,Project_FCF!C18:J18)+Project_FCF!B18</f>
        <v>1004.9169656927486</v>
      </c>
      <c r="D8967" s="4"/>
      <c r="E8967" s="4"/>
    </row>
    <row r="8968" spans="1:5" x14ac:dyDescent="0.3">
      <c r="A8968" s="9">
        <v>8960</v>
      </c>
      <c r="B8968" s="10">
        <f t="shared" ca="1" si="139"/>
        <v>6.5337176208504488E-2</v>
      </c>
      <c r="C8968" s="10">
        <f ca="1">NPV(B8968,Project_FCF!C18:J18)+Project_FCF!B18</f>
        <v>1069.2562986799585</v>
      </c>
      <c r="D8968" s="4"/>
      <c r="E8968" s="4"/>
    </row>
    <row r="8969" spans="1:5" x14ac:dyDescent="0.3">
      <c r="A8969" s="9">
        <v>8961</v>
      </c>
      <c r="B8969" s="10">
        <f t="shared" ref="B8969:B9032" ca="1" si="140">$B$4+RAND()*($B$5-$B$4)</f>
        <v>9.7219196014282444E-2</v>
      </c>
      <c r="C8969" s="10">
        <f ca="1">NPV(B8969,Project_FCF!C18:J18)+Project_FCF!B18</f>
        <v>802.85261061302731</v>
      </c>
      <c r="D8969" s="4"/>
      <c r="E8969" s="4"/>
    </row>
    <row r="8970" spans="1:5" x14ac:dyDescent="0.3">
      <c r="A8970" s="9">
        <v>8962</v>
      </c>
      <c r="B8970" s="10">
        <f t="shared" ca="1" si="140"/>
        <v>7.9716319234549804E-2</v>
      </c>
      <c r="C8970" s="10">
        <f ca="1">NPV(B8970,Project_FCF!C18:J18)+Project_FCF!B18</f>
        <v>940.73580427069419</v>
      </c>
      <c r="D8970" s="4"/>
      <c r="E8970" s="4"/>
    </row>
    <row r="8971" spans="1:5" x14ac:dyDescent="0.3">
      <c r="A8971" s="9">
        <v>8963</v>
      </c>
      <c r="B8971" s="10">
        <f t="shared" ca="1" si="140"/>
        <v>8.716341640483001E-2</v>
      </c>
      <c r="C8971" s="10">
        <f ca="1">NPV(B8971,Project_FCF!C18:J18)+Project_FCF!B18</f>
        <v>879.73994784836941</v>
      </c>
      <c r="D8971" s="4"/>
      <c r="E8971" s="4"/>
    </row>
    <row r="8972" spans="1:5" x14ac:dyDescent="0.3">
      <c r="A8972" s="9">
        <v>8964</v>
      </c>
      <c r="B8972" s="10">
        <f t="shared" ca="1" si="140"/>
        <v>7.8883269205715797E-2</v>
      </c>
      <c r="C8972" s="10">
        <f ca="1">NPV(B8972,Project_FCF!C18:J18)+Project_FCF!B18</f>
        <v>947.78553775657201</v>
      </c>
      <c r="D8972" s="4"/>
      <c r="E8972" s="4"/>
    </row>
    <row r="8973" spans="1:5" x14ac:dyDescent="0.3">
      <c r="A8973" s="9">
        <v>8965</v>
      </c>
      <c r="B8973" s="10">
        <f t="shared" ca="1" si="140"/>
        <v>7.8660360706909321E-2</v>
      </c>
      <c r="C8973" s="10">
        <f ca="1">NPV(B8973,Project_FCF!C18:J18)+Project_FCF!B18</f>
        <v>949.67984510349743</v>
      </c>
      <c r="D8973" s="4"/>
      <c r="E8973" s="4"/>
    </row>
    <row r="8974" spans="1:5" x14ac:dyDescent="0.3">
      <c r="A8974" s="9">
        <v>8966</v>
      </c>
      <c r="B8974" s="10">
        <f t="shared" ca="1" si="140"/>
        <v>9.6184914092372467E-2</v>
      </c>
      <c r="C8974" s="10">
        <f ca="1">NPV(B8974,Project_FCF!C18:J18)+Project_FCF!B18</f>
        <v>810.48454731534775</v>
      </c>
      <c r="D8974" s="4"/>
      <c r="E8974" s="4"/>
    </row>
    <row r="8975" spans="1:5" x14ac:dyDescent="0.3">
      <c r="A8975" s="9">
        <v>8967</v>
      </c>
      <c r="B8975" s="10">
        <f t="shared" ca="1" si="140"/>
        <v>8.0949504221040053E-2</v>
      </c>
      <c r="C8975" s="10">
        <f ca="1">NPV(B8975,Project_FCF!C18:J18)+Project_FCF!B18</f>
        <v>930.38517551601512</v>
      </c>
      <c r="D8975" s="4"/>
      <c r="E8975" s="4"/>
    </row>
    <row r="8976" spans="1:5" x14ac:dyDescent="0.3">
      <c r="A8976" s="9">
        <v>8968</v>
      </c>
      <c r="B8976" s="10">
        <f t="shared" ca="1" si="140"/>
        <v>9.6089023709014398E-2</v>
      </c>
      <c r="C8976" s="10">
        <f ca="1">NPV(B8976,Project_FCF!C18:J18)+Project_FCF!B18</f>
        <v>811.19524394694781</v>
      </c>
      <c r="D8976" s="4"/>
      <c r="E8976" s="4"/>
    </row>
    <row r="8977" spans="1:5" x14ac:dyDescent="0.3">
      <c r="A8977" s="9">
        <v>8969</v>
      </c>
      <c r="B8977" s="10">
        <f t="shared" ca="1" si="140"/>
        <v>8.5161507323192498E-2</v>
      </c>
      <c r="C8977" s="10">
        <f ca="1">NPV(B8977,Project_FCF!C18:J18)+Project_FCF!B18</f>
        <v>895.78530316091519</v>
      </c>
      <c r="D8977" s="4"/>
      <c r="E8977" s="4"/>
    </row>
    <row r="8978" spans="1:5" x14ac:dyDescent="0.3">
      <c r="A8978" s="9">
        <v>8970</v>
      </c>
      <c r="B8978" s="10">
        <f t="shared" ca="1" si="140"/>
        <v>0.10128840354119996</v>
      </c>
      <c r="C8978" s="10">
        <f ca="1">NPV(B8978,Project_FCF!C18:J18)+Project_FCF!B18</f>
        <v>773.41562452643984</v>
      </c>
      <c r="D8978" s="4"/>
      <c r="E8978" s="4"/>
    </row>
    <row r="8979" spans="1:5" x14ac:dyDescent="0.3">
      <c r="A8979" s="9">
        <v>8971</v>
      </c>
      <c r="B8979" s="10">
        <f t="shared" ca="1" si="140"/>
        <v>8.9320017057303941E-2</v>
      </c>
      <c r="C8979" s="10">
        <f ca="1">NPV(B8979,Project_FCF!C18:J18)+Project_FCF!B18</f>
        <v>862.73561585537004</v>
      </c>
      <c r="D8979" s="4"/>
      <c r="E8979" s="4"/>
    </row>
    <row r="8980" spans="1:5" x14ac:dyDescent="0.3">
      <c r="A8980" s="9">
        <v>8972</v>
      </c>
      <c r="B8980" s="10">
        <f t="shared" ca="1" si="140"/>
        <v>7.2179302305327986E-2</v>
      </c>
      <c r="C8980" s="10">
        <f ca="1">NPV(B8980,Project_FCF!C18:J18)+Project_FCF!B18</f>
        <v>1006.2546592487954</v>
      </c>
      <c r="D8980" s="4"/>
      <c r="E8980" s="4"/>
    </row>
    <row r="8981" spans="1:5" x14ac:dyDescent="0.3">
      <c r="A8981" s="9">
        <v>8973</v>
      </c>
      <c r="B8981" s="10">
        <f t="shared" ca="1" si="140"/>
        <v>9.2379196182569359E-2</v>
      </c>
      <c r="C8981" s="10">
        <f ca="1">NPV(B8981,Project_FCF!C18:J18)+Project_FCF!B18</f>
        <v>839.10373811149861</v>
      </c>
      <c r="D8981" s="4"/>
      <c r="E8981" s="4"/>
    </row>
    <row r="8982" spans="1:5" x14ac:dyDescent="0.3">
      <c r="A8982" s="9">
        <v>8974</v>
      </c>
      <c r="B8982" s="10">
        <f t="shared" ca="1" si="140"/>
        <v>7.1597506060037494E-2</v>
      </c>
      <c r="C8982" s="10">
        <f ca="1">NPV(B8982,Project_FCF!C18:J18)+Project_FCF!B18</f>
        <v>1011.4781251358495</v>
      </c>
      <c r="D8982" s="4"/>
      <c r="E8982" s="4"/>
    </row>
    <row r="8983" spans="1:5" x14ac:dyDescent="0.3">
      <c r="A8983" s="9">
        <v>8975</v>
      </c>
      <c r="B8983" s="10">
        <f t="shared" ca="1" si="140"/>
        <v>7.2296309776723494E-2</v>
      </c>
      <c r="C8983" s="10">
        <f ca="1">NPV(B8983,Project_FCF!C18:J18)+Project_FCF!B18</f>
        <v>1005.2070836452503</v>
      </c>
      <c r="D8983" s="4"/>
      <c r="E8983" s="4"/>
    </row>
    <row r="8984" spans="1:5" x14ac:dyDescent="0.3">
      <c r="A8984" s="9">
        <v>8976</v>
      </c>
      <c r="B8984" s="10">
        <f t="shared" ca="1" si="140"/>
        <v>7.3181137360178325E-2</v>
      </c>
      <c r="C8984" s="10">
        <f ca="1">NPV(B8984,Project_FCF!C18:J18)+Project_FCF!B18</f>
        <v>997.31685723977398</v>
      </c>
      <c r="D8984" s="4"/>
      <c r="E8984" s="4"/>
    </row>
    <row r="8985" spans="1:5" x14ac:dyDescent="0.3">
      <c r="A8985" s="9">
        <v>8977</v>
      </c>
      <c r="B8985" s="10">
        <f t="shared" ca="1" si="140"/>
        <v>6.5413649734369736E-2</v>
      </c>
      <c r="C8985" s="10">
        <f ca="1">NPV(B8985,Project_FCF!C18:J18)+Project_FCF!B18</f>
        <v>1068.5327901910109</v>
      </c>
      <c r="D8985" s="4"/>
      <c r="E8985" s="4"/>
    </row>
    <row r="8986" spans="1:5" x14ac:dyDescent="0.3">
      <c r="A8986" s="9">
        <v>8978</v>
      </c>
      <c r="B8986" s="10">
        <f t="shared" ca="1" si="140"/>
        <v>6.9498897967019121E-2</v>
      </c>
      <c r="C8986" s="10">
        <f ca="1">NPV(B8986,Project_FCF!C18:J18)+Project_FCF!B18</f>
        <v>1030.5235956045206</v>
      </c>
      <c r="D8986" s="4"/>
      <c r="E8986" s="4"/>
    </row>
    <row r="8987" spans="1:5" x14ac:dyDescent="0.3">
      <c r="A8987" s="9">
        <v>8979</v>
      </c>
      <c r="B8987" s="10">
        <f t="shared" ca="1" si="140"/>
        <v>9.8812751726275155E-2</v>
      </c>
      <c r="C8987" s="10">
        <f ca="1">NPV(B8987,Project_FCF!C18:J18)+Project_FCF!B18</f>
        <v>791.21356352475846</v>
      </c>
      <c r="D8987" s="4"/>
      <c r="E8987" s="4"/>
    </row>
    <row r="8988" spans="1:5" x14ac:dyDescent="0.3">
      <c r="A8988" s="9">
        <v>8980</v>
      </c>
      <c r="B8988" s="10">
        <f t="shared" ca="1" si="140"/>
        <v>9.3819068366721492E-2</v>
      </c>
      <c r="C8988" s="10">
        <f ca="1">NPV(B8988,Project_FCF!C18:J18)+Project_FCF!B18</f>
        <v>828.17552704803438</v>
      </c>
      <c r="D8988" s="4"/>
      <c r="E8988" s="4"/>
    </row>
    <row r="8989" spans="1:5" x14ac:dyDescent="0.3">
      <c r="A8989" s="9">
        <v>8981</v>
      </c>
      <c r="B8989" s="10">
        <f t="shared" ca="1" si="140"/>
        <v>7.7253066068664902E-2</v>
      </c>
      <c r="C8989" s="10">
        <f ca="1">NPV(B8989,Project_FCF!C18:J18)+Project_FCF!B18</f>
        <v>961.7171110653569</v>
      </c>
      <c r="D8989" s="4"/>
      <c r="E8989" s="4"/>
    </row>
    <row r="8990" spans="1:5" x14ac:dyDescent="0.3">
      <c r="A8990" s="9">
        <v>8982</v>
      </c>
      <c r="B8990" s="10">
        <f t="shared" ca="1" si="140"/>
        <v>9.6974397796714767E-2</v>
      </c>
      <c r="C8990" s="10">
        <f ca="1">NPV(B8990,Project_FCF!C18:J18)+Project_FCF!B18</f>
        <v>804.65341269854162</v>
      </c>
      <c r="D8990" s="4"/>
      <c r="E8990" s="4"/>
    </row>
    <row r="8991" spans="1:5" x14ac:dyDescent="0.3">
      <c r="A8991" s="9">
        <v>8983</v>
      </c>
      <c r="B8991" s="10">
        <f t="shared" ca="1" si="140"/>
        <v>6.7152414702338029E-2</v>
      </c>
      <c r="C8991" s="10">
        <f ca="1">NPV(B8991,Project_FCF!C18:J18)+Project_FCF!B18</f>
        <v>1052.2023435941339</v>
      </c>
      <c r="D8991" s="4"/>
      <c r="E8991" s="4"/>
    </row>
    <row r="8992" spans="1:5" x14ac:dyDescent="0.3">
      <c r="A8992" s="9">
        <v>8984</v>
      </c>
      <c r="B8992" s="10">
        <f t="shared" ca="1" si="140"/>
        <v>7.9483948280005545E-2</v>
      </c>
      <c r="C8992" s="10">
        <f ca="1">NPV(B8992,Project_FCF!C18:J18)+Project_FCF!B18</f>
        <v>942.69756511544438</v>
      </c>
      <c r="D8992" s="4"/>
      <c r="E8992" s="4"/>
    </row>
    <row r="8993" spans="1:5" x14ac:dyDescent="0.3">
      <c r="A8993" s="9">
        <v>8985</v>
      </c>
      <c r="B8993" s="10">
        <f t="shared" ca="1" si="140"/>
        <v>8.5050437824761918E-2</v>
      </c>
      <c r="C8993" s="10">
        <f ca="1">NPV(B8993,Project_FCF!C18:J18)+Project_FCF!B18</f>
        <v>896.68297276158273</v>
      </c>
      <c r="D8993" s="4"/>
      <c r="E8993" s="4"/>
    </row>
    <row r="8994" spans="1:5" x14ac:dyDescent="0.3">
      <c r="A8994" s="9">
        <v>8986</v>
      </c>
      <c r="B8994" s="10">
        <f t="shared" ca="1" si="140"/>
        <v>7.8869851532335708E-2</v>
      </c>
      <c r="C8994" s="10">
        <f ca="1">NPV(B8994,Project_FCF!C18:J18)+Project_FCF!B18</f>
        <v>947.89946804933743</v>
      </c>
      <c r="D8994" s="4"/>
      <c r="E8994" s="4"/>
    </row>
    <row r="8995" spans="1:5" x14ac:dyDescent="0.3">
      <c r="A8995" s="9">
        <v>8987</v>
      </c>
      <c r="B8995" s="10">
        <f t="shared" ca="1" si="140"/>
        <v>7.2431020202830973E-2</v>
      </c>
      <c r="C8995" s="10">
        <f ca="1">NPV(B8995,Project_FCF!C18:J18)+Project_FCF!B18</f>
        <v>1004.0022274285479</v>
      </c>
      <c r="D8995" s="4"/>
      <c r="E8995" s="4"/>
    </row>
    <row r="8996" spans="1:5" x14ac:dyDescent="0.3">
      <c r="A8996" s="9">
        <v>8988</v>
      </c>
      <c r="B8996" s="10">
        <f t="shared" ca="1" si="140"/>
        <v>8.8022782763934562E-2</v>
      </c>
      <c r="C8996" s="10">
        <f ca="1">NPV(B8996,Project_FCF!C18:J18)+Project_FCF!B18</f>
        <v>872.92941211043808</v>
      </c>
      <c r="D8996" s="4"/>
      <c r="E8996" s="4"/>
    </row>
    <row r="8997" spans="1:5" x14ac:dyDescent="0.3">
      <c r="A8997" s="9">
        <v>8989</v>
      </c>
      <c r="B8997" s="10">
        <f t="shared" ca="1" si="140"/>
        <v>7.3763393113669501E-2</v>
      </c>
      <c r="C8997" s="10">
        <f ca="1">NPV(B8997,Project_FCF!C18:J18)+Project_FCF!B18</f>
        <v>992.15513323118057</v>
      </c>
      <c r="D8997" s="4"/>
      <c r="E8997" s="4"/>
    </row>
    <row r="8998" spans="1:5" x14ac:dyDescent="0.3">
      <c r="A8998" s="9">
        <v>8990</v>
      </c>
      <c r="B8998" s="10">
        <f t="shared" ca="1" si="140"/>
        <v>0.10361063336375081</v>
      </c>
      <c r="C8998" s="10">
        <f ca="1">NPV(B8998,Project_FCF!C18:J18)+Project_FCF!B18</f>
        <v>757.02866820444342</v>
      </c>
      <c r="D8998" s="4"/>
      <c r="E8998" s="4"/>
    </row>
    <row r="8999" spans="1:5" x14ac:dyDescent="0.3">
      <c r="A8999" s="9">
        <v>8991</v>
      </c>
      <c r="B8999" s="10">
        <f t="shared" ca="1" si="140"/>
        <v>9.5623253481465609E-2</v>
      </c>
      <c r="C8999" s="10">
        <f ca="1">NPV(B8999,Project_FCF!C18:J18)+Project_FCF!B18</f>
        <v>814.65490197240979</v>
      </c>
      <c r="D8999" s="4"/>
      <c r="E8999" s="4"/>
    </row>
    <row r="9000" spans="1:5" x14ac:dyDescent="0.3">
      <c r="A9000" s="9">
        <v>8992</v>
      </c>
      <c r="B9000" s="10">
        <f t="shared" ca="1" si="140"/>
        <v>8.7022319124739789E-2</v>
      </c>
      <c r="C9000" s="10">
        <f ca="1">NPV(B9000,Project_FCF!C18:J18)+Project_FCF!B18</f>
        <v>880.8625667733977</v>
      </c>
      <c r="D9000" s="4"/>
      <c r="E9000" s="4"/>
    </row>
    <row r="9001" spans="1:5" x14ac:dyDescent="0.3">
      <c r="A9001" s="9">
        <v>8993</v>
      </c>
      <c r="B9001" s="10">
        <f t="shared" ca="1" si="140"/>
        <v>9.9573300378014956E-2</v>
      </c>
      <c r="C9001" s="10">
        <f ca="1">NPV(B9001,Project_FCF!C18:J18)+Project_FCF!B18</f>
        <v>785.70934233447338</v>
      </c>
      <c r="D9001" s="4"/>
      <c r="E9001" s="4"/>
    </row>
    <row r="9002" spans="1:5" x14ac:dyDescent="0.3">
      <c r="A9002" s="9">
        <v>8994</v>
      </c>
      <c r="B9002" s="10">
        <f t="shared" ca="1" si="140"/>
        <v>0.10258124346729897</v>
      </c>
      <c r="C9002" s="10">
        <f ca="1">NPV(B9002,Project_FCF!C18:J18)+Project_FCF!B18</f>
        <v>764.25623851324917</v>
      </c>
      <c r="D9002" s="4"/>
      <c r="E9002" s="4"/>
    </row>
    <row r="9003" spans="1:5" x14ac:dyDescent="0.3">
      <c r="A9003" s="9">
        <v>8995</v>
      </c>
      <c r="B9003" s="10">
        <f t="shared" ca="1" si="140"/>
        <v>9.3053292759448347E-2</v>
      </c>
      <c r="C9003" s="10">
        <f ca="1">NPV(B9003,Project_FCF!C18:J18)+Project_FCF!B18</f>
        <v>833.97220061884377</v>
      </c>
      <c r="D9003" s="4"/>
      <c r="E9003" s="4"/>
    </row>
    <row r="9004" spans="1:5" x14ac:dyDescent="0.3">
      <c r="A9004" s="9">
        <v>8996</v>
      </c>
      <c r="B9004" s="10">
        <f t="shared" ca="1" si="140"/>
        <v>7.9151602090747855E-2</v>
      </c>
      <c r="C9004" s="10">
        <f ca="1">NPV(B9004,Project_FCF!C18:J18)+Project_FCF!B18</f>
        <v>945.50965690777616</v>
      </c>
      <c r="D9004" s="4"/>
      <c r="E9004" s="4"/>
    </row>
    <row r="9005" spans="1:5" x14ac:dyDescent="0.3">
      <c r="A9005" s="9">
        <v>8997</v>
      </c>
      <c r="B9005" s="10">
        <f t="shared" ca="1" si="140"/>
        <v>6.9682770154104984E-2</v>
      </c>
      <c r="C9005" s="10">
        <f ca="1">NPV(B9005,Project_FCF!C18:J18)+Project_FCF!B18</f>
        <v>1028.8420496209033</v>
      </c>
      <c r="D9005" s="4"/>
      <c r="E9005" s="4"/>
    </row>
    <row r="9006" spans="1:5" x14ac:dyDescent="0.3">
      <c r="A9006" s="9">
        <v>8998</v>
      </c>
      <c r="B9006" s="10">
        <f t="shared" ca="1" si="140"/>
        <v>7.6297917022619011E-2</v>
      </c>
      <c r="C9006" s="10">
        <f ca="1">NPV(B9006,Project_FCF!C18:J18)+Project_FCF!B18</f>
        <v>969.96416046068862</v>
      </c>
      <c r="D9006" s="4"/>
      <c r="E9006" s="4"/>
    </row>
    <row r="9007" spans="1:5" x14ac:dyDescent="0.3">
      <c r="A9007" s="9">
        <v>8999</v>
      </c>
      <c r="B9007" s="10">
        <f t="shared" ca="1" si="140"/>
        <v>9.5669745240185261E-2</v>
      </c>
      <c r="C9007" s="10">
        <f ca="1">NPV(B9007,Project_FCF!C18:J18)+Project_FCF!B18</f>
        <v>814.30900401554391</v>
      </c>
      <c r="D9007" s="4"/>
      <c r="E9007" s="4"/>
    </row>
    <row r="9008" spans="1:5" x14ac:dyDescent="0.3">
      <c r="A9008" s="9">
        <v>9000</v>
      </c>
      <c r="B9008" s="10">
        <f t="shared" ca="1" si="140"/>
        <v>8.6148485372236197E-2</v>
      </c>
      <c r="C9008" s="10">
        <f ca="1">NPV(B9008,Project_FCF!C18:J18)+Project_FCF!B18</f>
        <v>887.84297617559378</v>
      </c>
      <c r="D9008" s="4"/>
      <c r="E9008" s="4"/>
    </row>
    <row r="9009" spans="1:5" x14ac:dyDescent="0.3">
      <c r="A9009" s="9">
        <v>9001</v>
      </c>
      <c r="B9009" s="10">
        <f t="shared" ca="1" si="140"/>
        <v>0.10397754656407254</v>
      </c>
      <c r="C9009" s="10">
        <f ca="1">NPV(B9009,Project_FCF!C18:J18)+Project_FCF!B18</f>
        <v>754.46638617848203</v>
      </c>
      <c r="D9009" s="4"/>
      <c r="E9009" s="4"/>
    </row>
    <row r="9010" spans="1:5" x14ac:dyDescent="0.3">
      <c r="A9010" s="9">
        <v>9002</v>
      </c>
      <c r="B9010" s="10">
        <f t="shared" ca="1" si="140"/>
        <v>9.7824136304430959E-2</v>
      </c>
      <c r="C9010" s="10">
        <f ca="1">NPV(B9010,Project_FCF!C18:J18)+Project_FCF!B18</f>
        <v>798.41721452605816</v>
      </c>
      <c r="D9010" s="4"/>
      <c r="E9010" s="4"/>
    </row>
    <row r="9011" spans="1:5" x14ac:dyDescent="0.3">
      <c r="A9011" s="9">
        <v>9003</v>
      </c>
      <c r="B9011" s="10">
        <f t="shared" ca="1" si="140"/>
        <v>9.1104425489592425E-2</v>
      </c>
      <c r="C9011" s="10">
        <f ca="1">NPV(B9011,Project_FCF!C18:J18)+Project_FCF!B18</f>
        <v>848.88231525967899</v>
      </c>
      <c r="D9011" s="4"/>
      <c r="E9011" s="4"/>
    </row>
    <row r="9012" spans="1:5" x14ac:dyDescent="0.3">
      <c r="A9012" s="9">
        <v>9004</v>
      </c>
      <c r="B9012" s="10">
        <f t="shared" ca="1" si="140"/>
        <v>9.8864691422404533E-2</v>
      </c>
      <c r="C9012" s="10">
        <f ca="1">NPV(B9012,Project_FCF!C18:J18)+Project_FCF!B18</f>
        <v>790.83663005453741</v>
      </c>
      <c r="D9012" s="4"/>
      <c r="E9012" s="4"/>
    </row>
    <row r="9013" spans="1:5" x14ac:dyDescent="0.3">
      <c r="A9013" s="9">
        <v>9005</v>
      </c>
      <c r="B9013" s="10">
        <f t="shared" ca="1" si="140"/>
        <v>0.10040145236541081</v>
      </c>
      <c r="C9013" s="10">
        <f ca="1">NPV(B9013,Project_FCF!C18:J18)+Project_FCF!B18</f>
        <v>779.75276562911768</v>
      </c>
      <c r="D9013" s="4"/>
      <c r="E9013" s="4"/>
    </row>
    <row r="9014" spans="1:5" x14ac:dyDescent="0.3">
      <c r="A9014" s="9">
        <v>9006</v>
      </c>
      <c r="B9014" s="10">
        <f t="shared" ca="1" si="140"/>
        <v>6.7630448025889828E-2</v>
      </c>
      <c r="C9014" s="10">
        <f ca="1">NPV(B9014,Project_FCF!C18:J18)+Project_FCF!B18</f>
        <v>1047.7526182773004</v>
      </c>
      <c r="D9014" s="4"/>
      <c r="E9014" s="4"/>
    </row>
    <row r="9015" spans="1:5" x14ac:dyDescent="0.3">
      <c r="A9015" s="9">
        <v>9007</v>
      </c>
      <c r="B9015" s="10">
        <f t="shared" ca="1" si="140"/>
        <v>9.3142333292052668E-2</v>
      </c>
      <c r="C9015" s="10">
        <f ca="1">NPV(B9015,Project_FCF!C18:J18)+Project_FCF!B18</f>
        <v>833.29640595332876</v>
      </c>
      <c r="D9015" s="4"/>
      <c r="E9015" s="4"/>
    </row>
    <row r="9016" spans="1:5" x14ac:dyDescent="0.3">
      <c r="A9016" s="9">
        <v>9008</v>
      </c>
      <c r="B9016" s="10">
        <f t="shared" ca="1" si="140"/>
        <v>9.9558769422244703E-2</v>
      </c>
      <c r="C9016" s="10">
        <f ca="1">NPV(B9016,Project_FCF!C18:J18)+Project_FCF!B18</f>
        <v>785.81420055757576</v>
      </c>
      <c r="D9016" s="4"/>
      <c r="E9016" s="4"/>
    </row>
    <row r="9017" spans="1:5" x14ac:dyDescent="0.3">
      <c r="A9017" s="9">
        <v>9009</v>
      </c>
      <c r="B9017" s="10">
        <f t="shared" ca="1" si="140"/>
        <v>7.6934032072131869E-2</v>
      </c>
      <c r="C9017" s="10">
        <f ca="1">NPV(B9017,Project_FCF!C18:J18)+Project_FCF!B18</f>
        <v>964.46476878528551</v>
      </c>
      <c r="D9017" s="4"/>
      <c r="E9017" s="4"/>
    </row>
    <row r="9018" spans="1:5" x14ac:dyDescent="0.3">
      <c r="A9018" s="9">
        <v>9010</v>
      </c>
      <c r="B9018" s="10">
        <f t="shared" ca="1" si="140"/>
        <v>8.7901020163037885E-2</v>
      </c>
      <c r="C9018" s="10">
        <f ca="1">NPV(B9018,Project_FCF!C18:J18)+Project_FCF!B18</f>
        <v>873.89158814881375</v>
      </c>
      <c r="D9018" s="4"/>
      <c r="E9018" s="4"/>
    </row>
    <row r="9019" spans="1:5" x14ac:dyDescent="0.3">
      <c r="A9019" s="9">
        <v>9011</v>
      </c>
      <c r="B9019" s="10">
        <f t="shared" ca="1" si="140"/>
        <v>8.8306265960451491E-2</v>
      </c>
      <c r="C9019" s="10">
        <f ca="1">NPV(B9019,Project_FCF!C18:J18)+Project_FCF!B18</f>
        <v>870.69287954334823</v>
      </c>
      <c r="D9019" s="4"/>
      <c r="E9019" s="4"/>
    </row>
    <row r="9020" spans="1:5" x14ac:dyDescent="0.3">
      <c r="A9020" s="9">
        <v>9012</v>
      </c>
      <c r="B9020" s="10">
        <f t="shared" ca="1" si="140"/>
        <v>8.1838214507529497E-2</v>
      </c>
      <c r="C9020" s="10">
        <f ca="1">NPV(B9020,Project_FCF!C18:J18)+Project_FCF!B18</f>
        <v>922.98841202159497</v>
      </c>
      <c r="D9020" s="4"/>
      <c r="E9020" s="4"/>
    </row>
    <row r="9021" spans="1:5" x14ac:dyDescent="0.3">
      <c r="A9021" s="9">
        <v>9013</v>
      </c>
      <c r="B9021" s="10">
        <f t="shared" ca="1" si="140"/>
        <v>6.4177330665106114E-2</v>
      </c>
      <c r="C9021" s="10">
        <f ca="1">NPV(B9021,Project_FCF!C18:J18)+Project_FCF!B18</f>
        <v>1080.2844235477976</v>
      </c>
      <c r="D9021" s="4"/>
      <c r="E9021" s="4"/>
    </row>
    <row r="9022" spans="1:5" x14ac:dyDescent="0.3">
      <c r="A9022" s="9">
        <v>9014</v>
      </c>
      <c r="B9022" s="10">
        <f t="shared" ca="1" si="140"/>
        <v>6.88419054469213E-2</v>
      </c>
      <c r="C9022" s="10">
        <f ca="1">NPV(B9022,Project_FCF!C18:J18)+Project_FCF!B18</f>
        <v>1036.5522545706465</v>
      </c>
      <c r="D9022" s="4"/>
      <c r="E9022" s="4"/>
    </row>
    <row r="9023" spans="1:5" x14ac:dyDescent="0.3">
      <c r="A9023" s="9">
        <v>9015</v>
      </c>
      <c r="B9023" s="10">
        <f t="shared" ca="1" si="140"/>
        <v>8.1094767591598269E-2</v>
      </c>
      <c r="C9023" s="10">
        <f ca="1">NPV(B9023,Project_FCF!C18:J18)+Project_FCF!B18</f>
        <v>929.17257673446466</v>
      </c>
      <c r="D9023" s="4"/>
      <c r="E9023" s="4"/>
    </row>
    <row r="9024" spans="1:5" x14ac:dyDescent="0.3">
      <c r="A9024" s="9">
        <v>9016</v>
      </c>
      <c r="B9024" s="10">
        <f t="shared" ca="1" si="140"/>
        <v>8.0512002745347117E-2</v>
      </c>
      <c r="C9024" s="10">
        <f ca="1">NPV(B9024,Project_FCF!C18:J18)+Project_FCF!B18</f>
        <v>934.04571287475005</v>
      </c>
      <c r="D9024" s="4"/>
      <c r="E9024" s="4"/>
    </row>
    <row r="9025" spans="1:5" x14ac:dyDescent="0.3">
      <c r="A9025" s="9">
        <v>9017</v>
      </c>
      <c r="B9025" s="10">
        <f t="shared" ca="1" si="140"/>
        <v>0.10070420322725686</v>
      </c>
      <c r="C9025" s="10">
        <f ca="1">NPV(B9025,Project_FCF!C18:J18)+Project_FCF!B18</f>
        <v>777.58474527581507</v>
      </c>
      <c r="D9025" s="4"/>
      <c r="E9025" s="4"/>
    </row>
    <row r="9026" spans="1:5" x14ac:dyDescent="0.3">
      <c r="A9026" s="9">
        <v>9018</v>
      </c>
      <c r="B9026" s="10">
        <f t="shared" ca="1" si="140"/>
        <v>8.1424042447022213E-2</v>
      </c>
      <c r="C9026" s="10">
        <f ca="1">NPV(B9026,Project_FCF!C18:J18)+Project_FCF!B18</f>
        <v>926.42909351446883</v>
      </c>
      <c r="D9026" s="4"/>
      <c r="E9026" s="4"/>
    </row>
    <row r="9027" spans="1:5" x14ac:dyDescent="0.3">
      <c r="A9027" s="9">
        <v>9019</v>
      </c>
      <c r="B9027" s="10">
        <f t="shared" ca="1" si="140"/>
        <v>9.4729217589702625E-2</v>
      </c>
      <c r="C9027" s="10">
        <f ca="1">NPV(B9027,Project_FCF!C18:J18)+Project_FCF!B18</f>
        <v>821.33100656746888</v>
      </c>
      <c r="D9027" s="4"/>
      <c r="E9027" s="4"/>
    </row>
    <row r="9028" spans="1:5" x14ac:dyDescent="0.3">
      <c r="A9028" s="9">
        <v>9020</v>
      </c>
      <c r="B9028" s="10">
        <f t="shared" ca="1" si="140"/>
        <v>6.477702215002655E-2</v>
      </c>
      <c r="C9028" s="10">
        <f ca="1">NPV(B9028,Project_FCF!C18:J18)+Project_FCF!B18</f>
        <v>1074.569499233779</v>
      </c>
      <c r="D9028" s="4"/>
      <c r="E9028" s="4"/>
    </row>
    <row r="9029" spans="1:5" x14ac:dyDescent="0.3">
      <c r="A9029" s="9">
        <v>9021</v>
      </c>
      <c r="B9029" s="10">
        <f t="shared" ca="1" si="140"/>
        <v>7.0491570610135029E-2</v>
      </c>
      <c r="C9029" s="10">
        <f ca="1">NPV(B9029,Project_FCF!C18:J18)+Project_FCF!B18</f>
        <v>1021.4748257792135</v>
      </c>
      <c r="D9029" s="4"/>
      <c r="E9029" s="4"/>
    </row>
    <row r="9030" spans="1:5" x14ac:dyDescent="0.3">
      <c r="A9030" s="9">
        <v>9022</v>
      </c>
      <c r="B9030" s="10">
        <f t="shared" ca="1" si="140"/>
        <v>8.03098051383416E-2</v>
      </c>
      <c r="C9030" s="10">
        <f ca="1">NPV(B9030,Project_FCF!C18:J18)+Project_FCF!B18</f>
        <v>935.74178255481843</v>
      </c>
      <c r="D9030" s="4"/>
      <c r="E9030" s="4"/>
    </row>
    <row r="9031" spans="1:5" x14ac:dyDescent="0.3">
      <c r="A9031" s="9">
        <v>9023</v>
      </c>
      <c r="B9031" s="10">
        <f t="shared" ca="1" si="140"/>
        <v>9.7582602167838817E-2</v>
      </c>
      <c r="C9031" s="10">
        <f ca="1">NPV(B9031,Project_FCF!C18:J18)+Project_FCF!B18</f>
        <v>800.18562531030102</v>
      </c>
      <c r="D9031" s="4"/>
      <c r="E9031" s="4"/>
    </row>
    <row r="9032" spans="1:5" x14ac:dyDescent="0.3">
      <c r="A9032" s="9">
        <v>9024</v>
      </c>
      <c r="B9032" s="10">
        <f t="shared" ca="1" si="140"/>
        <v>9.0208526522503579E-2</v>
      </c>
      <c r="C9032" s="10">
        <f ca="1">NPV(B9032,Project_FCF!C18:J18)+Project_FCF!B18</f>
        <v>855.81337951395471</v>
      </c>
      <c r="D9032" s="4"/>
      <c r="E9032" s="4"/>
    </row>
    <row r="9033" spans="1:5" x14ac:dyDescent="0.3">
      <c r="A9033" s="9">
        <v>9025</v>
      </c>
      <c r="B9033" s="10">
        <f t="shared" ref="B9033:B9096" ca="1" si="141">$B$4+RAND()*($B$5-$B$4)</f>
        <v>7.8893288938582454E-2</v>
      </c>
      <c r="C9033" s="10">
        <f ca="1">NPV(B9033,Project_FCF!C18:J18)+Project_FCF!B18</f>
        <v>947.7004675140895</v>
      </c>
      <c r="D9033" s="4"/>
      <c r="E9033" s="4"/>
    </row>
    <row r="9034" spans="1:5" x14ac:dyDescent="0.3">
      <c r="A9034" s="9">
        <v>9026</v>
      </c>
      <c r="B9034" s="10">
        <f t="shared" ca="1" si="141"/>
        <v>8.6295093089206298E-2</v>
      </c>
      <c r="C9034" s="10">
        <f ca="1">NPV(B9034,Project_FCF!C18:J18)+Project_FCF!B18</f>
        <v>886.6684750137324</v>
      </c>
      <c r="D9034" s="4"/>
      <c r="E9034" s="4"/>
    </row>
    <row r="9035" spans="1:5" x14ac:dyDescent="0.3">
      <c r="A9035" s="9">
        <v>9027</v>
      </c>
      <c r="B9035" s="10">
        <f t="shared" ca="1" si="141"/>
        <v>0.10288828957950344</v>
      </c>
      <c r="C9035" s="10">
        <f ca="1">NPV(B9035,Project_FCF!C18:J18)+Project_FCF!B18</f>
        <v>762.09436616944458</v>
      </c>
      <c r="D9035" s="4"/>
      <c r="E9035" s="4"/>
    </row>
    <row r="9036" spans="1:5" x14ac:dyDescent="0.3">
      <c r="A9036" s="9">
        <v>9028</v>
      </c>
      <c r="B9036" s="10">
        <f t="shared" ca="1" si="141"/>
        <v>0.10265044042348055</v>
      </c>
      <c r="C9036" s="10">
        <f ca="1">NPV(B9036,Project_FCF!C18:J18)+Project_FCF!B18</f>
        <v>763.76858252055013</v>
      </c>
      <c r="D9036" s="4"/>
      <c r="E9036" s="4"/>
    </row>
    <row r="9037" spans="1:5" x14ac:dyDescent="0.3">
      <c r="A9037" s="9">
        <v>9029</v>
      </c>
      <c r="B9037" s="10">
        <f t="shared" ca="1" si="141"/>
        <v>8.4565253206537225E-2</v>
      </c>
      <c r="C9037" s="10">
        <f ca="1">NPV(B9037,Project_FCF!C18:J18)+Project_FCF!B18</f>
        <v>900.61350899199078</v>
      </c>
      <c r="D9037" s="4"/>
      <c r="E9037" s="4"/>
    </row>
    <row r="9038" spans="1:5" x14ac:dyDescent="0.3">
      <c r="A9038" s="9">
        <v>9030</v>
      </c>
      <c r="B9038" s="10">
        <f t="shared" ca="1" si="141"/>
        <v>8.5204470104748728E-2</v>
      </c>
      <c r="C9038" s="10">
        <f ca="1">NPV(B9038,Project_FCF!C18:J18)+Project_FCF!B18</f>
        <v>895.43828682522326</v>
      </c>
      <c r="D9038" s="4"/>
      <c r="E9038" s="4"/>
    </row>
    <row r="9039" spans="1:5" x14ac:dyDescent="0.3">
      <c r="A9039" s="9">
        <v>9031</v>
      </c>
      <c r="B9039" s="10">
        <f t="shared" ca="1" si="141"/>
        <v>8.9365868054154599E-2</v>
      </c>
      <c r="C9039" s="10">
        <f ca="1">NPV(B9039,Project_FCF!C18:J18)+Project_FCF!B18</f>
        <v>862.37721386834164</v>
      </c>
      <c r="D9039" s="4"/>
      <c r="E9039" s="4"/>
    </row>
    <row r="9040" spans="1:5" x14ac:dyDescent="0.3">
      <c r="A9040" s="9">
        <v>9032</v>
      </c>
      <c r="B9040" s="10">
        <f t="shared" ca="1" si="141"/>
        <v>7.5158507524986901E-2</v>
      </c>
      <c r="C9040" s="10">
        <f ca="1">NPV(B9040,Project_FCF!C18:J18)+Project_FCF!B18</f>
        <v>979.88469060668626</v>
      </c>
      <c r="D9040" s="4"/>
      <c r="E9040" s="4"/>
    </row>
    <row r="9041" spans="1:5" x14ac:dyDescent="0.3">
      <c r="A9041" s="9">
        <v>9033</v>
      </c>
      <c r="B9041" s="10">
        <f t="shared" ca="1" si="141"/>
        <v>9.2336531745541545E-2</v>
      </c>
      <c r="C9041" s="10">
        <f ca="1">NPV(B9041,Project_FCF!C18:J18)+Project_FCF!B18</f>
        <v>839.4294324896639</v>
      </c>
      <c r="D9041" s="4"/>
      <c r="E9041" s="4"/>
    </row>
    <row r="9042" spans="1:5" x14ac:dyDescent="0.3">
      <c r="A9042" s="9">
        <v>9034</v>
      </c>
      <c r="B9042" s="10">
        <f t="shared" ca="1" si="141"/>
        <v>8.3726912933024408E-2</v>
      </c>
      <c r="C9042" s="10">
        <f ca="1">NPV(B9042,Project_FCF!C18:J18)+Project_FCF!B18</f>
        <v>907.44062380526907</v>
      </c>
      <c r="D9042" s="4"/>
      <c r="E9042" s="4"/>
    </row>
    <row r="9043" spans="1:5" x14ac:dyDescent="0.3">
      <c r="A9043" s="9">
        <v>9035</v>
      </c>
      <c r="B9043" s="10">
        <f t="shared" ca="1" si="141"/>
        <v>8.7365929748409094E-2</v>
      </c>
      <c r="C9043" s="10">
        <f ca="1">NPV(B9043,Project_FCF!C18:J18)+Project_FCF!B18</f>
        <v>878.13086133360071</v>
      </c>
      <c r="D9043" s="4"/>
      <c r="E9043" s="4"/>
    </row>
    <row r="9044" spans="1:5" x14ac:dyDescent="0.3">
      <c r="A9044" s="9">
        <v>9036</v>
      </c>
      <c r="B9044" s="10">
        <f t="shared" ca="1" si="141"/>
        <v>9.7885338389048546E-2</v>
      </c>
      <c r="C9044" s="10">
        <f ca="1">NPV(B9044,Project_FCF!C18:J18)+Project_FCF!B18</f>
        <v>797.96964691693938</v>
      </c>
      <c r="D9044" s="4"/>
      <c r="E9044" s="4"/>
    </row>
    <row r="9045" spans="1:5" x14ac:dyDescent="0.3">
      <c r="A9045" s="9">
        <v>9037</v>
      </c>
      <c r="B9045" s="10">
        <f t="shared" ca="1" si="141"/>
        <v>0.10332556074834948</v>
      </c>
      <c r="C9045" s="10">
        <f ca="1">NPV(B9045,Project_FCF!C18:J18)+Project_FCF!B18</f>
        <v>759.0244590648656</v>
      </c>
      <c r="D9045" s="4"/>
      <c r="E9045" s="4"/>
    </row>
    <row r="9046" spans="1:5" x14ac:dyDescent="0.3">
      <c r="A9046" s="9">
        <v>9038</v>
      </c>
      <c r="B9046" s="10">
        <f t="shared" ca="1" si="141"/>
        <v>9.0999286399634977E-2</v>
      </c>
      <c r="C9046" s="10">
        <f ca="1">NPV(B9046,Project_FCF!C18:J18)+Project_FCF!B18</f>
        <v>849.69319475290376</v>
      </c>
      <c r="D9046" s="4"/>
      <c r="E9046" s="4"/>
    </row>
    <row r="9047" spans="1:5" x14ac:dyDescent="0.3">
      <c r="A9047" s="9">
        <v>9039</v>
      </c>
      <c r="B9047" s="10">
        <f t="shared" ca="1" si="141"/>
        <v>8.7416660571757621E-2</v>
      </c>
      <c r="C9047" s="10">
        <f ca="1">NPV(B9047,Project_FCF!C18:J18)+Project_FCF!B18</f>
        <v>877.72817737746186</v>
      </c>
      <c r="D9047" s="4"/>
      <c r="E9047" s="4"/>
    </row>
    <row r="9048" spans="1:5" x14ac:dyDescent="0.3">
      <c r="A9048" s="9">
        <v>9040</v>
      </c>
      <c r="B9048" s="10">
        <f t="shared" ca="1" si="141"/>
        <v>0.10330145970063988</v>
      </c>
      <c r="C9048" s="10">
        <f ca="1">NPV(B9048,Project_FCF!C18:J18)+Project_FCF!B18</f>
        <v>759.19339234474978</v>
      </c>
      <c r="D9048" s="4"/>
      <c r="E9048" s="4"/>
    </row>
    <row r="9049" spans="1:5" x14ac:dyDescent="0.3">
      <c r="A9049" s="9">
        <v>9041</v>
      </c>
      <c r="B9049" s="10">
        <f t="shared" ca="1" si="141"/>
        <v>9.7110311181785966E-2</v>
      </c>
      <c r="C9049" s="10">
        <f ca="1">NPV(B9049,Project_FCF!C18:J18)+Project_FCF!B18</f>
        <v>803.65317262333747</v>
      </c>
      <c r="D9049" s="4"/>
      <c r="E9049" s="4"/>
    </row>
    <row r="9050" spans="1:5" x14ac:dyDescent="0.3">
      <c r="A9050" s="9">
        <v>9042</v>
      </c>
      <c r="B9050" s="10">
        <f t="shared" ca="1" si="141"/>
        <v>7.9574870784728718E-2</v>
      </c>
      <c r="C9050" s="10">
        <f ca="1">NPV(B9050,Project_FCF!C18:J18)+Project_FCF!B18</f>
        <v>941.92953259040019</v>
      </c>
      <c r="D9050" s="4"/>
      <c r="E9050" s="4"/>
    </row>
    <row r="9051" spans="1:5" x14ac:dyDescent="0.3">
      <c r="A9051" s="9">
        <v>9043</v>
      </c>
      <c r="B9051" s="10">
        <f t="shared" ca="1" si="141"/>
        <v>6.977686424685535E-2</v>
      </c>
      <c r="C9051" s="10">
        <f ca="1">NPV(B9051,Project_FCF!C18:J18)+Project_FCF!B18</f>
        <v>1027.9825014661437</v>
      </c>
      <c r="D9051" s="4"/>
      <c r="E9051" s="4"/>
    </row>
    <row r="9052" spans="1:5" x14ac:dyDescent="0.3">
      <c r="A9052" s="9">
        <v>9044</v>
      </c>
      <c r="B9052" s="10">
        <f t="shared" ca="1" si="141"/>
        <v>9.7425085780640991E-2</v>
      </c>
      <c r="C9052" s="10">
        <f ca="1">NPV(B9052,Project_FCF!C18:J18)+Project_FCF!B18</f>
        <v>801.34068793261827</v>
      </c>
      <c r="D9052" s="4"/>
      <c r="E9052" s="4"/>
    </row>
    <row r="9053" spans="1:5" x14ac:dyDescent="0.3">
      <c r="A9053" s="9">
        <v>9045</v>
      </c>
      <c r="B9053" s="10">
        <f t="shared" ca="1" si="141"/>
        <v>8.8389593895715421E-2</v>
      </c>
      <c r="C9053" s="10">
        <f ca="1">NPV(B9053,Project_FCF!C18:J18)+Project_FCF!B18</f>
        <v>870.03641470159414</v>
      </c>
      <c r="D9053" s="4"/>
      <c r="E9053" s="4"/>
    </row>
    <row r="9054" spans="1:5" x14ac:dyDescent="0.3">
      <c r="A9054" s="9">
        <v>9046</v>
      </c>
      <c r="B9054" s="10">
        <f t="shared" ca="1" si="141"/>
        <v>9.019510797639925E-2</v>
      </c>
      <c r="C9054" s="10">
        <f ca="1">NPV(B9054,Project_FCF!C18:J18)+Project_FCF!B18</f>
        <v>855.91756228365125</v>
      </c>
      <c r="D9054" s="4"/>
      <c r="E9054" s="4"/>
    </row>
    <row r="9055" spans="1:5" x14ac:dyDescent="0.3">
      <c r="A9055" s="9">
        <v>9047</v>
      </c>
      <c r="B9055" s="10">
        <f t="shared" ca="1" si="141"/>
        <v>0.10001043325681709</v>
      </c>
      <c r="C9055" s="10">
        <f ca="1">NPV(B9055,Project_FCF!C18:J18)+Project_FCF!B18</f>
        <v>782.56043761352362</v>
      </c>
      <c r="D9055" s="4"/>
      <c r="E9055" s="4"/>
    </row>
    <row r="9056" spans="1:5" x14ac:dyDescent="0.3">
      <c r="A9056" s="9">
        <v>9048</v>
      </c>
      <c r="B9056" s="10">
        <f t="shared" ca="1" si="141"/>
        <v>9.7395904965759408E-2</v>
      </c>
      <c r="C9056" s="10">
        <f ca="1">NPV(B9056,Project_FCF!C18:J18)+Project_FCF!B18</f>
        <v>801.55482562382599</v>
      </c>
      <c r="D9056" s="4"/>
      <c r="E9056" s="4"/>
    </row>
    <row r="9057" spans="1:5" x14ac:dyDescent="0.3">
      <c r="A9057" s="9">
        <v>9049</v>
      </c>
      <c r="B9057" s="10">
        <f t="shared" ca="1" si="141"/>
        <v>0.10299234427929144</v>
      </c>
      <c r="C9057" s="10">
        <f ca="1">NPV(B9057,Project_FCF!C18:J18)+Project_FCF!B18</f>
        <v>761.36289640501332</v>
      </c>
      <c r="D9057" s="4"/>
      <c r="E9057" s="4"/>
    </row>
    <row r="9058" spans="1:5" x14ac:dyDescent="0.3">
      <c r="A9058" s="9">
        <v>9050</v>
      </c>
      <c r="B9058" s="10">
        <f t="shared" ca="1" si="141"/>
        <v>8.4206931031399299E-2</v>
      </c>
      <c r="C9058" s="10">
        <f ca="1">NPV(B9058,Project_FCF!C18:J18)+Project_FCF!B18</f>
        <v>903.52600812723585</v>
      </c>
      <c r="D9058" s="4"/>
      <c r="E9058" s="4"/>
    </row>
    <row r="9059" spans="1:5" x14ac:dyDescent="0.3">
      <c r="A9059" s="9">
        <v>9051</v>
      </c>
      <c r="B9059" s="10">
        <f t="shared" ca="1" si="141"/>
        <v>7.8525013332680943E-2</v>
      </c>
      <c r="C9059" s="10">
        <f ca="1">NPV(B9059,Project_FCF!C18:J18)+Project_FCF!B18</f>
        <v>950.83168562366927</v>
      </c>
      <c r="D9059" s="4"/>
      <c r="E9059" s="4"/>
    </row>
    <row r="9060" spans="1:5" x14ac:dyDescent="0.3">
      <c r="A9060" s="9">
        <v>9052</v>
      </c>
      <c r="B9060" s="10">
        <f t="shared" ca="1" si="141"/>
        <v>9.2168873436790602E-2</v>
      </c>
      <c r="C9060" s="10">
        <f ca="1">NPV(B9060,Project_FCF!C18:J18)+Project_FCF!B18</f>
        <v>840.71036801477339</v>
      </c>
      <c r="D9060" s="4"/>
      <c r="E9060" s="4"/>
    </row>
    <row r="9061" spans="1:5" x14ac:dyDescent="0.3">
      <c r="A9061" s="9">
        <v>9053</v>
      </c>
      <c r="B9061" s="10">
        <f t="shared" ca="1" si="141"/>
        <v>9.9054669496796782E-2</v>
      </c>
      <c r="C9061" s="10">
        <f ca="1">NPV(B9061,Project_FCF!C18:J18)+Project_FCF!B18</f>
        <v>789.45923008586328</v>
      </c>
      <c r="D9061" s="4"/>
      <c r="E9061" s="4"/>
    </row>
    <row r="9062" spans="1:5" x14ac:dyDescent="0.3">
      <c r="A9062" s="9">
        <v>9054</v>
      </c>
      <c r="B9062" s="10">
        <f t="shared" ca="1" si="141"/>
        <v>7.7662636490048009E-2</v>
      </c>
      <c r="C9062" s="10">
        <f ca="1">NPV(B9062,Project_FCF!C18:J18)+Project_FCF!B18</f>
        <v>958.19993555838869</v>
      </c>
      <c r="D9062" s="4"/>
      <c r="E9062" s="4"/>
    </row>
    <row r="9063" spans="1:5" x14ac:dyDescent="0.3">
      <c r="A9063" s="9">
        <v>9055</v>
      </c>
      <c r="B9063" s="10">
        <f t="shared" ca="1" si="141"/>
        <v>7.4914957967625539E-2</v>
      </c>
      <c r="C9063" s="10">
        <f ca="1">NPV(B9063,Project_FCF!C18:J18)+Project_FCF!B18</f>
        <v>982.01693936184461</v>
      </c>
      <c r="D9063" s="4"/>
      <c r="E9063" s="4"/>
    </row>
    <row r="9064" spans="1:5" x14ac:dyDescent="0.3">
      <c r="A9064" s="9">
        <v>9056</v>
      </c>
      <c r="B9064" s="10">
        <f t="shared" ca="1" si="141"/>
        <v>7.6961824392673989E-2</v>
      </c>
      <c r="C9064" s="10">
        <f ca="1">NPV(B9064,Project_FCF!C18:J18)+Project_FCF!B18</f>
        <v>964.22513157362118</v>
      </c>
      <c r="D9064" s="4"/>
      <c r="E9064" s="4"/>
    </row>
    <row r="9065" spans="1:5" x14ac:dyDescent="0.3">
      <c r="A9065" s="9">
        <v>9057</v>
      </c>
      <c r="B9065" s="10">
        <f t="shared" ca="1" si="141"/>
        <v>9.2225723840378165E-2</v>
      </c>
      <c r="C9065" s="10">
        <f ca="1">NPV(B9065,Project_FCF!C18:J18)+Project_FCF!B18</f>
        <v>840.27583348570511</v>
      </c>
      <c r="D9065" s="4"/>
      <c r="E9065" s="4"/>
    </row>
    <row r="9066" spans="1:5" x14ac:dyDescent="0.3">
      <c r="A9066" s="9">
        <v>9058</v>
      </c>
      <c r="B9066" s="10">
        <f t="shared" ca="1" si="141"/>
        <v>9.9191772907547104E-2</v>
      </c>
      <c r="C9066" s="10">
        <f ca="1">NPV(B9066,Project_FCF!C18:J18)+Project_FCF!B18</f>
        <v>788.46645181844974</v>
      </c>
      <c r="D9066" s="4"/>
      <c r="E9066" s="4"/>
    </row>
    <row r="9067" spans="1:5" x14ac:dyDescent="0.3">
      <c r="A9067" s="9">
        <v>9059</v>
      </c>
      <c r="B9067" s="10">
        <f t="shared" ca="1" si="141"/>
        <v>7.6952004627069123E-2</v>
      </c>
      <c r="C9067" s="10">
        <f ca="1">NPV(B9067,Project_FCF!C18:J18)+Project_FCF!B18</f>
        <v>964.30979570738987</v>
      </c>
      <c r="D9067" s="4"/>
      <c r="E9067" s="4"/>
    </row>
    <row r="9068" spans="1:5" x14ac:dyDescent="0.3">
      <c r="A9068" s="9">
        <v>9060</v>
      </c>
      <c r="B9068" s="10">
        <f t="shared" ca="1" si="141"/>
        <v>9.2233419243526446E-2</v>
      </c>
      <c r="C9068" s="10">
        <f ca="1">NPV(B9068,Project_FCF!C18:J18)+Project_FCF!B18</f>
        <v>840.21702875547726</v>
      </c>
      <c r="D9068" s="4"/>
      <c r="E9068" s="4"/>
    </row>
    <row r="9069" spans="1:5" x14ac:dyDescent="0.3">
      <c r="A9069" s="9">
        <v>9061</v>
      </c>
      <c r="B9069" s="10">
        <f t="shared" ca="1" si="141"/>
        <v>6.7181215896100238E-2</v>
      </c>
      <c r="C9069" s="10">
        <f ca="1">NPV(B9069,Project_FCF!C18:J18)+Project_FCF!B18</f>
        <v>1051.9337653725736</v>
      </c>
      <c r="D9069" s="4"/>
      <c r="E9069" s="4"/>
    </row>
    <row r="9070" spans="1:5" x14ac:dyDescent="0.3">
      <c r="A9070" s="9">
        <v>9062</v>
      </c>
      <c r="B9070" s="10">
        <f t="shared" ca="1" si="141"/>
        <v>7.3044983122627277E-2</v>
      </c>
      <c r="C9070" s="10">
        <f ca="1">NPV(B9070,Project_FCF!C18:J18)+Project_FCF!B18</f>
        <v>998.52734332576961</v>
      </c>
      <c r="D9070" s="4"/>
      <c r="E9070" s="4"/>
    </row>
    <row r="9071" spans="1:5" x14ac:dyDescent="0.3">
      <c r="A9071" s="9">
        <v>9063</v>
      </c>
      <c r="B9071" s="10">
        <f t="shared" ca="1" si="141"/>
        <v>6.6845604170643405E-2</v>
      </c>
      <c r="C9071" s="10">
        <f ca="1">NPV(B9071,Project_FCF!C18:J18)+Project_FCF!B18</f>
        <v>1055.0672979472311</v>
      </c>
      <c r="D9071" s="4"/>
      <c r="E9071" s="4"/>
    </row>
    <row r="9072" spans="1:5" x14ac:dyDescent="0.3">
      <c r="A9072" s="9">
        <v>9064</v>
      </c>
      <c r="B9072" s="10">
        <f t="shared" ca="1" si="141"/>
        <v>7.1740295684077818E-2</v>
      </c>
      <c r="C9072" s="10">
        <f ca="1">NPV(B9072,Project_FCF!C18:J18)+Project_FCF!B18</f>
        <v>1010.1938797576872</v>
      </c>
      <c r="D9072" s="4"/>
      <c r="E9072" s="4"/>
    </row>
    <row r="9073" spans="1:5" x14ac:dyDescent="0.3">
      <c r="A9073" s="9">
        <v>9065</v>
      </c>
      <c r="B9073" s="10">
        <f t="shared" ca="1" si="141"/>
        <v>8.9067599582513896E-2</v>
      </c>
      <c r="C9073" s="10">
        <f ca="1">NPV(B9073,Project_FCF!C18:J18)+Project_FCF!B18</f>
        <v>864.71099457026639</v>
      </c>
      <c r="D9073" s="4"/>
      <c r="E9073" s="4"/>
    </row>
    <row r="9074" spans="1:5" x14ac:dyDescent="0.3">
      <c r="A9074" s="9">
        <v>9066</v>
      </c>
      <c r="B9074" s="10">
        <f t="shared" ca="1" si="141"/>
        <v>8.9489224469446946E-2</v>
      </c>
      <c r="C9074" s="10">
        <f ca="1">NPV(B9074,Project_FCF!C18:J18)+Project_FCF!B18</f>
        <v>861.41361889685459</v>
      </c>
      <c r="D9074" s="4"/>
      <c r="E9074" s="4"/>
    </row>
    <row r="9075" spans="1:5" x14ac:dyDescent="0.3">
      <c r="A9075" s="9">
        <v>9067</v>
      </c>
      <c r="B9075" s="10">
        <f t="shared" ca="1" si="141"/>
        <v>7.2119215505213788E-2</v>
      </c>
      <c r="C9075" s="10">
        <f ca="1">NPV(B9075,Project_FCF!C18:J18)+Project_FCF!B18</f>
        <v>1006.7930020055705</v>
      </c>
      <c r="D9075" s="4"/>
      <c r="E9075" s="4"/>
    </row>
    <row r="9076" spans="1:5" x14ac:dyDescent="0.3">
      <c r="A9076" s="9">
        <v>9068</v>
      </c>
      <c r="B9076" s="10">
        <f t="shared" ca="1" si="141"/>
        <v>8.1685162981888521E-2</v>
      </c>
      <c r="C9076" s="10">
        <f ca="1">NPV(B9076,Project_FCF!C18:J18)+Project_FCF!B18</f>
        <v>924.25855216057698</v>
      </c>
      <c r="D9076" s="4"/>
      <c r="E9076" s="4"/>
    </row>
    <row r="9077" spans="1:5" x14ac:dyDescent="0.3">
      <c r="A9077" s="9">
        <v>9069</v>
      </c>
      <c r="B9077" s="10">
        <f t="shared" ca="1" si="141"/>
        <v>6.4310285867159922E-2</v>
      </c>
      <c r="C9077" s="10">
        <f ca="1">NPV(B9077,Project_FCF!C18:J18)+Project_FCF!B18</f>
        <v>1079.0150008068822</v>
      </c>
      <c r="D9077" s="4"/>
      <c r="E9077" s="4"/>
    </row>
    <row r="9078" spans="1:5" x14ac:dyDescent="0.3">
      <c r="A9078" s="9">
        <v>9070</v>
      </c>
      <c r="B9078" s="10">
        <f t="shared" ca="1" si="141"/>
        <v>7.7612359151579075E-2</v>
      </c>
      <c r="C9078" s="10">
        <f ca="1">NPV(B9078,Project_FCF!C18:J18)+Project_FCF!B18</f>
        <v>958.63107347507116</v>
      </c>
      <c r="D9078" s="4"/>
      <c r="E9078" s="4"/>
    </row>
    <row r="9079" spans="1:5" x14ac:dyDescent="0.3">
      <c r="A9079" s="9">
        <v>9071</v>
      </c>
      <c r="B9079" s="10">
        <f t="shared" ca="1" si="141"/>
        <v>8.9461346425315863E-2</v>
      </c>
      <c r="C9079" s="10">
        <f ca="1">NPV(B9079,Project_FCF!C18:J18)+Project_FCF!B18</f>
        <v>861.63130569186228</v>
      </c>
      <c r="D9079" s="4"/>
      <c r="E9079" s="4"/>
    </row>
    <row r="9080" spans="1:5" x14ac:dyDescent="0.3">
      <c r="A9080" s="9">
        <v>9072</v>
      </c>
      <c r="B9080" s="10">
        <f t="shared" ca="1" si="141"/>
        <v>7.8910173413718837E-2</v>
      </c>
      <c r="C9080" s="10">
        <f ca="1">NPV(B9080,Project_FCF!C18:J18)+Project_FCF!B18</f>
        <v>947.55712908603437</v>
      </c>
      <c r="D9080" s="4"/>
      <c r="E9080" s="4"/>
    </row>
    <row r="9081" spans="1:5" x14ac:dyDescent="0.3">
      <c r="A9081" s="9">
        <v>9073</v>
      </c>
      <c r="B9081" s="10">
        <f t="shared" ca="1" si="141"/>
        <v>8.4721848416870499E-2</v>
      </c>
      <c r="C9081" s="10">
        <f ca="1">NPV(B9081,Project_FCF!C18:J18)+Project_FCF!B18</f>
        <v>899.3432661057559</v>
      </c>
      <c r="D9081" s="4"/>
      <c r="E9081" s="4"/>
    </row>
    <row r="9082" spans="1:5" x14ac:dyDescent="0.3">
      <c r="A9082" s="9">
        <v>9074</v>
      </c>
      <c r="B9082" s="10">
        <f t="shared" ca="1" si="141"/>
        <v>0.10258821111257929</v>
      </c>
      <c r="C9082" s="10">
        <f ca="1">NPV(B9082,Project_FCF!C18:J18)+Project_FCF!B18</f>
        <v>764.20712315383298</v>
      </c>
      <c r="D9082" s="4"/>
      <c r="E9082" s="4"/>
    </row>
    <row r="9083" spans="1:5" x14ac:dyDescent="0.3">
      <c r="A9083" s="9">
        <v>9075</v>
      </c>
      <c r="B9083" s="10">
        <f t="shared" ca="1" si="141"/>
        <v>7.504676092646187E-2</v>
      </c>
      <c r="C9083" s="10">
        <f ca="1">NPV(B9083,Project_FCF!C18:J18)+Project_FCF!B18</f>
        <v>980.86250458689506</v>
      </c>
      <c r="D9083" s="4"/>
      <c r="E9083" s="4"/>
    </row>
    <row r="9084" spans="1:5" x14ac:dyDescent="0.3">
      <c r="A9084" s="9">
        <v>9076</v>
      </c>
      <c r="B9084" s="10">
        <f t="shared" ca="1" si="141"/>
        <v>9.6347887962542011E-2</v>
      </c>
      <c r="C9084" s="10">
        <f ca="1">NPV(B9084,Project_FCF!C18:J18)+Project_FCF!B18</f>
        <v>809.27787724969562</v>
      </c>
      <c r="D9084" s="4"/>
      <c r="E9084" s="4"/>
    </row>
    <row r="9085" spans="1:5" x14ac:dyDescent="0.3">
      <c r="A9085" s="9">
        <v>9077</v>
      </c>
      <c r="B9085" s="10">
        <f t="shared" ca="1" si="141"/>
        <v>6.5830864500454125E-2</v>
      </c>
      <c r="C9085" s="10">
        <f ca="1">NPV(B9085,Project_FCF!C18:J18)+Project_FCF!B18</f>
        <v>1064.5934144034647</v>
      </c>
      <c r="D9085" s="4"/>
      <c r="E9085" s="4"/>
    </row>
    <row r="9086" spans="1:5" x14ac:dyDescent="0.3">
      <c r="A9086" s="9">
        <v>9078</v>
      </c>
      <c r="B9086" s="10">
        <f t="shared" ca="1" si="141"/>
        <v>8.1972896203228243E-2</v>
      </c>
      <c r="C9086" s="10">
        <f ca="1">NPV(B9086,Project_FCF!C18:J18)+Project_FCF!B18</f>
        <v>921.87199280089521</v>
      </c>
      <c r="D9086" s="4"/>
      <c r="E9086" s="4"/>
    </row>
    <row r="9087" spans="1:5" x14ac:dyDescent="0.3">
      <c r="A9087" s="9">
        <v>9079</v>
      </c>
      <c r="B9087" s="10">
        <f t="shared" ca="1" si="141"/>
        <v>7.9132097543835586E-2</v>
      </c>
      <c r="C9087" s="10">
        <f ca="1">NPV(B9087,Project_FCF!C18:J18)+Project_FCF!B18</f>
        <v>945.67492226625723</v>
      </c>
      <c r="D9087" s="4"/>
      <c r="E9087" s="4"/>
    </row>
    <row r="9088" spans="1:5" x14ac:dyDescent="0.3">
      <c r="A9088" s="9">
        <v>9080</v>
      </c>
      <c r="B9088" s="10">
        <f t="shared" ca="1" si="141"/>
        <v>6.5813314576531681E-2</v>
      </c>
      <c r="C9088" s="10">
        <f ca="1">NPV(B9088,Project_FCF!C18:J18)+Project_FCF!B18</f>
        <v>1064.758855216865</v>
      </c>
      <c r="D9088" s="4"/>
      <c r="E9088" s="4"/>
    </row>
    <row r="9089" spans="1:5" x14ac:dyDescent="0.3">
      <c r="A9089" s="9">
        <v>9081</v>
      </c>
      <c r="B9089" s="10">
        <f t="shared" ca="1" si="141"/>
        <v>9.8005364668703243E-2</v>
      </c>
      <c r="C9089" s="10">
        <f ca="1">NPV(B9089,Project_FCF!C18:J18)+Project_FCF!B18</f>
        <v>797.09252037850547</v>
      </c>
      <c r="D9089" s="4"/>
      <c r="E9089" s="4"/>
    </row>
    <row r="9090" spans="1:5" x14ac:dyDescent="0.3">
      <c r="A9090" s="9">
        <v>9082</v>
      </c>
      <c r="B9090" s="10">
        <f t="shared" ca="1" si="141"/>
        <v>8.6509806344900048E-2</v>
      </c>
      <c r="C9090" s="10">
        <f ca="1">NPV(B9090,Project_FCF!C18:J18)+Project_FCF!B18</f>
        <v>884.95081728721607</v>
      </c>
      <c r="D9090" s="4"/>
      <c r="E9090" s="4"/>
    </row>
    <row r="9091" spans="1:5" x14ac:dyDescent="0.3">
      <c r="A9091" s="9">
        <v>9083</v>
      </c>
      <c r="B9091" s="10">
        <f t="shared" ca="1" si="141"/>
        <v>8.3096136973766527E-2</v>
      </c>
      <c r="C9091" s="10">
        <f ca="1">NPV(B9091,Project_FCF!C18:J18)+Project_FCF!B18</f>
        <v>912.60734344811385</v>
      </c>
      <c r="D9091" s="4"/>
      <c r="E9091" s="4"/>
    </row>
    <row r="9092" spans="1:5" x14ac:dyDescent="0.3">
      <c r="A9092" s="9">
        <v>9084</v>
      </c>
      <c r="B9092" s="10">
        <f t="shared" ca="1" si="141"/>
        <v>6.4296614348014147E-2</v>
      </c>
      <c r="C9092" s="10">
        <f ca="1">NPV(B9092,Project_FCF!C18:J18)+Project_FCF!B18</f>
        <v>1079.1454701307</v>
      </c>
      <c r="D9092" s="4"/>
      <c r="E9092" s="4"/>
    </row>
    <row r="9093" spans="1:5" x14ac:dyDescent="0.3">
      <c r="A9093" s="9">
        <v>9085</v>
      </c>
      <c r="B9093" s="10">
        <f t="shared" ca="1" si="141"/>
        <v>7.1204381211067758E-2</v>
      </c>
      <c r="C9093" s="10">
        <f ca="1">NPV(B9093,Project_FCF!C18:J18)+Project_FCF!B18</f>
        <v>1015.0214816280786</v>
      </c>
      <c r="D9093" s="4"/>
      <c r="E9093" s="4"/>
    </row>
    <row r="9094" spans="1:5" x14ac:dyDescent="0.3">
      <c r="A9094" s="9">
        <v>9086</v>
      </c>
      <c r="B9094" s="10">
        <f t="shared" ca="1" si="141"/>
        <v>0.10297083868651309</v>
      </c>
      <c r="C9094" s="10">
        <f ca="1">NPV(B9094,Project_FCF!C18:J18)+Project_FCF!B18</f>
        <v>761.51402519893031</v>
      </c>
      <c r="D9094" s="4"/>
      <c r="E9094" s="4"/>
    </row>
    <row r="9095" spans="1:5" x14ac:dyDescent="0.3">
      <c r="A9095" s="9">
        <v>9087</v>
      </c>
      <c r="B9095" s="10">
        <f t="shared" ca="1" si="141"/>
        <v>9.6081255345952243E-2</v>
      </c>
      <c r="C9095" s="10">
        <f ca="1">NPV(B9095,Project_FCF!C18:J18)+Project_FCF!B18</f>
        <v>811.25284287215368</v>
      </c>
      <c r="D9095" s="4"/>
      <c r="E9095" s="4"/>
    </row>
    <row r="9096" spans="1:5" x14ac:dyDescent="0.3">
      <c r="A9096" s="9">
        <v>9088</v>
      </c>
      <c r="B9096" s="10">
        <f t="shared" ca="1" si="141"/>
        <v>9.7036623337140721E-2</v>
      </c>
      <c r="C9096" s="10">
        <f ca="1">NPV(B9096,Project_FCF!C18:J18)+Project_FCF!B18</f>
        <v>804.195338913157</v>
      </c>
      <c r="D9096" s="4"/>
      <c r="E9096" s="4"/>
    </row>
    <row r="9097" spans="1:5" x14ac:dyDescent="0.3">
      <c r="A9097" s="9">
        <v>9089</v>
      </c>
      <c r="B9097" s="10">
        <f t="shared" ref="B9097:B9160" ca="1" si="142">$B$4+RAND()*($B$5-$B$4)</f>
        <v>8.776466003684652E-2</v>
      </c>
      <c r="C9097" s="10">
        <f ca="1">NPV(B9097,Project_FCF!C18:J18)+Project_FCF!B18</f>
        <v>874.9702104133271</v>
      </c>
      <c r="D9097" s="4"/>
      <c r="E9097" s="4"/>
    </row>
    <row r="9098" spans="1:5" x14ac:dyDescent="0.3">
      <c r="A9098" s="9">
        <v>9090</v>
      </c>
      <c r="B9098" s="10">
        <f t="shared" ca="1" si="142"/>
        <v>9.7102514360212E-2</v>
      </c>
      <c r="C9098" s="10">
        <f ca="1">NPV(B9098,Project_FCF!C18:J18)+Project_FCF!B18</f>
        <v>803.71052384806126</v>
      </c>
      <c r="D9098" s="4"/>
      <c r="E9098" s="4"/>
    </row>
    <row r="9099" spans="1:5" x14ac:dyDescent="0.3">
      <c r="A9099" s="9">
        <v>9091</v>
      </c>
      <c r="B9099" s="10">
        <f t="shared" ca="1" si="142"/>
        <v>9.1275739195974689E-2</v>
      </c>
      <c r="C9099" s="10">
        <f ca="1">NPV(B9099,Project_FCF!C18:J18)+Project_FCF!B18</f>
        <v>847.5624998795156</v>
      </c>
      <c r="D9099" s="4"/>
      <c r="E9099" s="4"/>
    </row>
    <row r="9100" spans="1:5" x14ac:dyDescent="0.3">
      <c r="A9100" s="9">
        <v>9092</v>
      </c>
      <c r="B9100" s="10">
        <f t="shared" ca="1" si="142"/>
        <v>8.9268222997813229E-2</v>
      </c>
      <c r="C9100" s="10">
        <f ca="1">NPV(B9100,Project_FCF!C18:J18)+Project_FCF!B18</f>
        <v>863.14062822126039</v>
      </c>
      <c r="D9100" s="4"/>
      <c r="E9100" s="4"/>
    </row>
    <row r="9101" spans="1:5" x14ac:dyDescent="0.3">
      <c r="A9101" s="9">
        <v>9093</v>
      </c>
      <c r="B9101" s="10">
        <f t="shared" ca="1" si="142"/>
        <v>9.7887342868359734E-2</v>
      </c>
      <c r="C9101" s="10">
        <f ca="1">NPV(B9101,Project_FCF!C18:J18)+Project_FCF!B18</f>
        <v>797.95499187409905</v>
      </c>
      <c r="D9101" s="4"/>
      <c r="E9101" s="4"/>
    </row>
    <row r="9102" spans="1:5" x14ac:dyDescent="0.3">
      <c r="A9102" s="9">
        <v>9094</v>
      </c>
      <c r="B9102" s="10">
        <f t="shared" ca="1" si="142"/>
        <v>7.7225453441286035E-2</v>
      </c>
      <c r="C9102" s="10">
        <f ca="1">NPV(B9102,Project_FCF!C18:J18)+Project_FCF!B18</f>
        <v>961.95464689281152</v>
      </c>
      <c r="D9102" s="4"/>
      <c r="E9102" s="4"/>
    </row>
    <row r="9103" spans="1:5" x14ac:dyDescent="0.3">
      <c r="A9103" s="9">
        <v>9095</v>
      </c>
      <c r="B9103" s="10">
        <f t="shared" ca="1" si="142"/>
        <v>9.7129349573926688E-2</v>
      </c>
      <c r="C9103" s="10">
        <f ca="1">NPV(B9103,Project_FCF!C18:J18)+Project_FCF!B18</f>
        <v>803.51314621808046</v>
      </c>
      <c r="D9103" s="4"/>
      <c r="E9103" s="4"/>
    </row>
    <row r="9104" spans="1:5" x14ac:dyDescent="0.3">
      <c r="A9104" s="9">
        <v>9096</v>
      </c>
      <c r="B9104" s="10">
        <f t="shared" ca="1" si="142"/>
        <v>7.4998568712175431E-2</v>
      </c>
      <c r="C9104" s="10">
        <f ca="1">NPV(B9104,Project_FCF!C18:J18)+Project_FCF!B18</f>
        <v>981.28446928442122</v>
      </c>
      <c r="D9104" s="4"/>
      <c r="E9104" s="4"/>
    </row>
    <row r="9105" spans="1:5" x14ac:dyDescent="0.3">
      <c r="A9105" s="9">
        <v>9097</v>
      </c>
      <c r="B9105" s="10">
        <f t="shared" ca="1" si="142"/>
        <v>8.8227103205543597E-2</v>
      </c>
      <c r="C9105" s="10">
        <f ca="1">NPV(B9105,Project_FCF!C18:J18)+Project_FCF!B18</f>
        <v>871.31692965656293</v>
      </c>
      <c r="D9105" s="4"/>
      <c r="E9105" s="4"/>
    </row>
    <row r="9106" spans="1:5" x14ac:dyDescent="0.3">
      <c r="A9106" s="9">
        <v>9098</v>
      </c>
      <c r="B9106" s="10">
        <f t="shared" ca="1" si="142"/>
        <v>8.5969585072037738E-2</v>
      </c>
      <c r="C9106" s="10">
        <f ca="1">NPV(B9106,Project_FCF!C18:J18)+Project_FCF!B18</f>
        <v>889.27802060273234</v>
      </c>
      <c r="D9106" s="4"/>
      <c r="E9106" s="4"/>
    </row>
    <row r="9107" spans="1:5" x14ac:dyDescent="0.3">
      <c r="A9107" s="9">
        <v>9099</v>
      </c>
      <c r="B9107" s="10">
        <f t="shared" ca="1" si="142"/>
        <v>9.1143388119679536E-2</v>
      </c>
      <c r="C9107" s="10">
        <f ca="1">NPV(B9107,Project_FCF!C18:J18)+Project_FCF!B18</f>
        <v>848.58198796048464</v>
      </c>
      <c r="D9107" s="4"/>
      <c r="E9107" s="4"/>
    </row>
    <row r="9108" spans="1:5" x14ac:dyDescent="0.3">
      <c r="A9108" s="9">
        <v>9100</v>
      </c>
      <c r="B9108" s="10">
        <f t="shared" ca="1" si="142"/>
        <v>0.10192962263891077</v>
      </c>
      <c r="C9108" s="10">
        <f ca="1">NPV(B9108,Project_FCF!C18:J18)+Project_FCF!B18</f>
        <v>768.86129886735262</v>
      </c>
      <c r="D9108" s="4"/>
      <c r="E9108" s="4"/>
    </row>
    <row r="9109" spans="1:5" x14ac:dyDescent="0.3">
      <c r="A9109" s="9">
        <v>9101</v>
      </c>
      <c r="B9109" s="10">
        <f t="shared" ca="1" si="142"/>
        <v>6.459856416951E-2</v>
      </c>
      <c r="C9109" s="10">
        <f ca="1">NPV(B9109,Project_FCF!C18:J18)+Project_FCF!B18</f>
        <v>1076.2672711417724</v>
      </c>
      <c r="D9109" s="4"/>
      <c r="E9109" s="4"/>
    </row>
    <row r="9110" spans="1:5" x14ac:dyDescent="0.3">
      <c r="A9110" s="9">
        <v>9102</v>
      </c>
      <c r="B9110" s="10">
        <f t="shared" ca="1" si="142"/>
        <v>8.0544690026103677E-2</v>
      </c>
      <c r="C9110" s="10">
        <f ca="1">NPV(B9110,Project_FCF!C18:J18)+Project_FCF!B18</f>
        <v>933.77178164919519</v>
      </c>
      <c r="D9110" s="4"/>
      <c r="E9110" s="4"/>
    </row>
    <row r="9111" spans="1:5" x14ac:dyDescent="0.3">
      <c r="A9111" s="9">
        <v>9103</v>
      </c>
      <c r="B9111" s="10">
        <f t="shared" ca="1" si="142"/>
        <v>8.9520641962541392E-2</v>
      </c>
      <c r="C9111" s="10">
        <f ca="1">NPV(B9111,Project_FCF!C18:J18)+Project_FCF!B18</f>
        <v>861.16835134337589</v>
      </c>
      <c r="D9111" s="4"/>
      <c r="E9111" s="4"/>
    </row>
    <row r="9112" spans="1:5" x14ac:dyDescent="0.3">
      <c r="A9112" s="9">
        <v>9104</v>
      </c>
      <c r="B9112" s="10">
        <f t="shared" ca="1" si="142"/>
        <v>9.4034230365651325E-2</v>
      </c>
      <c r="C9112" s="10">
        <f ca="1">NPV(B9112,Project_FCF!C18:J18)+Project_FCF!B18</f>
        <v>826.55306182668437</v>
      </c>
      <c r="D9112" s="4"/>
      <c r="E9112" s="4"/>
    </row>
    <row r="9113" spans="1:5" x14ac:dyDescent="0.3">
      <c r="A9113" s="9">
        <v>9105</v>
      </c>
      <c r="B9113" s="10">
        <f t="shared" ca="1" si="142"/>
        <v>8.5767744491275388E-2</v>
      </c>
      <c r="C9113" s="10">
        <f ca="1">NPV(B9113,Project_FCF!C18:J18)+Project_FCF!B18</f>
        <v>890.89951393220986</v>
      </c>
      <c r="D9113" s="4"/>
      <c r="E9113" s="4"/>
    </row>
    <row r="9114" spans="1:5" x14ac:dyDescent="0.3">
      <c r="A9114" s="9">
        <v>9106</v>
      </c>
      <c r="B9114" s="10">
        <f t="shared" ca="1" si="142"/>
        <v>8.5492975965542103E-2</v>
      </c>
      <c r="C9114" s="10">
        <f ca="1">NPV(B9114,Project_FCF!C18:J18)+Project_FCF!B18</f>
        <v>893.11103232905793</v>
      </c>
      <c r="D9114" s="4"/>
      <c r="E9114" s="4"/>
    </row>
    <row r="9115" spans="1:5" x14ac:dyDescent="0.3">
      <c r="A9115" s="9">
        <v>9107</v>
      </c>
      <c r="B9115" s="10">
        <f t="shared" ca="1" si="142"/>
        <v>8.9734328622308721E-2</v>
      </c>
      <c r="C9115" s="10">
        <f ca="1">NPV(B9115,Project_FCF!C18:J18)+Project_FCF!B18</f>
        <v>859.50176547127512</v>
      </c>
      <c r="D9115" s="4"/>
      <c r="E9115" s="4"/>
    </row>
    <row r="9116" spans="1:5" x14ac:dyDescent="0.3">
      <c r="A9116" s="9">
        <v>9108</v>
      </c>
      <c r="B9116" s="10">
        <f t="shared" ca="1" si="142"/>
        <v>8.9634440480512792E-2</v>
      </c>
      <c r="C9116" s="10">
        <f ca="1">NPV(B9116,Project_FCF!C18:J18)+Project_FCF!B18</f>
        <v>860.28046509081446</v>
      </c>
      <c r="D9116" s="4"/>
      <c r="E9116" s="4"/>
    </row>
    <row r="9117" spans="1:5" x14ac:dyDescent="0.3">
      <c r="A9117" s="9">
        <v>9109</v>
      </c>
      <c r="B9117" s="10">
        <f t="shared" ca="1" si="142"/>
        <v>8.1370398919760556E-2</v>
      </c>
      <c r="C9117" s="10">
        <f ca="1">NPV(B9117,Project_FCF!C18:J18)+Project_FCF!B18</f>
        <v>926.87555732087844</v>
      </c>
      <c r="D9117" s="4"/>
      <c r="E9117" s="4"/>
    </row>
    <row r="9118" spans="1:5" x14ac:dyDescent="0.3">
      <c r="A9118" s="9">
        <v>9110</v>
      </c>
      <c r="B9118" s="10">
        <f t="shared" ca="1" si="142"/>
        <v>6.7720001670834612E-2</v>
      </c>
      <c r="C9118" s="10">
        <f ca="1">NPV(B9118,Project_FCF!C18:J18)+Project_FCF!B18</f>
        <v>1046.9209201321055</v>
      </c>
      <c r="D9118" s="4"/>
      <c r="E9118" s="4"/>
    </row>
    <row r="9119" spans="1:5" x14ac:dyDescent="0.3">
      <c r="A9119" s="9">
        <v>9111</v>
      </c>
      <c r="B9119" s="10">
        <f t="shared" ca="1" si="142"/>
        <v>9.3280144397717368E-2</v>
      </c>
      <c r="C9119" s="10">
        <f ca="1">NPV(B9119,Project_FCF!C18:J18)+Project_FCF!B18</f>
        <v>832.25138366057422</v>
      </c>
      <c r="D9119" s="4"/>
      <c r="E9119" s="4"/>
    </row>
    <row r="9120" spans="1:5" x14ac:dyDescent="0.3">
      <c r="A9120" s="9">
        <v>9112</v>
      </c>
      <c r="B9120" s="10">
        <f t="shared" ca="1" si="142"/>
        <v>9.5791838459961559E-2</v>
      </c>
      <c r="C9120" s="10">
        <f ca="1">NPV(B9120,Project_FCF!C18:J18)+Project_FCF!B18</f>
        <v>813.4012300012505</v>
      </c>
      <c r="D9120" s="4"/>
      <c r="E9120" s="4"/>
    </row>
    <row r="9121" spans="1:5" x14ac:dyDescent="0.3">
      <c r="A9121" s="9">
        <v>9113</v>
      </c>
      <c r="B9121" s="10">
        <f t="shared" ca="1" si="142"/>
        <v>9.5626692613191427E-2</v>
      </c>
      <c r="C9121" s="10">
        <f ca="1">NPV(B9121,Project_FCF!C18:J18)+Project_FCF!B18</f>
        <v>814.62931058509571</v>
      </c>
      <c r="D9121" s="4"/>
      <c r="E9121" s="4"/>
    </row>
    <row r="9122" spans="1:5" x14ac:dyDescent="0.3">
      <c r="A9122" s="9">
        <v>9114</v>
      </c>
      <c r="B9122" s="10">
        <f t="shared" ca="1" si="142"/>
        <v>7.5765726515314991E-2</v>
      </c>
      <c r="C9122" s="10">
        <f ca="1">NPV(B9122,Project_FCF!C18:J18)+Project_FCF!B18</f>
        <v>974.58657520903444</v>
      </c>
      <c r="D9122" s="4"/>
      <c r="E9122" s="4"/>
    </row>
    <row r="9123" spans="1:5" x14ac:dyDescent="0.3">
      <c r="A9123" s="9">
        <v>9115</v>
      </c>
      <c r="B9123" s="10">
        <f t="shared" ca="1" si="142"/>
        <v>9.7513060211796024E-2</v>
      </c>
      <c r="C9123" s="10">
        <f ca="1">NPV(B9123,Project_FCF!C18:J18)+Project_FCF!B18</f>
        <v>800.69539944924713</v>
      </c>
      <c r="D9123" s="4"/>
      <c r="E9123" s="4"/>
    </row>
    <row r="9124" spans="1:5" x14ac:dyDescent="0.3">
      <c r="A9124" s="9">
        <v>9116</v>
      </c>
      <c r="B9124" s="10">
        <f t="shared" ca="1" si="142"/>
        <v>7.6660928603116602E-2</v>
      </c>
      <c r="C9124" s="10">
        <f ca="1">NPV(B9124,Project_FCF!C18:J18)+Project_FCF!B18</f>
        <v>966.82240862244066</v>
      </c>
      <c r="D9124" s="4"/>
      <c r="E9124" s="4"/>
    </row>
    <row r="9125" spans="1:5" x14ac:dyDescent="0.3">
      <c r="A9125" s="9">
        <v>9117</v>
      </c>
      <c r="B9125" s="10">
        <f t="shared" ca="1" si="142"/>
        <v>9.8231825235714609E-2</v>
      </c>
      <c r="C9125" s="10">
        <f ca="1">NPV(B9125,Project_FCF!C18:J18)+Project_FCF!B18</f>
        <v>795.43982597070044</v>
      </c>
      <c r="D9125" s="4"/>
      <c r="E9125" s="4"/>
    </row>
    <row r="9126" spans="1:5" x14ac:dyDescent="0.3">
      <c r="A9126" s="9">
        <v>9118</v>
      </c>
      <c r="B9126" s="10">
        <f t="shared" ca="1" si="142"/>
        <v>9.6821409905988712E-2</v>
      </c>
      <c r="C9126" s="10">
        <f ca="1">NPV(B9126,Project_FCF!C18:J18)+Project_FCF!B18</f>
        <v>805.78057963661377</v>
      </c>
      <c r="D9126" s="4"/>
      <c r="E9126" s="4"/>
    </row>
    <row r="9127" spans="1:5" x14ac:dyDescent="0.3">
      <c r="A9127" s="9">
        <v>9119</v>
      </c>
      <c r="B9127" s="10">
        <f t="shared" ca="1" si="142"/>
        <v>6.5332312459390654E-2</v>
      </c>
      <c r="C9127" s="10">
        <f ca="1">NPV(B9127,Project_FCF!C18:J18)+Project_FCF!B18</f>
        <v>1069.3023292347093</v>
      </c>
      <c r="D9127" s="4"/>
      <c r="E9127" s="4"/>
    </row>
    <row r="9128" spans="1:5" x14ac:dyDescent="0.3">
      <c r="A9128" s="9">
        <v>9120</v>
      </c>
      <c r="B9128" s="10">
        <f t="shared" ca="1" si="142"/>
        <v>6.6061464520707228E-2</v>
      </c>
      <c r="C9128" s="10">
        <f ca="1">NPV(B9128,Project_FCF!C18:J18)+Project_FCF!B18</f>
        <v>1062.4217524393191</v>
      </c>
      <c r="D9128" s="4"/>
      <c r="E9128" s="4"/>
    </row>
    <row r="9129" spans="1:5" x14ac:dyDescent="0.3">
      <c r="A9129" s="9">
        <v>9121</v>
      </c>
      <c r="B9129" s="10">
        <f t="shared" ca="1" si="142"/>
        <v>6.9543614190309369E-2</v>
      </c>
      <c r="C9129" s="10">
        <f ca="1">NPV(B9129,Project_FCF!C18:J18)+Project_FCF!B18</f>
        <v>1030.1144286805625</v>
      </c>
      <c r="D9129" s="4"/>
      <c r="E9129" s="4"/>
    </row>
    <row r="9130" spans="1:5" x14ac:dyDescent="0.3">
      <c r="A9130" s="9">
        <v>9122</v>
      </c>
      <c r="B9130" s="10">
        <f t="shared" ca="1" si="142"/>
        <v>9.6439933684534712E-2</v>
      </c>
      <c r="C9130" s="10">
        <f ca="1">NPV(B9130,Project_FCF!C18:J18)+Project_FCF!B18</f>
        <v>808.597041961478</v>
      </c>
      <c r="D9130" s="4"/>
      <c r="E9130" s="4"/>
    </row>
    <row r="9131" spans="1:5" x14ac:dyDescent="0.3">
      <c r="A9131" s="9">
        <v>9123</v>
      </c>
      <c r="B9131" s="10">
        <f t="shared" ca="1" si="142"/>
        <v>7.4216445362715613E-2</v>
      </c>
      <c r="C9131" s="10">
        <f ca="1">NPV(B9131,Project_FCF!C18:J18)+Project_FCF!B18</f>
        <v>988.15539693842834</v>
      </c>
      <c r="D9131" s="4"/>
      <c r="E9131" s="4"/>
    </row>
    <row r="9132" spans="1:5" x14ac:dyDescent="0.3">
      <c r="A9132" s="9">
        <v>9124</v>
      </c>
      <c r="B9132" s="10">
        <f t="shared" ca="1" si="142"/>
        <v>9.4473578423823867E-2</v>
      </c>
      <c r="C9132" s="10">
        <f ca="1">NPV(B9132,Project_FCF!C18:J18)+Project_FCF!B18</f>
        <v>823.24855182292845</v>
      </c>
      <c r="D9132" s="4"/>
      <c r="E9132" s="4"/>
    </row>
    <row r="9133" spans="1:5" x14ac:dyDescent="0.3">
      <c r="A9133" s="9">
        <v>9125</v>
      </c>
      <c r="B9133" s="10">
        <f t="shared" ca="1" si="142"/>
        <v>6.5692230115044062E-2</v>
      </c>
      <c r="C9133" s="10">
        <f ca="1">NPV(B9133,Project_FCF!C18:J18)+Project_FCF!B18</f>
        <v>1065.9009408799325</v>
      </c>
      <c r="D9133" s="4"/>
      <c r="E9133" s="4"/>
    </row>
    <row r="9134" spans="1:5" x14ac:dyDescent="0.3">
      <c r="A9134" s="9">
        <v>9126</v>
      </c>
      <c r="B9134" s="10">
        <f t="shared" ca="1" si="142"/>
        <v>8.3071620364714494E-2</v>
      </c>
      <c r="C9134" s="10">
        <f ca="1">NPV(B9134,Project_FCF!C18:J18)+Project_FCF!B18</f>
        <v>912.80868147125966</v>
      </c>
      <c r="D9134" s="4"/>
      <c r="E9134" s="4"/>
    </row>
    <row r="9135" spans="1:5" x14ac:dyDescent="0.3">
      <c r="A9135" s="9">
        <v>9127</v>
      </c>
      <c r="B9135" s="10">
        <f t="shared" ca="1" si="142"/>
        <v>7.8923338332565804E-2</v>
      </c>
      <c r="C9135" s="10">
        <f ca="1">NPV(B9135,Project_FCF!C18:J18)+Project_FCF!B18</f>
        <v>947.44538067067856</v>
      </c>
      <c r="D9135" s="4"/>
      <c r="E9135" s="4"/>
    </row>
    <row r="9136" spans="1:5" x14ac:dyDescent="0.3">
      <c r="A9136" s="9">
        <v>9128</v>
      </c>
      <c r="B9136" s="10">
        <f t="shared" ca="1" si="142"/>
        <v>0.1016248606306677</v>
      </c>
      <c r="C9136" s="10">
        <f ca="1">NPV(B9136,Project_FCF!C18:J18)+Project_FCF!B18</f>
        <v>771.02307784376535</v>
      </c>
      <c r="D9136" s="4"/>
      <c r="E9136" s="4"/>
    </row>
    <row r="9137" spans="1:5" x14ac:dyDescent="0.3">
      <c r="A9137" s="9">
        <v>9129</v>
      </c>
      <c r="B9137" s="10">
        <f t="shared" ca="1" si="142"/>
        <v>9.6112788735331078E-2</v>
      </c>
      <c r="C9137" s="10">
        <f ca="1">NPV(B9137,Project_FCF!C18:J18)+Project_FCF!B18</f>
        <v>811.01905862541093</v>
      </c>
      <c r="D9137" s="4"/>
      <c r="E9137" s="4"/>
    </row>
    <row r="9138" spans="1:5" x14ac:dyDescent="0.3">
      <c r="A9138" s="9">
        <v>9130</v>
      </c>
      <c r="B9138" s="10">
        <f t="shared" ca="1" si="142"/>
        <v>9.2337271950711397E-2</v>
      </c>
      <c r="C9138" s="10">
        <f ca="1">NPV(B9138,Project_FCF!C18:J18)+Project_FCF!B18</f>
        <v>839.42378093808838</v>
      </c>
      <c r="D9138" s="4"/>
      <c r="E9138" s="4"/>
    </row>
    <row r="9139" spans="1:5" x14ac:dyDescent="0.3">
      <c r="A9139" s="9">
        <v>9131</v>
      </c>
      <c r="B9139" s="10">
        <f t="shared" ca="1" si="142"/>
        <v>7.6239455299702358E-2</v>
      </c>
      <c r="C9139" s="10">
        <f ca="1">NPV(B9139,Project_FCF!C18:J18)+Project_FCF!B18</f>
        <v>970.47097912129675</v>
      </c>
      <c r="D9139" s="4"/>
      <c r="E9139" s="4"/>
    </row>
    <row r="9140" spans="1:5" x14ac:dyDescent="0.3">
      <c r="A9140" s="9">
        <v>9132</v>
      </c>
      <c r="B9140" s="10">
        <f t="shared" ca="1" si="142"/>
        <v>8.6699167792526871E-2</v>
      </c>
      <c r="C9140" s="10">
        <f ca="1">NPV(B9140,Project_FCF!C18:J18)+Project_FCF!B18</f>
        <v>883.43838007388126</v>
      </c>
      <c r="D9140" s="4"/>
      <c r="E9140" s="4"/>
    </row>
    <row r="9141" spans="1:5" x14ac:dyDescent="0.3">
      <c r="A9141" s="9">
        <v>9133</v>
      </c>
      <c r="B9141" s="10">
        <f t="shared" ca="1" si="142"/>
        <v>0.10355202806142369</v>
      </c>
      <c r="C9141" s="10">
        <f ca="1">NPV(B9141,Project_FCF!C18:J18)+Project_FCF!B18</f>
        <v>757.43860377469969</v>
      </c>
      <c r="D9141" s="4"/>
      <c r="E9141" s="4"/>
    </row>
    <row r="9142" spans="1:5" x14ac:dyDescent="0.3">
      <c r="A9142" s="9">
        <v>9134</v>
      </c>
      <c r="B9142" s="10">
        <f t="shared" ca="1" si="142"/>
        <v>8.715634694979206E-2</v>
      </c>
      <c r="C9142" s="10">
        <f ca="1">NPV(B9142,Project_FCF!C18:J18)+Project_FCF!B18</f>
        <v>879.79616518474177</v>
      </c>
      <c r="D9142" s="4"/>
      <c r="E9142" s="4"/>
    </row>
    <row r="9143" spans="1:5" x14ac:dyDescent="0.3">
      <c r="A9143" s="9">
        <v>9135</v>
      </c>
      <c r="B9143" s="10">
        <f t="shared" ca="1" si="142"/>
        <v>8.9221324659521109E-2</v>
      </c>
      <c r="C9143" s="10">
        <f ca="1">NPV(B9143,Project_FCF!C18:J18)+Project_FCF!B18</f>
        <v>863.50749998551328</v>
      </c>
      <c r="D9143" s="4"/>
      <c r="E9143" s="4"/>
    </row>
    <row r="9144" spans="1:5" x14ac:dyDescent="0.3">
      <c r="A9144" s="9">
        <v>9136</v>
      </c>
      <c r="B9144" s="10">
        <f t="shared" ca="1" si="142"/>
        <v>7.2164797694225874E-2</v>
      </c>
      <c r="C9144" s="10">
        <f ca="1">NPV(B9144,Project_FCF!C18:J18)+Project_FCF!B18</f>
        <v>1006.384588398352</v>
      </c>
      <c r="D9144" s="4"/>
      <c r="E9144" s="4"/>
    </row>
    <row r="9145" spans="1:5" x14ac:dyDescent="0.3">
      <c r="A9145" s="9">
        <v>9137</v>
      </c>
      <c r="B9145" s="10">
        <f t="shared" ca="1" si="142"/>
        <v>9.9332560204115516E-2</v>
      </c>
      <c r="C9145" s="10">
        <f ca="1">NPV(B9145,Project_FCF!C18:J18)+Project_FCF!B18</f>
        <v>787.44809942441611</v>
      </c>
      <c r="D9145" s="4"/>
      <c r="E9145" s="4"/>
    </row>
    <row r="9146" spans="1:5" x14ac:dyDescent="0.3">
      <c r="A9146" s="9">
        <v>9138</v>
      </c>
      <c r="B9146" s="10">
        <f t="shared" ca="1" si="142"/>
        <v>6.97229784541986E-2</v>
      </c>
      <c r="C9146" s="10">
        <f ca="1">NPV(B9146,Project_FCF!C18:J18)+Project_FCF!B18</f>
        <v>1028.4746679066493</v>
      </c>
      <c r="D9146" s="4"/>
      <c r="E9146" s="4"/>
    </row>
    <row r="9147" spans="1:5" x14ac:dyDescent="0.3">
      <c r="A9147" s="9">
        <v>9139</v>
      </c>
      <c r="B9147" s="10">
        <f t="shared" ca="1" si="142"/>
        <v>9.3340598489368265E-2</v>
      </c>
      <c r="C9147" s="10">
        <f ca="1">NPV(B9147,Project_FCF!C18:J18)+Project_FCF!B18</f>
        <v>831.79331564004497</v>
      </c>
      <c r="D9147" s="4"/>
      <c r="E9147" s="4"/>
    </row>
    <row r="9148" spans="1:5" x14ac:dyDescent="0.3">
      <c r="A9148" s="9">
        <v>9140</v>
      </c>
      <c r="B9148" s="10">
        <f t="shared" ca="1" si="142"/>
        <v>7.4555111629320506E-2</v>
      </c>
      <c r="C9148" s="10">
        <f ca="1">NPV(B9148,Project_FCF!C18:J18)+Project_FCF!B18</f>
        <v>985.17495404658416</v>
      </c>
      <c r="D9148" s="4"/>
      <c r="E9148" s="4"/>
    </row>
    <row r="9149" spans="1:5" x14ac:dyDescent="0.3">
      <c r="A9149" s="9">
        <v>9141</v>
      </c>
      <c r="B9149" s="10">
        <f t="shared" ca="1" si="142"/>
        <v>8.1996527894125371E-2</v>
      </c>
      <c r="C9149" s="10">
        <f ca="1">NPV(B9149,Project_FCF!C18:J18)+Project_FCF!B18</f>
        <v>921.67622509549733</v>
      </c>
      <c r="D9149" s="4"/>
      <c r="E9149" s="4"/>
    </row>
    <row r="9150" spans="1:5" x14ac:dyDescent="0.3">
      <c r="A9150" s="9">
        <v>9142</v>
      </c>
      <c r="B9150" s="10">
        <f t="shared" ca="1" si="142"/>
        <v>6.437815619916816E-2</v>
      </c>
      <c r="C9150" s="10">
        <f ca="1">NPV(B9150,Project_FCF!C18:J18)+Project_FCF!B18</f>
        <v>1078.3675175221717</v>
      </c>
      <c r="D9150" s="4"/>
      <c r="E9150" s="4"/>
    </row>
    <row r="9151" spans="1:5" x14ac:dyDescent="0.3">
      <c r="A9151" s="9">
        <v>9143</v>
      </c>
      <c r="B9151" s="10">
        <f t="shared" ca="1" si="142"/>
        <v>6.8938951165649145E-2</v>
      </c>
      <c r="C9151" s="10">
        <f ca="1">NPV(B9151,Project_FCF!C18:J18)+Project_FCF!B18</f>
        <v>1035.6597438821873</v>
      </c>
      <c r="D9151" s="4"/>
      <c r="E9151" s="4"/>
    </row>
    <row r="9152" spans="1:5" x14ac:dyDescent="0.3">
      <c r="A9152" s="9">
        <v>9144</v>
      </c>
      <c r="B9152" s="10">
        <f t="shared" ca="1" si="142"/>
        <v>8.2658329030729616E-2</v>
      </c>
      <c r="C9152" s="10">
        <f ca="1">NPV(B9152,Project_FCF!C18:J18)+Project_FCF!B18</f>
        <v>916.20864713370884</v>
      </c>
      <c r="D9152" s="4"/>
      <c r="E9152" s="4"/>
    </row>
    <row r="9153" spans="1:5" x14ac:dyDescent="0.3">
      <c r="A9153" s="9">
        <v>9145</v>
      </c>
      <c r="B9153" s="10">
        <f t="shared" ca="1" si="142"/>
        <v>8.392273274577064E-2</v>
      </c>
      <c r="C9153" s="10">
        <f ca="1">NPV(B9153,Project_FCF!C18:J18)+Project_FCF!B18</f>
        <v>905.84189071116816</v>
      </c>
      <c r="D9153" s="4"/>
      <c r="E9153" s="4"/>
    </row>
    <row r="9154" spans="1:5" x14ac:dyDescent="0.3">
      <c r="A9154" s="9">
        <v>9146</v>
      </c>
      <c r="B9154" s="10">
        <f t="shared" ca="1" si="142"/>
        <v>8.2616040391981449E-2</v>
      </c>
      <c r="C9154" s="10">
        <f ca="1">NPV(B9154,Project_FCF!C18:J18)+Project_FCF!B18</f>
        <v>916.55716502266137</v>
      </c>
      <c r="D9154" s="4"/>
      <c r="E9154" s="4"/>
    </row>
    <row r="9155" spans="1:5" x14ac:dyDescent="0.3">
      <c r="A9155" s="9">
        <v>9147</v>
      </c>
      <c r="B9155" s="10">
        <f t="shared" ca="1" si="142"/>
        <v>8.4620583057729376E-2</v>
      </c>
      <c r="C9155" s="10">
        <f ca="1">NPV(B9155,Project_FCF!C18:J18)+Project_FCF!B18</f>
        <v>900.16451395430045</v>
      </c>
      <c r="D9155" s="4"/>
      <c r="E9155" s="4"/>
    </row>
    <row r="9156" spans="1:5" x14ac:dyDescent="0.3">
      <c r="A9156" s="9">
        <v>9148</v>
      </c>
      <c r="B9156" s="10">
        <f t="shared" ca="1" si="142"/>
        <v>9.5267000324872717E-2</v>
      </c>
      <c r="C9156" s="10">
        <f ca="1">NPV(B9156,Project_FCF!C18:J18)+Project_FCF!B18</f>
        <v>817.30959227641574</v>
      </c>
      <c r="D9156" s="4"/>
      <c r="E9156" s="4"/>
    </row>
    <row r="9157" spans="1:5" x14ac:dyDescent="0.3">
      <c r="A9157" s="9">
        <v>9149</v>
      </c>
      <c r="B9157" s="10">
        <f t="shared" ca="1" si="142"/>
        <v>9.2069731174141897E-2</v>
      </c>
      <c r="C9157" s="10">
        <f ca="1">NPV(B9157,Project_FCF!C18:J18)+Project_FCF!B18</f>
        <v>841.46862265184518</v>
      </c>
      <c r="D9157" s="4"/>
      <c r="E9157" s="4"/>
    </row>
    <row r="9158" spans="1:5" x14ac:dyDescent="0.3">
      <c r="A9158" s="9">
        <v>9150</v>
      </c>
      <c r="B9158" s="10">
        <f t="shared" ca="1" si="142"/>
        <v>9.3004636523075862E-2</v>
      </c>
      <c r="C9158" s="10">
        <f ca="1">NPV(B9158,Project_FCF!C18:J18)+Project_FCF!B18</f>
        <v>834.34168803050852</v>
      </c>
      <c r="D9158" s="4"/>
      <c r="E9158" s="4"/>
    </row>
    <row r="9159" spans="1:5" x14ac:dyDescent="0.3">
      <c r="A9159" s="9">
        <v>9151</v>
      </c>
      <c r="B9159" s="10">
        <f t="shared" ca="1" si="142"/>
        <v>0.10059470864138435</v>
      </c>
      <c r="C9159" s="10">
        <f ca="1">NPV(B9159,Project_FCF!C18:J18)+Project_FCF!B18</f>
        <v>778.36825534248374</v>
      </c>
      <c r="D9159" s="4"/>
      <c r="E9159" s="4"/>
    </row>
    <row r="9160" spans="1:5" x14ac:dyDescent="0.3">
      <c r="A9160" s="9">
        <v>9152</v>
      </c>
      <c r="B9160" s="10">
        <f t="shared" ca="1" si="142"/>
        <v>9.6406799098240098E-2</v>
      </c>
      <c r="C9160" s="10">
        <f ca="1">NPV(B9160,Project_FCF!C18:J18)+Project_FCF!B18</f>
        <v>808.84207248358643</v>
      </c>
      <c r="D9160" s="4"/>
      <c r="E9160" s="4"/>
    </row>
    <row r="9161" spans="1:5" x14ac:dyDescent="0.3">
      <c r="A9161" s="9">
        <v>9153</v>
      </c>
      <c r="B9161" s="10">
        <f t="shared" ref="B9161:B9224" ca="1" si="143">$B$4+RAND()*($B$5-$B$4)</f>
        <v>7.0407038053984891E-2</v>
      </c>
      <c r="C9161" s="10">
        <f ca="1">NPV(B9161,Project_FCF!C18:J18)+Project_FCF!B18</f>
        <v>1022.2425817731641</v>
      </c>
      <c r="D9161" s="4"/>
      <c r="E9161" s="4"/>
    </row>
    <row r="9162" spans="1:5" x14ac:dyDescent="0.3">
      <c r="A9162" s="9">
        <v>9154</v>
      </c>
      <c r="B9162" s="10">
        <f t="shared" ca="1" si="143"/>
        <v>0.10109797661608189</v>
      </c>
      <c r="C9162" s="10">
        <f ca="1">NPV(B9162,Project_FCF!C18:J18)+Project_FCF!B18</f>
        <v>774.7725216036506</v>
      </c>
      <c r="D9162" s="4"/>
      <c r="E9162" s="4"/>
    </row>
    <row r="9163" spans="1:5" x14ac:dyDescent="0.3">
      <c r="A9163" s="9">
        <v>9155</v>
      </c>
      <c r="B9163" s="10">
        <f t="shared" ca="1" si="143"/>
        <v>9.0663352532643918E-2</v>
      </c>
      <c r="C9163" s="10">
        <f ca="1">NPV(B9163,Project_FCF!C18:J18)+Project_FCF!B18</f>
        <v>852.28855543419149</v>
      </c>
      <c r="D9163" s="4"/>
      <c r="E9163" s="4"/>
    </row>
    <row r="9164" spans="1:5" x14ac:dyDescent="0.3">
      <c r="A9164" s="9">
        <v>9156</v>
      </c>
      <c r="B9164" s="10">
        <f t="shared" ca="1" si="143"/>
        <v>6.6886607113391644E-2</v>
      </c>
      <c r="C9164" s="10">
        <f ca="1">NPV(B9164,Project_FCF!C18:J18)+Project_FCF!B18</f>
        <v>1054.6840080747734</v>
      </c>
      <c r="D9164" s="4"/>
      <c r="E9164" s="4"/>
    </row>
    <row r="9165" spans="1:5" x14ac:dyDescent="0.3">
      <c r="A9165" s="9">
        <v>9157</v>
      </c>
      <c r="B9165" s="10">
        <f t="shared" ca="1" si="143"/>
        <v>9.7268536020225005E-2</v>
      </c>
      <c r="C9165" s="10">
        <f ca="1">NPV(B9165,Project_FCF!C18:J18)+Project_FCF!B18</f>
        <v>802.49006809807111</v>
      </c>
      <c r="D9165" s="4"/>
      <c r="E9165" s="4"/>
    </row>
    <row r="9166" spans="1:5" x14ac:dyDescent="0.3">
      <c r="A9166" s="9">
        <v>9158</v>
      </c>
      <c r="B9166" s="10">
        <f t="shared" ca="1" si="143"/>
        <v>7.9070515971541716E-2</v>
      </c>
      <c r="C9166" s="10">
        <f ca="1">NPV(B9166,Project_FCF!C18:J18)+Project_FCF!B18</f>
        <v>946.19688165972229</v>
      </c>
      <c r="D9166" s="4"/>
      <c r="E9166" s="4"/>
    </row>
    <row r="9167" spans="1:5" x14ac:dyDescent="0.3">
      <c r="A9167" s="9">
        <v>9159</v>
      </c>
      <c r="B9167" s="10">
        <f t="shared" ca="1" si="143"/>
        <v>9.4454416659429066E-2</v>
      </c>
      <c r="C9167" s="10">
        <f ca="1">NPV(B9167,Project_FCF!C18:J18)+Project_FCF!B18</f>
        <v>823.39243835855609</v>
      </c>
      <c r="D9167" s="4"/>
      <c r="E9167" s="4"/>
    </row>
    <row r="9168" spans="1:5" x14ac:dyDescent="0.3">
      <c r="A9168" s="9">
        <v>9160</v>
      </c>
      <c r="B9168" s="10">
        <f t="shared" ca="1" si="143"/>
        <v>9.7580457526593001E-2</v>
      </c>
      <c r="C9168" s="10">
        <f ca="1">NPV(B9168,Project_FCF!C18:J18)+Project_FCF!B18</f>
        <v>800.20134237729621</v>
      </c>
      <c r="D9168" s="4"/>
      <c r="E9168" s="4"/>
    </row>
    <row r="9169" spans="1:5" x14ac:dyDescent="0.3">
      <c r="A9169" s="9">
        <v>9161</v>
      </c>
      <c r="B9169" s="10">
        <f t="shared" ca="1" si="143"/>
        <v>7.6280528233726788E-2</v>
      </c>
      <c r="C9169" s="10">
        <f ca="1">NPV(B9169,Project_FCF!C18:J18)+Project_FCF!B18</f>
        <v>970.11488334442538</v>
      </c>
      <c r="D9169" s="4"/>
      <c r="E9169" s="4"/>
    </row>
    <row r="9170" spans="1:5" x14ac:dyDescent="0.3">
      <c r="A9170" s="9">
        <v>9162</v>
      </c>
      <c r="B9170" s="10">
        <f t="shared" ca="1" si="143"/>
        <v>8.2178595923937336E-2</v>
      </c>
      <c r="C9170" s="10">
        <f ca="1">NPV(B9170,Project_FCF!C18:J18)+Project_FCF!B18</f>
        <v>920.16918079539755</v>
      </c>
      <c r="D9170" s="4"/>
      <c r="E9170" s="4"/>
    </row>
    <row r="9171" spans="1:5" x14ac:dyDescent="0.3">
      <c r="A9171" s="9">
        <v>9163</v>
      </c>
      <c r="B9171" s="10">
        <f t="shared" ca="1" si="143"/>
        <v>7.432285180571481E-2</v>
      </c>
      <c r="C9171" s="10">
        <f ca="1">NPV(B9171,Project_FCF!C18:J18)+Project_FCF!B18</f>
        <v>987.21809460848294</v>
      </c>
      <c r="D9171" s="4"/>
      <c r="E9171" s="4"/>
    </row>
    <row r="9172" spans="1:5" x14ac:dyDescent="0.3">
      <c r="A9172" s="9">
        <v>9164</v>
      </c>
      <c r="B9172" s="10">
        <f t="shared" ca="1" si="143"/>
        <v>7.2119807874357775E-2</v>
      </c>
      <c r="C9172" s="10">
        <f ca="1">NPV(B9172,Project_FCF!C18:J18)+Project_FCF!B18</f>
        <v>1006.787693458047</v>
      </c>
      <c r="D9172" s="4"/>
      <c r="E9172" s="4"/>
    </row>
    <row r="9173" spans="1:5" x14ac:dyDescent="0.3">
      <c r="A9173" s="9">
        <v>9165</v>
      </c>
      <c r="B9173" s="10">
        <f t="shared" ca="1" si="143"/>
        <v>8.199560026530775E-2</v>
      </c>
      <c r="C9173" s="10">
        <f ca="1">NPV(B9173,Project_FCF!C18:J18)+Project_FCF!B18</f>
        <v>921.68390899034671</v>
      </c>
      <c r="D9173" s="4"/>
      <c r="E9173" s="4"/>
    </row>
    <row r="9174" spans="1:5" x14ac:dyDescent="0.3">
      <c r="A9174" s="9">
        <v>9166</v>
      </c>
      <c r="B9174" s="10">
        <f t="shared" ca="1" si="143"/>
        <v>6.6286010520832467E-2</v>
      </c>
      <c r="C9174" s="10">
        <f ca="1">NPV(B9174,Project_FCF!C18:J18)+Project_FCF!B18</f>
        <v>1060.3109809367545</v>
      </c>
      <c r="D9174" s="4"/>
      <c r="E9174" s="4"/>
    </row>
    <row r="9175" spans="1:5" x14ac:dyDescent="0.3">
      <c r="A9175" s="9">
        <v>9167</v>
      </c>
      <c r="B9175" s="10">
        <f t="shared" ca="1" si="143"/>
        <v>9.7738616934897882E-2</v>
      </c>
      <c r="C9175" s="10">
        <f ca="1">NPV(B9175,Project_FCF!C18:J18)+Project_FCF!B18</f>
        <v>799.04297067265543</v>
      </c>
      <c r="D9175" s="4"/>
      <c r="E9175" s="4"/>
    </row>
    <row r="9176" spans="1:5" x14ac:dyDescent="0.3">
      <c r="A9176" s="9">
        <v>9168</v>
      </c>
      <c r="B9176" s="10">
        <f t="shared" ca="1" si="143"/>
        <v>8.9732937261323545E-2</v>
      </c>
      <c r="C9176" s="10">
        <f ca="1">NPV(B9176,Project_FCF!C18:J18)+Project_FCF!B18</f>
        <v>859.51260792929543</v>
      </c>
      <c r="D9176" s="4"/>
      <c r="E9176" s="4"/>
    </row>
    <row r="9177" spans="1:5" x14ac:dyDescent="0.3">
      <c r="A9177" s="9">
        <v>9169</v>
      </c>
      <c r="B9177" s="10">
        <f t="shared" ca="1" si="143"/>
        <v>7.5983237729320127E-2</v>
      </c>
      <c r="C9177" s="10">
        <f ca="1">NPV(B9177,Project_FCF!C18:J18)+Project_FCF!B18</f>
        <v>972.6949798983394</v>
      </c>
      <c r="D9177" s="4"/>
      <c r="E9177" s="4"/>
    </row>
    <row r="9178" spans="1:5" x14ac:dyDescent="0.3">
      <c r="A9178" s="9">
        <v>9170</v>
      </c>
      <c r="B9178" s="10">
        <f t="shared" ca="1" si="143"/>
        <v>8.943028337449177E-2</v>
      </c>
      <c r="C9178" s="10">
        <f ca="1">NPV(B9178,Project_FCF!C18:J18)+Project_FCF!B18</f>
        <v>861.8739189350224</v>
      </c>
      <c r="D9178" s="4"/>
      <c r="E9178" s="4"/>
    </row>
    <row r="9179" spans="1:5" x14ac:dyDescent="0.3">
      <c r="A9179" s="9">
        <v>9171</v>
      </c>
      <c r="B9179" s="10">
        <f t="shared" ca="1" si="143"/>
        <v>9.4600411098446163E-2</v>
      </c>
      <c r="C9179" s="10">
        <f ca="1">NPV(B9179,Project_FCF!C18:J18)+Project_FCF!B18</f>
        <v>822.29670300022576</v>
      </c>
      <c r="D9179" s="4"/>
      <c r="E9179" s="4"/>
    </row>
    <row r="9180" spans="1:5" x14ac:dyDescent="0.3">
      <c r="A9180" s="9">
        <v>9172</v>
      </c>
      <c r="B9180" s="10">
        <f t="shared" ca="1" si="143"/>
        <v>0.10226610394117189</v>
      </c>
      <c r="C9180" s="10">
        <f ca="1">NPV(B9180,Project_FCF!C18:J18)+Project_FCF!B18</f>
        <v>766.48045175576794</v>
      </c>
      <c r="D9180" s="4"/>
      <c r="E9180" s="4"/>
    </row>
    <row r="9181" spans="1:5" x14ac:dyDescent="0.3">
      <c r="A9181" s="9">
        <v>9173</v>
      </c>
      <c r="B9181" s="10">
        <f t="shared" ca="1" si="143"/>
        <v>7.2762342526598078E-2</v>
      </c>
      <c r="C9181" s="10">
        <f ca="1">NPV(B9181,Project_FCF!C18:J18)+Project_FCF!B18</f>
        <v>1001.0443886993692</v>
      </c>
      <c r="D9181" s="4"/>
      <c r="E9181" s="4"/>
    </row>
    <row r="9182" spans="1:5" x14ac:dyDescent="0.3">
      <c r="A9182" s="9">
        <v>9174</v>
      </c>
      <c r="B9182" s="10">
        <f t="shared" ca="1" si="143"/>
        <v>7.5218850236672144E-2</v>
      </c>
      <c r="C9182" s="10">
        <f ca="1">NPV(B9182,Project_FCF!C18:J18)+Project_FCF!B18</f>
        <v>979.35703764616801</v>
      </c>
      <c r="D9182" s="4"/>
      <c r="E9182" s="4"/>
    </row>
    <row r="9183" spans="1:5" x14ac:dyDescent="0.3">
      <c r="A9183" s="9">
        <v>9175</v>
      </c>
      <c r="B9183" s="10">
        <f t="shared" ca="1" si="143"/>
        <v>8.9196524444282818E-2</v>
      </c>
      <c r="C9183" s="10">
        <f ca="1">NPV(B9183,Project_FCF!C18:J18)+Project_FCF!B18</f>
        <v>863.70155939292431</v>
      </c>
      <c r="D9183" s="4"/>
      <c r="E9183" s="4"/>
    </row>
    <row r="9184" spans="1:5" x14ac:dyDescent="0.3">
      <c r="A9184" s="9">
        <v>9176</v>
      </c>
      <c r="B9184" s="10">
        <f t="shared" ca="1" si="143"/>
        <v>6.6917525812013878E-2</v>
      </c>
      <c r="C9184" s="10">
        <f ca="1">NPV(B9184,Project_FCF!C18:J18)+Project_FCF!B18</f>
        <v>1054.3950680552064</v>
      </c>
      <c r="D9184" s="4"/>
      <c r="E9184" s="4"/>
    </row>
    <row r="9185" spans="1:5" x14ac:dyDescent="0.3">
      <c r="A9185" s="9">
        <v>9177</v>
      </c>
      <c r="B9185" s="10">
        <f t="shared" ca="1" si="143"/>
        <v>7.1279876714748183E-2</v>
      </c>
      <c r="C9185" s="10">
        <f ca="1">NPV(B9185,Project_FCF!C18:J18)+Project_FCF!B18</f>
        <v>1014.3401504897029</v>
      </c>
      <c r="D9185" s="4"/>
      <c r="E9185" s="4"/>
    </row>
    <row r="9186" spans="1:5" x14ac:dyDescent="0.3">
      <c r="A9186" s="9">
        <v>9178</v>
      </c>
      <c r="B9186" s="10">
        <f t="shared" ca="1" si="143"/>
        <v>8.0569888039829202E-2</v>
      </c>
      <c r="C9186" s="10">
        <f ca="1">NPV(B9186,Project_FCF!C18:J18)+Project_FCF!B18</f>
        <v>933.56066169467886</v>
      </c>
      <c r="D9186" s="4"/>
      <c r="E9186" s="4"/>
    </row>
    <row r="9187" spans="1:5" x14ac:dyDescent="0.3">
      <c r="A9187" s="9">
        <v>9179</v>
      </c>
      <c r="B9187" s="10">
        <f t="shared" ca="1" si="143"/>
        <v>8.4845352155631715E-2</v>
      </c>
      <c r="C9187" s="10">
        <f ca="1">NPV(B9187,Project_FCF!C18:J18)+Project_FCF!B18</f>
        <v>898.34255713111997</v>
      </c>
      <c r="D9187" s="4"/>
      <c r="E9187" s="4"/>
    </row>
    <row r="9188" spans="1:5" x14ac:dyDescent="0.3">
      <c r="A9188" s="9">
        <v>9180</v>
      </c>
      <c r="B9188" s="10">
        <f t="shared" ca="1" si="143"/>
        <v>7.4857420767533947E-2</v>
      </c>
      <c r="C9188" s="10">
        <f ca="1">NPV(B9188,Project_FCF!C18:J18)+Project_FCF!B18</f>
        <v>982.52127689846134</v>
      </c>
      <c r="D9188" s="4"/>
      <c r="E9188" s="4"/>
    </row>
    <row r="9189" spans="1:5" x14ac:dyDescent="0.3">
      <c r="A9189" s="9">
        <v>9181</v>
      </c>
      <c r="B9189" s="10">
        <f t="shared" ca="1" si="143"/>
        <v>9.3344422884348438E-2</v>
      </c>
      <c r="C9189" s="10">
        <f ca="1">NPV(B9189,Project_FCF!C18:J18)+Project_FCF!B18</f>
        <v>831.76434502309439</v>
      </c>
      <c r="D9189" s="4"/>
      <c r="E9189" s="4"/>
    </row>
    <row r="9190" spans="1:5" x14ac:dyDescent="0.3">
      <c r="A9190" s="9">
        <v>9182</v>
      </c>
      <c r="B9190" s="10">
        <f t="shared" ca="1" si="143"/>
        <v>8.5412557317561311E-2</v>
      </c>
      <c r="C9190" s="10">
        <f ca="1">NPV(B9190,Project_FCF!C18:J18)+Project_FCF!B18</f>
        <v>893.75920264226011</v>
      </c>
      <c r="D9190" s="4"/>
      <c r="E9190" s="4"/>
    </row>
    <row r="9191" spans="1:5" x14ac:dyDescent="0.3">
      <c r="A9191" s="9">
        <v>9183</v>
      </c>
      <c r="B9191" s="10">
        <f t="shared" ca="1" si="143"/>
        <v>8.5892204710705064E-2</v>
      </c>
      <c r="C9191" s="10">
        <f ca="1">NPV(B9191,Project_FCF!C18:J18)+Project_FCF!B18</f>
        <v>889.89935316375318</v>
      </c>
      <c r="D9191" s="4"/>
      <c r="E9191" s="4"/>
    </row>
    <row r="9192" spans="1:5" x14ac:dyDescent="0.3">
      <c r="A9192" s="9">
        <v>9184</v>
      </c>
      <c r="B9192" s="10">
        <f t="shared" ca="1" si="143"/>
        <v>6.9983246898239704E-2</v>
      </c>
      <c r="C9192" s="10">
        <f ca="1">NPV(B9192,Project_FCF!C18:J18)+Project_FCF!B18</f>
        <v>1026.0994721292971</v>
      </c>
      <c r="D9192" s="4"/>
      <c r="E9192" s="4"/>
    </row>
    <row r="9193" spans="1:5" x14ac:dyDescent="0.3">
      <c r="A9193" s="9">
        <v>9185</v>
      </c>
      <c r="B9193" s="10">
        <f t="shared" ca="1" si="143"/>
        <v>6.9944966620002186E-2</v>
      </c>
      <c r="C9193" s="10">
        <f ca="1">NPV(B9193,Project_FCF!C18:J18)+Project_FCF!B18</f>
        <v>1026.4485045866791</v>
      </c>
      <c r="D9193" s="4"/>
      <c r="E9193" s="4"/>
    </row>
    <row r="9194" spans="1:5" x14ac:dyDescent="0.3">
      <c r="A9194" s="9">
        <v>9186</v>
      </c>
      <c r="B9194" s="10">
        <f t="shared" ca="1" si="143"/>
        <v>7.4315359260050701E-2</v>
      </c>
      <c r="C9194" s="10">
        <f ca="1">NPV(B9194,Project_FCF!C18:J18)+Project_FCF!B18</f>
        <v>987.28406810509296</v>
      </c>
      <c r="D9194" s="4"/>
      <c r="E9194" s="4"/>
    </row>
    <row r="9195" spans="1:5" x14ac:dyDescent="0.3">
      <c r="A9195" s="9">
        <v>9187</v>
      </c>
      <c r="B9195" s="10">
        <f t="shared" ca="1" si="143"/>
        <v>9.6461937357140232E-2</v>
      </c>
      <c r="C9195" s="10">
        <f ca="1">NPV(B9195,Project_FCF!C18:J18)+Project_FCF!B18</f>
        <v>808.43435962745207</v>
      </c>
      <c r="D9195" s="4"/>
      <c r="E9195" s="4"/>
    </row>
    <row r="9196" spans="1:5" x14ac:dyDescent="0.3">
      <c r="A9196" s="9">
        <v>9188</v>
      </c>
      <c r="B9196" s="10">
        <f t="shared" ca="1" si="143"/>
        <v>8.3183676059602751E-2</v>
      </c>
      <c r="C9196" s="10">
        <f ca="1">NPV(B9196,Project_FCF!C18:J18)+Project_FCF!B18</f>
        <v>911.88876396367937</v>
      </c>
      <c r="D9196" s="4"/>
      <c r="E9196" s="4"/>
    </row>
    <row r="9197" spans="1:5" x14ac:dyDescent="0.3">
      <c r="A9197" s="9">
        <v>9189</v>
      </c>
      <c r="B9197" s="10">
        <f t="shared" ca="1" si="143"/>
        <v>7.5343924457657932E-2</v>
      </c>
      <c r="C9197" s="10">
        <f ca="1">NPV(B9197,Project_FCF!C18:J18)+Project_FCF!B18</f>
        <v>978.26416402962991</v>
      </c>
      <c r="D9197" s="4"/>
      <c r="E9197" s="4"/>
    </row>
    <row r="9198" spans="1:5" x14ac:dyDescent="0.3">
      <c r="A9198" s="9">
        <v>9190</v>
      </c>
      <c r="B9198" s="10">
        <f t="shared" ca="1" si="143"/>
        <v>9.87457143306191E-2</v>
      </c>
      <c r="C9198" s="10">
        <f ca="1">NPV(B9198,Project_FCF!C18:J18)+Project_FCF!B18</f>
        <v>791.70028833219135</v>
      </c>
      <c r="D9198" s="4"/>
      <c r="E9198" s="4"/>
    </row>
    <row r="9199" spans="1:5" x14ac:dyDescent="0.3">
      <c r="A9199" s="9">
        <v>9191</v>
      </c>
      <c r="B9199" s="10">
        <f t="shared" ca="1" si="143"/>
        <v>9.2360003725701648E-2</v>
      </c>
      <c r="C9199" s="10">
        <f ca="1">NPV(B9199,Project_FCF!C18:J18)+Project_FCF!B18</f>
        <v>839.25023718354464</v>
      </c>
      <c r="D9199" s="4"/>
      <c r="E9199" s="4"/>
    </row>
    <row r="9200" spans="1:5" x14ac:dyDescent="0.3">
      <c r="A9200" s="9">
        <v>9192</v>
      </c>
      <c r="B9200" s="10">
        <f t="shared" ca="1" si="143"/>
        <v>7.7648480731287495E-2</v>
      </c>
      <c r="C9200" s="10">
        <f ca="1">NPV(B9200,Project_FCF!C18:J18)+Project_FCF!B18</f>
        <v>958.32130647547183</v>
      </c>
      <c r="D9200" s="4"/>
      <c r="E9200" s="4"/>
    </row>
    <row r="9201" spans="1:5" x14ac:dyDescent="0.3">
      <c r="A9201" s="9">
        <v>9193</v>
      </c>
      <c r="B9201" s="10">
        <f t="shared" ca="1" si="143"/>
        <v>6.8060214273123434E-2</v>
      </c>
      <c r="C9201" s="10">
        <f ca="1">NPV(B9201,Project_FCF!C18:J18)+Project_FCF!B18</f>
        <v>1043.7667734772349</v>
      </c>
      <c r="D9201" s="4"/>
      <c r="E9201" s="4"/>
    </row>
    <row r="9202" spans="1:5" x14ac:dyDescent="0.3">
      <c r="A9202" s="9">
        <v>9194</v>
      </c>
      <c r="B9202" s="10">
        <f t="shared" ca="1" si="143"/>
        <v>9.2920003572357829E-2</v>
      </c>
      <c r="C9202" s="10">
        <f ca="1">NPV(B9202,Project_FCF!C18:J18)+Project_FCF!B18</f>
        <v>834.9847121687958</v>
      </c>
      <c r="D9202" s="4"/>
      <c r="E9202" s="4"/>
    </row>
    <row r="9203" spans="1:5" x14ac:dyDescent="0.3">
      <c r="A9203" s="9">
        <v>9195</v>
      </c>
      <c r="B9203" s="10">
        <f t="shared" ca="1" si="143"/>
        <v>9.7135297376841012E-2</v>
      </c>
      <c r="C9203" s="10">
        <f ca="1">NPV(B9203,Project_FCF!C18:J18)+Project_FCF!B18</f>
        <v>803.46940469085121</v>
      </c>
      <c r="D9203" s="4"/>
      <c r="E9203" s="4"/>
    </row>
    <row r="9204" spans="1:5" x14ac:dyDescent="0.3">
      <c r="A9204" s="9">
        <v>9196</v>
      </c>
      <c r="B9204" s="10">
        <f t="shared" ca="1" si="143"/>
        <v>8.6343198432264734E-2</v>
      </c>
      <c r="C9204" s="10">
        <f ca="1">NPV(B9204,Project_FCF!C18:J18)+Project_FCF!B18</f>
        <v>886.28339020529484</v>
      </c>
      <c r="D9204" s="4"/>
      <c r="E9204" s="4"/>
    </row>
    <row r="9205" spans="1:5" x14ac:dyDescent="0.3">
      <c r="A9205" s="9">
        <v>9197</v>
      </c>
      <c r="B9205" s="10">
        <f t="shared" ca="1" si="143"/>
        <v>7.6200101767416886E-2</v>
      </c>
      <c r="C9205" s="10">
        <f ca="1">NPV(B9205,Project_FCF!C18:J18)+Project_FCF!B18</f>
        <v>970.81227739313908</v>
      </c>
      <c r="D9205" s="4"/>
      <c r="E9205" s="4"/>
    </row>
    <row r="9206" spans="1:5" x14ac:dyDescent="0.3">
      <c r="A9206" s="9">
        <v>9198</v>
      </c>
      <c r="B9206" s="10">
        <f t="shared" ca="1" si="143"/>
        <v>0.10356696237570384</v>
      </c>
      <c r="C9206" s="10">
        <f ca="1">NPV(B9206,Project_FCF!C18:J18)+Project_FCF!B18</f>
        <v>757.33412275746377</v>
      </c>
      <c r="D9206" s="4"/>
      <c r="E9206" s="4"/>
    </row>
    <row r="9207" spans="1:5" x14ac:dyDescent="0.3">
      <c r="A9207" s="9">
        <v>9199</v>
      </c>
      <c r="B9207" s="10">
        <f t="shared" ca="1" si="143"/>
        <v>6.6143703498669437E-2</v>
      </c>
      <c r="C9207" s="10">
        <f ca="1">NPV(B9207,Project_FCF!C18:J18)+Project_FCF!B18</f>
        <v>1061.6482481797179</v>
      </c>
      <c r="D9207" s="4"/>
      <c r="E9207" s="4"/>
    </row>
    <row r="9208" spans="1:5" x14ac:dyDescent="0.3">
      <c r="A9208" s="9">
        <v>9200</v>
      </c>
      <c r="B9208" s="10">
        <f t="shared" ca="1" si="143"/>
        <v>0.10145383304623563</v>
      </c>
      <c r="C9208" s="10">
        <f ca="1">NPV(B9208,Project_FCF!C18:J18)+Project_FCF!B18</f>
        <v>772.23847457129636</v>
      </c>
      <c r="D9208" s="4"/>
      <c r="E9208" s="4"/>
    </row>
    <row r="9209" spans="1:5" x14ac:dyDescent="0.3">
      <c r="A9209" s="9">
        <v>9201</v>
      </c>
      <c r="B9209" s="10">
        <f t="shared" ca="1" si="143"/>
        <v>9.6530012566206885E-2</v>
      </c>
      <c r="C9209" s="10">
        <f ca="1">NPV(B9209,Project_FCF!C18:J18)+Project_FCF!B18</f>
        <v>807.93122801086702</v>
      </c>
      <c r="D9209" s="4"/>
      <c r="E9209" s="4"/>
    </row>
    <row r="9210" spans="1:5" x14ac:dyDescent="0.3">
      <c r="A9210" s="9">
        <v>9202</v>
      </c>
      <c r="B9210" s="10">
        <f t="shared" ca="1" si="143"/>
        <v>8.6726879079860916E-2</v>
      </c>
      <c r="C9210" s="10">
        <f ca="1">NPV(B9210,Project_FCF!C18:J18)+Project_FCF!B18</f>
        <v>883.2172383058878</v>
      </c>
      <c r="D9210" s="4"/>
      <c r="E9210" s="4"/>
    </row>
    <row r="9211" spans="1:5" x14ac:dyDescent="0.3">
      <c r="A9211" s="9">
        <v>9203</v>
      </c>
      <c r="B9211" s="10">
        <f t="shared" ca="1" si="143"/>
        <v>8.2962476582484623E-2</v>
      </c>
      <c r="C9211" s="10">
        <f ca="1">NPV(B9211,Project_FCF!C18:J18)+Project_FCF!B18</f>
        <v>913.70547850389062</v>
      </c>
      <c r="D9211" s="4"/>
      <c r="E9211" s="4"/>
    </row>
    <row r="9212" spans="1:5" x14ac:dyDescent="0.3">
      <c r="A9212" s="9">
        <v>9204</v>
      </c>
      <c r="B9212" s="10">
        <f t="shared" ca="1" si="143"/>
        <v>7.6943120053469705E-2</v>
      </c>
      <c r="C9212" s="10">
        <f ca="1">NPV(B9212,Project_FCF!C18:J18)+Project_FCF!B18</f>
        <v>964.38640250401045</v>
      </c>
      <c r="D9212" s="4"/>
      <c r="E9212" s="4"/>
    </row>
    <row r="9213" spans="1:5" x14ac:dyDescent="0.3">
      <c r="A9213" s="9">
        <v>9205</v>
      </c>
      <c r="B9213" s="10">
        <f t="shared" ca="1" si="143"/>
        <v>9.5463603216553061E-2</v>
      </c>
      <c r="C9213" s="10">
        <f ca="1">NPV(B9213,Project_FCF!C18:J18)+Project_FCF!B18</f>
        <v>815.84365393221401</v>
      </c>
      <c r="D9213" s="4"/>
      <c r="E9213" s="4"/>
    </row>
    <row r="9214" spans="1:5" x14ac:dyDescent="0.3">
      <c r="A9214" s="9">
        <v>9206</v>
      </c>
      <c r="B9214" s="10">
        <f t="shared" ca="1" si="143"/>
        <v>0.10247705578917299</v>
      </c>
      <c r="C9214" s="10">
        <f ca="1">NPV(B9214,Project_FCF!C18:J18)+Project_FCF!B18</f>
        <v>764.99098029633592</v>
      </c>
      <c r="D9214" s="4"/>
      <c r="E9214" s="4"/>
    </row>
    <row r="9215" spans="1:5" x14ac:dyDescent="0.3">
      <c r="A9215" s="9">
        <v>9207</v>
      </c>
      <c r="B9215" s="10">
        <f t="shared" ca="1" si="143"/>
        <v>9.9454894345729725E-2</v>
      </c>
      <c r="C9215" s="10">
        <f ca="1">NPV(B9215,Project_FCF!C18:J18)+Project_FCF!B18</f>
        <v>786.56412862504544</v>
      </c>
      <c r="D9215" s="4"/>
      <c r="E9215" s="4"/>
    </row>
    <row r="9216" spans="1:5" x14ac:dyDescent="0.3">
      <c r="A9216" s="9">
        <v>9208</v>
      </c>
      <c r="B9216" s="10">
        <f t="shared" ca="1" si="143"/>
        <v>6.8959746874661554E-2</v>
      </c>
      <c r="C9216" s="10">
        <f ca="1">NPV(B9216,Project_FCF!C18:J18)+Project_FCF!B18</f>
        <v>1035.4685803425814</v>
      </c>
      <c r="D9216" s="4"/>
      <c r="E9216" s="4"/>
    </row>
    <row r="9217" spans="1:5" x14ac:dyDescent="0.3">
      <c r="A9217" s="9">
        <v>9209</v>
      </c>
      <c r="B9217" s="10">
        <f t="shared" ca="1" si="143"/>
        <v>9.4492064426996605E-2</v>
      </c>
      <c r="C9217" s="10">
        <f ca="1">NPV(B9217,Project_FCF!C18:J18)+Project_FCF!B18</f>
        <v>823.1097600360365</v>
      </c>
      <c r="D9217" s="4"/>
      <c r="E9217" s="4"/>
    </row>
    <row r="9218" spans="1:5" x14ac:dyDescent="0.3">
      <c r="A9218" s="9">
        <v>9210</v>
      </c>
      <c r="B9218" s="10">
        <f t="shared" ca="1" si="143"/>
        <v>9.9264031000067018E-2</v>
      </c>
      <c r="C9218" s="10">
        <f ca="1">NPV(B9218,Project_FCF!C18:J18)+Project_FCF!B18</f>
        <v>787.94365030064387</v>
      </c>
      <c r="D9218" s="4"/>
      <c r="E9218" s="4"/>
    </row>
    <row r="9219" spans="1:5" x14ac:dyDescent="0.3">
      <c r="A9219" s="9">
        <v>9211</v>
      </c>
      <c r="B9219" s="10">
        <f t="shared" ca="1" si="143"/>
        <v>6.7281133378022093E-2</v>
      </c>
      <c r="C9219" s="10">
        <f ca="1">NPV(B9219,Project_FCF!C18:J18)+Project_FCF!B18</f>
        <v>1051.0024930713298</v>
      </c>
      <c r="D9219" s="4"/>
      <c r="E9219" s="4"/>
    </row>
    <row r="9220" spans="1:5" x14ac:dyDescent="0.3">
      <c r="A9220" s="9">
        <v>9212</v>
      </c>
      <c r="B9220" s="10">
        <f t="shared" ca="1" si="143"/>
        <v>7.8515862521507412E-2</v>
      </c>
      <c r="C9220" s="10">
        <f ca="1">NPV(B9220,Project_FCF!C18:J18)+Project_FCF!B18</f>
        <v>950.9096061152693</v>
      </c>
      <c r="D9220" s="4"/>
      <c r="E9220" s="4"/>
    </row>
    <row r="9221" spans="1:5" x14ac:dyDescent="0.3">
      <c r="A9221" s="9">
        <v>9213</v>
      </c>
      <c r="B9221" s="10">
        <f t="shared" ca="1" si="143"/>
        <v>6.6081385905613146E-2</v>
      </c>
      <c r="C9221" s="10">
        <f ca="1">NPV(B9221,Project_FCF!C18:J18)+Project_FCF!B18</f>
        <v>1062.2343334286304</v>
      </c>
      <c r="D9221" s="4"/>
      <c r="E9221" s="4"/>
    </row>
    <row r="9222" spans="1:5" x14ac:dyDescent="0.3">
      <c r="A9222" s="9">
        <v>9214</v>
      </c>
      <c r="B9222" s="10">
        <f t="shared" ca="1" si="143"/>
        <v>9.1781046869943067E-2</v>
      </c>
      <c r="C9222" s="10">
        <f ca="1">NPV(B9222,Project_FCF!C18:J18)+Project_FCF!B18</f>
        <v>843.67988205920005</v>
      </c>
      <c r="D9222" s="4"/>
      <c r="E9222" s="4"/>
    </row>
    <row r="9223" spans="1:5" x14ac:dyDescent="0.3">
      <c r="A9223" s="9">
        <v>9215</v>
      </c>
      <c r="B9223" s="10">
        <f t="shared" ca="1" si="143"/>
        <v>8.1372027300404229E-2</v>
      </c>
      <c r="C9223" s="10">
        <f ca="1">NPV(B9223,Project_FCF!C18:J18)+Project_FCF!B18</f>
        <v>926.86200185556618</v>
      </c>
      <c r="D9223" s="4"/>
      <c r="E9223" s="4"/>
    </row>
    <row r="9224" spans="1:5" x14ac:dyDescent="0.3">
      <c r="A9224" s="9">
        <v>9216</v>
      </c>
      <c r="B9224" s="10">
        <f t="shared" ca="1" si="143"/>
        <v>6.7913388180564443E-2</v>
      </c>
      <c r="C9224" s="10">
        <f ca="1">NPV(B9224,Project_FCF!C18:J18)+Project_FCF!B18</f>
        <v>1045.1269543630888</v>
      </c>
      <c r="D9224" s="4"/>
      <c r="E9224" s="4"/>
    </row>
    <row r="9225" spans="1:5" x14ac:dyDescent="0.3">
      <c r="A9225" s="9">
        <v>9217</v>
      </c>
      <c r="B9225" s="10">
        <f t="shared" ref="B9225:B9288" ca="1" si="144">$B$4+RAND()*($B$5-$B$4)</f>
        <v>6.6914741649404932E-2</v>
      </c>
      <c r="C9225" s="10">
        <f ca="1">NPV(B9225,Project_FCF!C18:J18)+Project_FCF!B18</f>
        <v>1054.4210835366912</v>
      </c>
      <c r="D9225" s="4"/>
      <c r="E9225" s="4"/>
    </row>
    <row r="9226" spans="1:5" x14ac:dyDescent="0.3">
      <c r="A9226" s="9">
        <v>9218</v>
      </c>
      <c r="B9226" s="10">
        <f t="shared" ca="1" si="144"/>
        <v>9.7533458052087504E-2</v>
      </c>
      <c r="C9226" s="10">
        <f ca="1">NPV(B9226,Project_FCF!C18:J18)+Project_FCF!B18</f>
        <v>800.54584537899268</v>
      </c>
      <c r="D9226" s="4"/>
      <c r="E9226" s="4"/>
    </row>
    <row r="9227" spans="1:5" x14ac:dyDescent="0.3">
      <c r="A9227" s="9">
        <v>9219</v>
      </c>
      <c r="B9227" s="10">
        <f t="shared" ca="1" si="144"/>
        <v>0.10089329764000468</v>
      </c>
      <c r="C9227" s="10">
        <f ca="1">NPV(B9227,Project_FCF!C18:J18)+Project_FCF!B18</f>
        <v>776.23321073493503</v>
      </c>
      <c r="D9227" s="4"/>
      <c r="E9227" s="4"/>
    </row>
    <row r="9228" spans="1:5" x14ac:dyDescent="0.3">
      <c r="A9228" s="9">
        <v>9220</v>
      </c>
      <c r="B9228" s="10">
        <f t="shared" ca="1" si="144"/>
        <v>8.209430524157732E-2</v>
      </c>
      <c r="C9228" s="10">
        <f ca="1">NPV(B9228,Project_FCF!C18:J18)+Project_FCF!B18</f>
        <v>920.86661560590505</v>
      </c>
      <c r="D9228" s="4"/>
      <c r="E9228" s="4"/>
    </row>
    <row r="9229" spans="1:5" x14ac:dyDescent="0.3">
      <c r="A9229" s="9">
        <v>9221</v>
      </c>
      <c r="B9229" s="10">
        <f t="shared" ca="1" si="144"/>
        <v>6.8542442538715484E-2</v>
      </c>
      <c r="C9229" s="10">
        <f ca="1">NPV(B9229,Project_FCF!C18:J18)+Project_FCF!B18</f>
        <v>1039.3107509870429</v>
      </c>
      <c r="D9229" s="4"/>
      <c r="E9229" s="4"/>
    </row>
    <row r="9230" spans="1:5" x14ac:dyDescent="0.3">
      <c r="A9230" s="9">
        <v>9222</v>
      </c>
      <c r="B9230" s="10">
        <f t="shared" ca="1" si="144"/>
        <v>8.9583038919763339E-2</v>
      </c>
      <c r="C9230" s="10">
        <f ca="1">NPV(B9230,Project_FCF!C18:J18)+Project_FCF!B18</f>
        <v>860.68141537246834</v>
      </c>
      <c r="D9230" s="4"/>
      <c r="E9230" s="4"/>
    </row>
    <row r="9231" spans="1:5" x14ac:dyDescent="0.3">
      <c r="A9231" s="9">
        <v>9223</v>
      </c>
      <c r="B9231" s="10">
        <f t="shared" ca="1" si="144"/>
        <v>6.6784506334645985E-2</v>
      </c>
      <c r="C9231" s="10">
        <f ca="1">NPV(B9231,Project_FCF!C18:J18)+Project_FCF!B18</f>
        <v>1055.6386670857335</v>
      </c>
      <c r="D9231" s="4"/>
      <c r="E9231" s="4"/>
    </row>
    <row r="9232" spans="1:5" x14ac:dyDescent="0.3">
      <c r="A9232" s="9">
        <v>9224</v>
      </c>
      <c r="B9232" s="10">
        <f t="shared" ca="1" si="144"/>
        <v>0.10069425223471909</v>
      </c>
      <c r="C9232" s="10">
        <f ca="1">NPV(B9232,Project_FCF!C18:J18)+Project_FCF!B18</f>
        <v>777.65592404127051</v>
      </c>
      <c r="D9232" s="4"/>
      <c r="E9232" s="4"/>
    </row>
    <row r="9233" spans="1:5" x14ac:dyDescent="0.3">
      <c r="A9233" s="9">
        <v>9225</v>
      </c>
      <c r="B9233" s="10">
        <f t="shared" ca="1" si="144"/>
        <v>9.7688220443834892E-2</v>
      </c>
      <c r="C9233" s="10">
        <f ca="1">NPV(B9233,Project_FCF!C18:J18)+Project_FCF!B18</f>
        <v>799.41192351556447</v>
      </c>
      <c r="D9233" s="4"/>
      <c r="E9233" s="4"/>
    </row>
    <row r="9234" spans="1:5" x14ac:dyDescent="0.3">
      <c r="A9234" s="9">
        <v>9226</v>
      </c>
      <c r="B9234" s="10">
        <f t="shared" ca="1" si="144"/>
        <v>0.10297612921437715</v>
      </c>
      <c r="C9234" s="10">
        <f ca="1">NPV(B9234,Project_FCF!C18:J18)+Project_FCF!B18</f>
        <v>761.47684411203022</v>
      </c>
      <c r="D9234" s="4"/>
      <c r="E9234" s="4"/>
    </row>
    <row r="9235" spans="1:5" x14ac:dyDescent="0.3">
      <c r="A9235" s="9">
        <v>9227</v>
      </c>
      <c r="B9235" s="10">
        <f t="shared" ca="1" si="144"/>
        <v>8.054103371816955E-2</v>
      </c>
      <c r="C9235" s="10">
        <f ca="1">NPV(B9235,Project_FCF!C18:J18)+Project_FCF!B18</f>
        <v>933.80241930074567</v>
      </c>
      <c r="D9235" s="4"/>
      <c r="E9235" s="4"/>
    </row>
    <row r="9236" spans="1:5" x14ac:dyDescent="0.3">
      <c r="A9236" s="9">
        <v>9228</v>
      </c>
      <c r="B9236" s="10">
        <f t="shared" ca="1" si="144"/>
        <v>0.1027992206589731</v>
      </c>
      <c r="C9236" s="10">
        <f ca="1">NPV(B9236,Project_FCF!C18:J18)+Project_FCF!B18</f>
        <v>762.72095949973732</v>
      </c>
      <c r="D9236" s="4"/>
      <c r="E9236" s="4"/>
    </row>
    <row r="9237" spans="1:5" x14ac:dyDescent="0.3">
      <c r="A9237" s="9">
        <v>9229</v>
      </c>
      <c r="B9237" s="10">
        <f t="shared" ca="1" si="144"/>
        <v>7.2723384088864973E-2</v>
      </c>
      <c r="C9237" s="10">
        <f ca="1">NPV(B9237,Project_FCF!C18:J18)+Project_FCF!B18</f>
        <v>1001.3917783880461</v>
      </c>
      <c r="D9237" s="4"/>
      <c r="E9237" s="4"/>
    </row>
    <row r="9238" spans="1:5" x14ac:dyDescent="0.3">
      <c r="A9238" s="9">
        <v>9230</v>
      </c>
      <c r="B9238" s="10">
        <f t="shared" ca="1" si="144"/>
        <v>7.6786864454360393E-2</v>
      </c>
      <c r="C9238" s="10">
        <f ca="1">NPV(B9238,Project_FCF!C18:J18)+Project_FCF!B18</f>
        <v>965.7345955971789</v>
      </c>
      <c r="D9238" s="4"/>
      <c r="E9238" s="4"/>
    </row>
    <row r="9239" spans="1:5" x14ac:dyDescent="0.3">
      <c r="A9239" s="9">
        <v>9231</v>
      </c>
      <c r="B9239" s="10">
        <f t="shared" ca="1" si="144"/>
        <v>7.7511165106636248E-2</v>
      </c>
      <c r="C9239" s="10">
        <f ca="1">NPV(B9239,Project_FCF!C18:J18)+Project_FCF!B18</f>
        <v>959.49935551799399</v>
      </c>
      <c r="D9239" s="4"/>
      <c r="E9239" s="4"/>
    </row>
    <row r="9240" spans="1:5" x14ac:dyDescent="0.3">
      <c r="A9240" s="9">
        <v>9232</v>
      </c>
      <c r="B9240" s="10">
        <f t="shared" ca="1" si="144"/>
        <v>9.1638845451201767E-2</v>
      </c>
      <c r="C9240" s="10">
        <f ca="1">NPV(B9240,Project_FCF!C18:J18)+Project_FCF!B18</f>
        <v>844.77095556848644</v>
      </c>
      <c r="D9240" s="4"/>
      <c r="E9240" s="4"/>
    </row>
    <row r="9241" spans="1:5" x14ac:dyDescent="0.3">
      <c r="A9241" s="9">
        <v>9233</v>
      </c>
      <c r="B9241" s="10">
        <f t="shared" ca="1" si="144"/>
        <v>8.0294270036764356E-2</v>
      </c>
      <c r="C9241" s="10">
        <f ca="1">NPV(B9241,Project_FCF!C18:J18)+Project_FCF!B18</f>
        <v>935.87220642527291</v>
      </c>
      <c r="D9241" s="4"/>
      <c r="E9241" s="4"/>
    </row>
    <row r="9242" spans="1:5" x14ac:dyDescent="0.3">
      <c r="A9242" s="9">
        <v>9234</v>
      </c>
      <c r="B9242" s="10">
        <f t="shared" ca="1" si="144"/>
        <v>6.9364304287175382E-2</v>
      </c>
      <c r="C9242" s="10">
        <f ca="1">NPV(B9242,Project_FCF!C18:J18)+Project_FCF!B18</f>
        <v>1031.75605579736</v>
      </c>
      <c r="D9242" s="4"/>
      <c r="E9242" s="4"/>
    </row>
    <row r="9243" spans="1:5" x14ac:dyDescent="0.3">
      <c r="A9243" s="9">
        <v>9235</v>
      </c>
      <c r="B9243" s="10">
        <f t="shared" ca="1" si="144"/>
        <v>8.357388402252397E-2</v>
      </c>
      <c r="C9243" s="10">
        <f ca="1">NPV(B9243,Project_FCF!C18:J18)+Project_FCF!B18</f>
        <v>908.69172371467971</v>
      </c>
      <c r="D9243" s="4"/>
      <c r="E9243" s="4"/>
    </row>
    <row r="9244" spans="1:5" x14ac:dyDescent="0.3">
      <c r="A9244" s="9">
        <v>9236</v>
      </c>
      <c r="B9244" s="10">
        <f t="shared" ca="1" si="144"/>
        <v>7.8445194622241254E-2</v>
      </c>
      <c r="C9244" s="10">
        <f ca="1">NPV(B9244,Project_FCF!C18:J18)+Project_FCF!B18</f>
        <v>951.5115446676466</v>
      </c>
      <c r="D9244" s="4"/>
      <c r="E9244" s="4"/>
    </row>
    <row r="9245" spans="1:5" x14ac:dyDescent="0.3">
      <c r="A9245" s="9">
        <v>9237</v>
      </c>
      <c r="B9245" s="10">
        <f t="shared" ca="1" si="144"/>
        <v>6.883984908644894E-2</v>
      </c>
      <c r="C9245" s="10">
        <f ca="1">NPV(B9245,Project_FCF!C18:J18)+Project_FCF!B18</f>
        <v>1036.5711740543418</v>
      </c>
      <c r="D9245" s="4"/>
      <c r="E9245" s="4"/>
    </row>
    <row r="9246" spans="1:5" x14ac:dyDescent="0.3">
      <c r="A9246" s="9">
        <v>9238</v>
      </c>
      <c r="B9246" s="10">
        <f t="shared" ca="1" si="144"/>
        <v>9.631472078783726E-2</v>
      </c>
      <c r="C9246" s="10">
        <f ca="1">NPV(B9246,Project_FCF!C18:J18)+Project_FCF!B18</f>
        <v>809.52332500413013</v>
      </c>
      <c r="D9246" s="4"/>
      <c r="E9246" s="4"/>
    </row>
    <row r="9247" spans="1:5" x14ac:dyDescent="0.3">
      <c r="A9247" s="9">
        <v>9239</v>
      </c>
      <c r="B9247" s="10">
        <f t="shared" ca="1" si="144"/>
        <v>0.10121477559076328</v>
      </c>
      <c r="C9247" s="10">
        <f ca="1">NPV(B9247,Project_FCF!C18:J18)+Project_FCF!B18</f>
        <v>773.94002656634939</v>
      </c>
      <c r="D9247" s="4"/>
      <c r="E9247" s="4"/>
    </row>
    <row r="9248" spans="1:5" x14ac:dyDescent="0.3">
      <c r="A9248" s="9">
        <v>9240</v>
      </c>
      <c r="B9248" s="10">
        <f t="shared" ca="1" si="144"/>
        <v>0.10188134878135745</v>
      </c>
      <c r="C9248" s="10">
        <f ca="1">NPV(B9248,Project_FCF!C18:J18)+Project_FCF!B18</f>
        <v>769.203380974531</v>
      </c>
      <c r="D9248" s="4"/>
      <c r="E9248" s="4"/>
    </row>
    <row r="9249" spans="1:5" x14ac:dyDescent="0.3">
      <c r="A9249" s="9">
        <v>9241</v>
      </c>
      <c r="B9249" s="10">
        <f t="shared" ca="1" si="144"/>
        <v>8.0635065616458862E-2</v>
      </c>
      <c r="C9249" s="10">
        <f ca="1">NPV(B9249,Project_FCF!C18:J18)+Project_FCF!B18</f>
        <v>933.01477133621688</v>
      </c>
      <c r="D9249" s="4"/>
      <c r="E9249" s="4"/>
    </row>
    <row r="9250" spans="1:5" x14ac:dyDescent="0.3">
      <c r="A9250" s="9">
        <v>9242</v>
      </c>
      <c r="B9250" s="10">
        <f t="shared" ca="1" si="144"/>
        <v>7.7705639195936343E-2</v>
      </c>
      <c r="C9250" s="10">
        <f ca="1">NPV(B9250,Project_FCF!C18:J18)+Project_FCF!B18</f>
        <v>957.83131594467341</v>
      </c>
      <c r="D9250" s="4"/>
      <c r="E9250" s="4"/>
    </row>
    <row r="9251" spans="1:5" x14ac:dyDescent="0.3">
      <c r="A9251" s="9">
        <v>9243</v>
      </c>
      <c r="B9251" s="10">
        <f t="shared" ca="1" si="144"/>
        <v>8.968606608996188E-2</v>
      </c>
      <c r="C9251" s="10">
        <f ca="1">NPV(B9251,Project_FCF!C18:J18)+Project_FCF!B18</f>
        <v>859.8779301578993</v>
      </c>
      <c r="D9251" s="4"/>
      <c r="E9251" s="4"/>
    </row>
    <row r="9252" spans="1:5" x14ac:dyDescent="0.3">
      <c r="A9252" s="9">
        <v>9244</v>
      </c>
      <c r="B9252" s="10">
        <f t="shared" ca="1" si="144"/>
        <v>9.6313079663762985E-2</v>
      </c>
      <c r="C9252" s="10">
        <f ca="1">NPV(B9252,Project_FCF!C18:J18)+Project_FCF!B18</f>
        <v>809.53547149916926</v>
      </c>
      <c r="D9252" s="4"/>
      <c r="E9252" s="4"/>
    </row>
    <row r="9253" spans="1:5" x14ac:dyDescent="0.3">
      <c r="A9253" s="9">
        <v>9245</v>
      </c>
      <c r="B9253" s="10">
        <f t="shared" ca="1" si="144"/>
        <v>8.7520980751305155E-2</v>
      </c>
      <c r="C9253" s="10">
        <f ca="1">NPV(B9253,Project_FCF!C18:J18)+Project_FCF!B18</f>
        <v>876.90062498543534</v>
      </c>
      <c r="D9253" s="4"/>
      <c r="E9253" s="4"/>
    </row>
    <row r="9254" spans="1:5" x14ac:dyDescent="0.3">
      <c r="A9254" s="9">
        <v>9246</v>
      </c>
      <c r="B9254" s="10">
        <f t="shared" ca="1" si="144"/>
        <v>9.1041448894559243E-2</v>
      </c>
      <c r="C9254" s="10">
        <f ca="1">NPV(B9254,Project_FCF!C18:J18)+Project_FCF!B18</f>
        <v>849.36793845773013</v>
      </c>
      <c r="D9254" s="4"/>
      <c r="E9254" s="4"/>
    </row>
    <row r="9255" spans="1:5" x14ac:dyDescent="0.3">
      <c r="A9255" s="9">
        <v>9247</v>
      </c>
      <c r="B9255" s="10">
        <f t="shared" ca="1" si="144"/>
        <v>7.378102678487039E-2</v>
      </c>
      <c r="C9255" s="10">
        <f ca="1">NPV(B9255,Project_FCF!C18:J18)+Project_FCF!B18</f>
        <v>991.99918462755249</v>
      </c>
      <c r="D9255" s="4"/>
      <c r="E9255" s="4"/>
    </row>
    <row r="9256" spans="1:5" x14ac:dyDescent="0.3">
      <c r="A9256" s="9">
        <v>9248</v>
      </c>
      <c r="B9256" s="10">
        <f t="shared" ca="1" si="144"/>
        <v>8.6920596382875942E-2</v>
      </c>
      <c r="C9256" s="10">
        <f ca="1">NPV(B9256,Project_FCF!C18:J18)+Project_FCF!B18</f>
        <v>881.67268302992329</v>
      </c>
      <c r="D9256" s="4"/>
      <c r="E9256" s="4"/>
    </row>
    <row r="9257" spans="1:5" x14ac:dyDescent="0.3">
      <c r="A9257" s="9">
        <v>9249</v>
      </c>
      <c r="B9257" s="10">
        <f t="shared" ca="1" si="144"/>
        <v>8.4598618698517425E-2</v>
      </c>
      <c r="C9257" s="10">
        <f ca="1">NPV(B9257,Project_FCF!C18:J18)+Project_FCF!B18</f>
        <v>900.34272856969551</v>
      </c>
      <c r="D9257" s="4"/>
      <c r="E9257" s="4"/>
    </row>
    <row r="9258" spans="1:5" x14ac:dyDescent="0.3">
      <c r="A9258" s="9">
        <v>9250</v>
      </c>
      <c r="B9258" s="10">
        <f t="shared" ca="1" si="144"/>
        <v>7.9603600538487557E-2</v>
      </c>
      <c r="C9258" s="10">
        <f ca="1">NPV(B9258,Project_FCF!C18:J18)+Project_FCF!B18</f>
        <v>941.6869645043696</v>
      </c>
      <c r="D9258" s="4"/>
      <c r="E9258" s="4"/>
    </row>
    <row r="9259" spans="1:5" x14ac:dyDescent="0.3">
      <c r="A9259" s="9">
        <v>9251</v>
      </c>
      <c r="B9259" s="10">
        <f t="shared" ca="1" si="144"/>
        <v>8.9093973821771894E-2</v>
      </c>
      <c r="C9259" s="10">
        <f ca="1">NPV(B9259,Project_FCF!C18:J18)+Project_FCF!B18</f>
        <v>864.50441051323719</v>
      </c>
      <c r="D9259" s="4"/>
      <c r="E9259" s="4"/>
    </row>
    <row r="9260" spans="1:5" x14ac:dyDescent="0.3">
      <c r="A9260" s="9">
        <v>9252</v>
      </c>
      <c r="B9260" s="10">
        <f t="shared" ca="1" si="144"/>
        <v>7.4644969406348377E-2</v>
      </c>
      <c r="C9260" s="10">
        <f ca="1">NPV(B9260,Project_FCF!C18:J18)+Project_FCF!B18</f>
        <v>984.38551081051651</v>
      </c>
      <c r="D9260" s="4"/>
      <c r="E9260" s="4"/>
    </row>
    <row r="9261" spans="1:5" x14ac:dyDescent="0.3">
      <c r="A9261" s="9">
        <v>9253</v>
      </c>
      <c r="B9261" s="10">
        <f t="shared" ca="1" si="144"/>
        <v>9.1102819568377555E-2</v>
      </c>
      <c r="C9261" s="10">
        <f ca="1">NPV(B9261,Project_FCF!C18:J18)+Project_FCF!B18</f>
        <v>848.89469580871923</v>
      </c>
      <c r="D9261" s="4"/>
      <c r="E9261" s="4"/>
    </row>
    <row r="9262" spans="1:5" x14ac:dyDescent="0.3">
      <c r="A9262" s="9">
        <v>9254</v>
      </c>
      <c r="B9262" s="10">
        <f t="shared" ca="1" si="144"/>
        <v>9.0820958157864146E-2</v>
      </c>
      <c r="C9262" s="10">
        <f ca="1">NPV(B9262,Project_FCF!C18:J18)+Project_FCF!B18</f>
        <v>851.07007235891911</v>
      </c>
      <c r="D9262" s="4"/>
      <c r="E9262" s="4"/>
    </row>
    <row r="9263" spans="1:5" x14ac:dyDescent="0.3">
      <c r="A9263" s="9">
        <v>9255</v>
      </c>
      <c r="B9263" s="10">
        <f t="shared" ca="1" si="144"/>
        <v>9.6314751063381859E-2</v>
      </c>
      <c r="C9263" s="10">
        <f ca="1">NPV(B9263,Project_FCF!C18:J18)+Project_FCF!B18</f>
        <v>809.52310092640096</v>
      </c>
      <c r="D9263" s="4"/>
      <c r="E9263" s="4"/>
    </row>
    <row r="9264" spans="1:5" x14ac:dyDescent="0.3">
      <c r="A9264" s="9">
        <v>9256</v>
      </c>
      <c r="B9264" s="10">
        <f t="shared" ca="1" si="144"/>
        <v>6.740322077091819E-2</v>
      </c>
      <c r="C9264" s="10">
        <f ca="1">NPV(B9264,Project_FCF!C18:J18)+Project_FCF!B18</f>
        <v>1049.865604731742</v>
      </c>
      <c r="D9264" s="4"/>
      <c r="E9264" s="4"/>
    </row>
    <row r="9265" spans="1:5" x14ac:dyDescent="0.3">
      <c r="A9265" s="9">
        <v>9257</v>
      </c>
      <c r="B9265" s="10">
        <f t="shared" ca="1" si="144"/>
        <v>9.2650993694184808E-2</v>
      </c>
      <c r="C9265" s="10">
        <f ca="1">NPV(B9265,Project_FCF!C18:J18)+Project_FCF!B18</f>
        <v>837.03142795349004</v>
      </c>
      <c r="D9265" s="4"/>
      <c r="E9265" s="4"/>
    </row>
    <row r="9266" spans="1:5" x14ac:dyDescent="0.3">
      <c r="A9266" s="9">
        <v>9258</v>
      </c>
      <c r="B9266" s="10">
        <f t="shared" ca="1" si="144"/>
        <v>7.4610793328279745E-2</v>
      </c>
      <c r="C9266" s="10">
        <f ca="1">NPV(B9266,Project_FCF!C18:J18)+Project_FCF!B18</f>
        <v>984.68569710292081</v>
      </c>
      <c r="D9266" s="4"/>
      <c r="E9266" s="4"/>
    </row>
    <row r="9267" spans="1:5" x14ac:dyDescent="0.3">
      <c r="A9267" s="9">
        <v>9259</v>
      </c>
      <c r="B9267" s="10">
        <f t="shared" ca="1" si="144"/>
        <v>8.9490843712017182E-2</v>
      </c>
      <c r="C9267" s="10">
        <f ca="1">NPV(B9267,Project_FCF!C18:J18)+Project_FCF!B18</f>
        <v>861.4009764439129</v>
      </c>
      <c r="D9267" s="4"/>
      <c r="E9267" s="4"/>
    </row>
    <row r="9268" spans="1:5" x14ac:dyDescent="0.3">
      <c r="A9268" s="9">
        <v>9260</v>
      </c>
      <c r="B9268" s="10">
        <f t="shared" ca="1" si="144"/>
        <v>7.3643926616918459E-2</v>
      </c>
      <c r="C9268" s="10">
        <f ca="1">NPV(B9268,Project_FCF!C18:J18)+Project_FCF!B18</f>
        <v>993.21225000162553</v>
      </c>
      <c r="D9268" s="4"/>
      <c r="E9268" s="4"/>
    </row>
    <row r="9269" spans="1:5" x14ac:dyDescent="0.3">
      <c r="A9269" s="9">
        <v>9261</v>
      </c>
      <c r="B9269" s="10">
        <f t="shared" ca="1" si="144"/>
        <v>7.7820718702999642E-2</v>
      </c>
      <c r="C9269" s="10">
        <f ca="1">NPV(B9269,Project_FCF!C18:J18)+Project_FCF!B18</f>
        <v>956.84547385601331</v>
      </c>
      <c r="D9269" s="4"/>
      <c r="E9269" s="4"/>
    </row>
    <row r="9270" spans="1:5" x14ac:dyDescent="0.3">
      <c r="A9270" s="9">
        <v>9262</v>
      </c>
      <c r="B9270" s="10">
        <f t="shared" ca="1" si="144"/>
        <v>7.6957479377851329E-2</v>
      </c>
      <c r="C9270" s="10">
        <f ca="1">NPV(B9270,Project_FCF!C18:J18)+Project_FCF!B18</f>
        <v>964.26259264008308</v>
      </c>
      <c r="D9270" s="4"/>
      <c r="E9270" s="4"/>
    </row>
    <row r="9271" spans="1:5" x14ac:dyDescent="0.3">
      <c r="A9271" s="9">
        <v>9263</v>
      </c>
      <c r="B9271" s="10">
        <f t="shared" ca="1" si="144"/>
        <v>9.7736550218985932E-2</v>
      </c>
      <c r="C9271" s="10">
        <f ca="1">NPV(B9271,Project_FCF!C18:J18)+Project_FCF!B18</f>
        <v>799.05809825684878</v>
      </c>
      <c r="D9271" s="4"/>
      <c r="E9271" s="4"/>
    </row>
    <row r="9272" spans="1:5" x14ac:dyDescent="0.3">
      <c r="A9272" s="9">
        <v>9264</v>
      </c>
      <c r="B9272" s="10">
        <f t="shared" ca="1" si="144"/>
        <v>6.690871864309389E-2</v>
      </c>
      <c r="C9272" s="10">
        <f ca="1">NPV(B9272,Project_FCF!C18:J18)+Project_FCF!B18</f>
        <v>1054.4773650799034</v>
      </c>
      <c r="D9272" s="4"/>
      <c r="E9272" s="4"/>
    </row>
    <row r="9273" spans="1:5" x14ac:dyDescent="0.3">
      <c r="A9273" s="9">
        <v>9265</v>
      </c>
      <c r="B9273" s="10">
        <f t="shared" ca="1" si="144"/>
        <v>7.6850219620374124E-2</v>
      </c>
      <c r="C9273" s="10">
        <f ca="1">NPV(B9273,Project_FCF!C18:J18)+Project_FCF!B18</f>
        <v>965.18775684217781</v>
      </c>
      <c r="D9273" s="4"/>
      <c r="E9273" s="4"/>
    </row>
    <row r="9274" spans="1:5" x14ac:dyDescent="0.3">
      <c r="A9274" s="9">
        <v>9266</v>
      </c>
      <c r="B9274" s="10">
        <f t="shared" ca="1" si="144"/>
        <v>9.2636635498511227E-2</v>
      </c>
      <c r="C9274" s="10">
        <f ca="1">NPV(B9274,Project_FCF!C18:J18)+Project_FCF!B18</f>
        <v>837.14079112364948</v>
      </c>
      <c r="D9274" s="4"/>
      <c r="E9274" s="4"/>
    </row>
    <row r="9275" spans="1:5" x14ac:dyDescent="0.3">
      <c r="A9275" s="9">
        <v>9267</v>
      </c>
      <c r="B9275" s="10">
        <f t="shared" ca="1" si="144"/>
        <v>0.10192013907294356</v>
      </c>
      <c r="C9275" s="10">
        <f ca="1">NPV(B9275,Project_FCF!C18:J18)+Project_FCF!B18</f>
        <v>768.92849196961629</v>
      </c>
      <c r="D9275" s="4"/>
      <c r="E9275" s="4"/>
    </row>
    <row r="9276" spans="1:5" x14ac:dyDescent="0.3">
      <c r="A9276" s="9">
        <v>9268</v>
      </c>
      <c r="B9276" s="10">
        <f t="shared" ca="1" si="144"/>
        <v>9.5785201963415251E-2</v>
      </c>
      <c r="C9276" s="10">
        <f ca="1">NPV(B9276,Project_FCF!C18:J18)+Project_FCF!B18</f>
        <v>813.45055071019556</v>
      </c>
      <c r="D9276" s="4"/>
      <c r="E9276" s="4"/>
    </row>
    <row r="9277" spans="1:5" x14ac:dyDescent="0.3">
      <c r="A9277" s="9">
        <v>9269</v>
      </c>
      <c r="B9277" s="10">
        <f t="shared" ca="1" si="144"/>
        <v>9.7984312683745772E-2</v>
      </c>
      <c r="C9277" s="10">
        <f ca="1">NPV(B9277,Project_FCF!C18:J18)+Project_FCF!B18</f>
        <v>797.24630451610187</v>
      </c>
      <c r="D9277" s="4"/>
      <c r="E9277" s="4"/>
    </row>
    <row r="9278" spans="1:5" x14ac:dyDescent="0.3">
      <c r="A9278" s="9">
        <v>9270</v>
      </c>
      <c r="B9278" s="10">
        <f t="shared" ca="1" si="144"/>
        <v>0.10128173756487052</v>
      </c>
      <c r="C9278" s="10">
        <f ca="1">NPV(B9278,Project_FCF!C18:J18)+Project_FCF!B18</f>
        <v>773.46308942637438</v>
      </c>
      <c r="D9278" s="4"/>
      <c r="E9278" s="4"/>
    </row>
    <row r="9279" spans="1:5" x14ac:dyDescent="0.3">
      <c r="A9279" s="9">
        <v>9271</v>
      </c>
      <c r="B9279" s="10">
        <f t="shared" ca="1" si="144"/>
        <v>8.9527348777505275E-2</v>
      </c>
      <c r="C9279" s="10">
        <f ca="1">NPV(B9279,Project_FCF!C18:J18)+Project_FCF!B18</f>
        <v>861.11600096557504</v>
      </c>
      <c r="D9279" s="4"/>
      <c r="E9279" s="4"/>
    </row>
    <row r="9280" spans="1:5" x14ac:dyDescent="0.3">
      <c r="A9280" s="9">
        <v>9272</v>
      </c>
      <c r="B9280" s="10">
        <f t="shared" ca="1" si="144"/>
        <v>7.9917994103332168E-2</v>
      </c>
      <c r="C9280" s="10">
        <f ca="1">NPV(B9280,Project_FCF!C18:J18)+Project_FCF!B18</f>
        <v>939.03612419113938</v>
      </c>
      <c r="D9280" s="4"/>
      <c r="E9280" s="4"/>
    </row>
    <row r="9281" spans="1:5" x14ac:dyDescent="0.3">
      <c r="A9281" s="9">
        <v>9273</v>
      </c>
      <c r="B9281" s="10">
        <f t="shared" ca="1" si="144"/>
        <v>6.5224991675122371E-2</v>
      </c>
      <c r="C9281" s="10">
        <f ca="1">NPV(B9281,Project_FCF!C18:J18)+Project_FCF!B18</f>
        <v>1070.3184738017696</v>
      </c>
      <c r="D9281" s="4"/>
      <c r="E9281" s="4"/>
    </row>
    <row r="9282" spans="1:5" x14ac:dyDescent="0.3">
      <c r="A9282" s="9">
        <v>9274</v>
      </c>
      <c r="B9282" s="10">
        <f t="shared" ca="1" si="144"/>
        <v>9.7687841111009838E-2</v>
      </c>
      <c r="C9282" s="10">
        <f ca="1">NPV(B9282,Project_FCF!C18:J18)+Project_FCF!B18</f>
        <v>799.4147011615155</v>
      </c>
      <c r="D9282" s="4"/>
      <c r="E9282" s="4"/>
    </row>
    <row r="9283" spans="1:5" x14ac:dyDescent="0.3">
      <c r="A9283" s="9">
        <v>9275</v>
      </c>
      <c r="B9283" s="10">
        <f t="shared" ca="1" si="144"/>
        <v>6.7530067609918476E-2</v>
      </c>
      <c r="C9283" s="10">
        <f ca="1">NPV(B9283,Project_FCF!C18:J18)+Project_FCF!B18</f>
        <v>1048.6855792424201</v>
      </c>
      <c r="D9283" s="4"/>
      <c r="E9283" s="4"/>
    </row>
    <row r="9284" spans="1:5" x14ac:dyDescent="0.3">
      <c r="A9284" s="9">
        <v>9276</v>
      </c>
      <c r="B9284" s="10">
        <f t="shared" ca="1" si="144"/>
        <v>8.0701877828205301E-2</v>
      </c>
      <c r="C9284" s="10">
        <f ca="1">NPV(B9284,Project_FCF!C18:J18)+Project_FCF!B18</f>
        <v>932.45548322301352</v>
      </c>
      <c r="D9284" s="4"/>
      <c r="E9284" s="4"/>
    </row>
    <row r="9285" spans="1:5" x14ac:dyDescent="0.3">
      <c r="A9285" s="9">
        <v>9277</v>
      </c>
      <c r="B9285" s="10">
        <f t="shared" ca="1" si="144"/>
        <v>7.4374926364760688E-2</v>
      </c>
      <c r="C9285" s="10">
        <f ca="1">NPV(B9285,Project_FCF!C18:J18)+Project_FCF!B18</f>
        <v>986.75967589076345</v>
      </c>
      <c r="D9285" s="4"/>
      <c r="E9285" s="4"/>
    </row>
    <row r="9286" spans="1:5" x14ac:dyDescent="0.3">
      <c r="A9286" s="9">
        <v>9278</v>
      </c>
      <c r="B9286" s="10">
        <f t="shared" ca="1" si="144"/>
        <v>6.846506886910983E-2</v>
      </c>
      <c r="C9286" s="10">
        <f ca="1">NPV(B9286,Project_FCF!C18:J18)+Project_FCF!B18</f>
        <v>1040.0245574884768</v>
      </c>
      <c r="D9286" s="4"/>
      <c r="E9286" s="4"/>
    </row>
    <row r="9287" spans="1:5" x14ac:dyDescent="0.3">
      <c r="A9287" s="9">
        <v>9279</v>
      </c>
      <c r="B9287" s="10">
        <f t="shared" ca="1" si="144"/>
        <v>9.4289679149984956E-2</v>
      </c>
      <c r="C9287" s="10">
        <f ca="1">NPV(B9287,Project_FCF!C18:J18)+Project_FCF!B18</f>
        <v>824.63034935908695</v>
      </c>
      <c r="D9287" s="4"/>
      <c r="E9287" s="4"/>
    </row>
    <row r="9288" spans="1:5" x14ac:dyDescent="0.3">
      <c r="A9288" s="9">
        <v>9280</v>
      </c>
      <c r="B9288" s="10">
        <f t="shared" ca="1" si="144"/>
        <v>6.7910546375233999E-2</v>
      </c>
      <c r="C9288" s="10">
        <f ca="1">NPV(B9288,Project_FCF!C18:J18)+Project_FCF!B18</f>
        <v>1045.1532963940972</v>
      </c>
      <c r="D9288" s="4"/>
      <c r="E9288" s="4"/>
    </row>
    <row r="9289" spans="1:5" x14ac:dyDescent="0.3">
      <c r="A9289" s="9">
        <v>9281</v>
      </c>
      <c r="B9289" s="10">
        <f t="shared" ref="B9289:B9352" ca="1" si="145">$B$4+RAND()*($B$5-$B$4)</f>
        <v>6.5310332495993911E-2</v>
      </c>
      <c r="C9289" s="10">
        <f ca="1">NPV(B9289,Project_FCF!C18:J18)+Project_FCF!B18</f>
        <v>1069.5103702918634</v>
      </c>
      <c r="D9289" s="4"/>
      <c r="E9289" s="4"/>
    </row>
    <row r="9290" spans="1:5" x14ac:dyDescent="0.3">
      <c r="A9290" s="9">
        <v>9282</v>
      </c>
      <c r="B9290" s="10">
        <f t="shared" ca="1" si="145"/>
        <v>9.8343882454679496E-2</v>
      </c>
      <c r="C9290" s="10">
        <f ca="1">NPV(B9290,Project_FCF!C18:J18)+Project_FCF!B18</f>
        <v>794.62311694163827</v>
      </c>
      <c r="D9290" s="4"/>
      <c r="E9290" s="4"/>
    </row>
    <row r="9291" spans="1:5" x14ac:dyDescent="0.3">
      <c r="A9291" s="9">
        <v>9283</v>
      </c>
      <c r="B9291" s="10">
        <f t="shared" ca="1" si="145"/>
        <v>6.5491050555339284E-2</v>
      </c>
      <c r="C9291" s="10">
        <f ca="1">NPV(B9291,Project_FCF!C18:J18)+Project_FCF!B18</f>
        <v>1067.8009631495561</v>
      </c>
      <c r="D9291" s="4"/>
      <c r="E9291" s="4"/>
    </row>
    <row r="9292" spans="1:5" x14ac:dyDescent="0.3">
      <c r="A9292" s="9">
        <v>9284</v>
      </c>
      <c r="B9292" s="10">
        <f t="shared" ca="1" si="145"/>
        <v>6.4819947780869955E-2</v>
      </c>
      <c r="C9292" s="10">
        <f ca="1">NPV(B9292,Project_FCF!C18:J18)+Project_FCF!B18</f>
        <v>1074.1614882977187</v>
      </c>
      <c r="D9292" s="4"/>
      <c r="E9292" s="4"/>
    </row>
    <row r="9293" spans="1:5" x14ac:dyDescent="0.3">
      <c r="A9293" s="9">
        <v>9285</v>
      </c>
      <c r="B9293" s="10">
        <f t="shared" ca="1" si="145"/>
        <v>6.4512672396767945E-2</v>
      </c>
      <c r="C9293" s="10">
        <f ca="1">NPV(B9293,Project_FCF!C18:J18)+Project_FCF!B18</f>
        <v>1077.0852809670203</v>
      </c>
      <c r="D9293" s="4"/>
      <c r="E9293" s="4"/>
    </row>
    <row r="9294" spans="1:5" x14ac:dyDescent="0.3">
      <c r="A9294" s="9">
        <v>9286</v>
      </c>
      <c r="B9294" s="10">
        <f t="shared" ca="1" si="145"/>
        <v>9.5462189053400592E-2</v>
      </c>
      <c r="C9294" s="10">
        <f ca="1">NPV(B9294,Project_FCF!C18:J18)+Project_FCF!B18</f>
        <v>815.85419038023088</v>
      </c>
      <c r="D9294" s="4"/>
      <c r="E9294" s="4"/>
    </row>
    <row r="9295" spans="1:5" x14ac:dyDescent="0.3">
      <c r="A9295" s="9">
        <v>9287</v>
      </c>
      <c r="B9295" s="10">
        <f t="shared" ca="1" si="145"/>
        <v>6.7916651727559854E-2</v>
      </c>
      <c r="C9295" s="10">
        <f ca="1">NPV(B9295,Project_FCF!C18:J18)+Project_FCF!B18</f>
        <v>1045.0967037532714</v>
      </c>
      <c r="D9295" s="4"/>
      <c r="E9295" s="4"/>
    </row>
    <row r="9296" spans="1:5" x14ac:dyDescent="0.3">
      <c r="A9296" s="9">
        <v>9288</v>
      </c>
      <c r="B9296" s="10">
        <f t="shared" ca="1" si="145"/>
        <v>9.9203718346210584E-2</v>
      </c>
      <c r="C9296" s="10">
        <f ca="1">NPV(B9296,Project_FCF!C18:J18)+Project_FCF!B18</f>
        <v>788.38000394487358</v>
      </c>
      <c r="D9296" s="4"/>
      <c r="E9296" s="4"/>
    </row>
    <row r="9297" spans="1:5" x14ac:dyDescent="0.3">
      <c r="A9297" s="9">
        <v>9289</v>
      </c>
      <c r="B9297" s="10">
        <f t="shared" ca="1" si="145"/>
        <v>7.6284052234047342E-2</v>
      </c>
      <c r="C9297" s="10">
        <f ca="1">NPV(B9297,Project_FCF!C18:J18)+Project_FCF!B18</f>
        <v>970.08433625705925</v>
      </c>
      <c r="D9297" s="4"/>
      <c r="E9297" s="4"/>
    </row>
    <row r="9298" spans="1:5" x14ac:dyDescent="0.3">
      <c r="A9298" s="9">
        <v>9290</v>
      </c>
      <c r="B9298" s="10">
        <f t="shared" ca="1" si="145"/>
        <v>9.3835366578042853E-2</v>
      </c>
      <c r="C9298" s="10">
        <f ca="1">NPV(B9298,Project_FCF!C18:J18)+Project_FCF!B18</f>
        <v>828.05253202164408</v>
      </c>
      <c r="D9298" s="4"/>
      <c r="E9298" s="4"/>
    </row>
    <row r="9299" spans="1:5" x14ac:dyDescent="0.3">
      <c r="A9299" s="9">
        <v>9291</v>
      </c>
      <c r="B9299" s="10">
        <f t="shared" ca="1" si="145"/>
        <v>6.9247848680854596E-2</v>
      </c>
      <c r="C9299" s="10">
        <f ca="1">NPV(B9299,Project_FCF!C18:J18)+Project_FCF!B18</f>
        <v>1032.8235035820937</v>
      </c>
      <c r="D9299" s="4"/>
      <c r="E9299" s="4"/>
    </row>
    <row r="9300" spans="1:5" x14ac:dyDescent="0.3">
      <c r="A9300" s="9">
        <v>9292</v>
      </c>
      <c r="B9300" s="10">
        <f t="shared" ca="1" si="145"/>
        <v>6.6692653623300194E-2</v>
      </c>
      <c r="C9300" s="10">
        <f ca="1">NPV(B9300,Project_FCF!C18:J18)+Project_FCF!B18</f>
        <v>1056.4981763277335</v>
      </c>
      <c r="D9300" s="4"/>
      <c r="E9300" s="4"/>
    </row>
    <row r="9301" spans="1:5" x14ac:dyDescent="0.3">
      <c r="A9301" s="9">
        <v>9293</v>
      </c>
      <c r="B9301" s="10">
        <f t="shared" ca="1" si="145"/>
        <v>8.288702185282007E-2</v>
      </c>
      <c r="C9301" s="10">
        <f ca="1">NPV(B9301,Project_FCF!C18:J18)+Project_FCF!B18</f>
        <v>914.32591731623211</v>
      </c>
      <c r="D9301" s="4"/>
      <c r="E9301" s="4"/>
    </row>
    <row r="9302" spans="1:5" x14ac:dyDescent="0.3">
      <c r="A9302" s="9">
        <v>9294</v>
      </c>
      <c r="B9302" s="10">
        <f t="shared" ca="1" si="145"/>
        <v>8.4870239300229702E-2</v>
      </c>
      <c r="C9302" s="10">
        <f ca="1">NPV(B9302,Project_FCF!C18:J18)+Project_FCF!B18</f>
        <v>898.14102320675124</v>
      </c>
      <c r="D9302" s="4"/>
      <c r="E9302" s="4"/>
    </row>
    <row r="9303" spans="1:5" x14ac:dyDescent="0.3">
      <c r="A9303" s="9">
        <v>9295</v>
      </c>
      <c r="B9303" s="10">
        <f t="shared" ca="1" si="145"/>
        <v>7.4066062738680535E-2</v>
      </c>
      <c r="C9303" s="10">
        <f ca="1">NPV(B9303,Project_FCF!C18:J18)+Project_FCF!B18</f>
        <v>989.48143231855602</v>
      </c>
      <c r="D9303" s="4"/>
      <c r="E9303" s="4"/>
    </row>
    <row r="9304" spans="1:5" x14ac:dyDescent="0.3">
      <c r="A9304" s="9">
        <v>9296</v>
      </c>
      <c r="B9304" s="10">
        <f t="shared" ca="1" si="145"/>
        <v>7.5198071810433323E-2</v>
      </c>
      <c r="C9304" s="10">
        <f ca="1">NPV(B9304,Project_FCF!C18:J18)+Project_FCF!B18</f>
        <v>979.53870111898914</v>
      </c>
      <c r="D9304" s="4"/>
      <c r="E9304" s="4"/>
    </row>
    <row r="9305" spans="1:5" x14ac:dyDescent="0.3">
      <c r="A9305" s="9">
        <v>9297</v>
      </c>
      <c r="B9305" s="10">
        <f t="shared" ca="1" si="145"/>
        <v>0.10107339518590944</v>
      </c>
      <c r="C9305" s="10">
        <f ca="1">NPV(B9305,Project_FCF!C18:J18)+Project_FCF!B18</f>
        <v>774.94782408444848</v>
      </c>
      <c r="D9305" s="4"/>
      <c r="E9305" s="4"/>
    </row>
    <row r="9306" spans="1:5" x14ac:dyDescent="0.3">
      <c r="A9306" s="9">
        <v>9298</v>
      </c>
      <c r="B9306" s="10">
        <f t="shared" ca="1" si="145"/>
        <v>9.0603396833242464E-2</v>
      </c>
      <c r="C9306" s="10">
        <f ca="1">NPV(B9306,Project_FCF!C18:J18)+Project_FCF!B18</f>
        <v>852.75248186367162</v>
      </c>
      <c r="D9306" s="4"/>
      <c r="E9306" s="4"/>
    </row>
    <row r="9307" spans="1:5" x14ac:dyDescent="0.3">
      <c r="A9307" s="9">
        <v>9299</v>
      </c>
      <c r="B9307" s="10">
        <f t="shared" ca="1" si="145"/>
        <v>9.5524374322980554E-2</v>
      </c>
      <c r="C9307" s="10">
        <f ca="1">NPV(B9307,Project_FCF!C18:J18)+Project_FCF!B18</f>
        <v>815.39097904712912</v>
      </c>
      <c r="D9307" s="4"/>
      <c r="E9307" s="4"/>
    </row>
    <row r="9308" spans="1:5" x14ac:dyDescent="0.3">
      <c r="A9308" s="9">
        <v>9300</v>
      </c>
      <c r="B9308" s="10">
        <f t="shared" ca="1" si="145"/>
        <v>9.1454244075265423E-2</v>
      </c>
      <c r="C9308" s="10">
        <f ca="1">NPV(B9308,Project_FCF!C18:J18)+Project_FCF!B18</f>
        <v>846.18916893056144</v>
      </c>
      <c r="D9308" s="4"/>
      <c r="E9308" s="4"/>
    </row>
    <row r="9309" spans="1:5" x14ac:dyDescent="0.3">
      <c r="A9309" s="9">
        <v>9301</v>
      </c>
      <c r="B9309" s="10">
        <f t="shared" ca="1" si="145"/>
        <v>7.6131915958322249E-2</v>
      </c>
      <c r="C9309" s="10">
        <f ca="1">NPV(B9309,Project_FCF!C18:J18)+Project_FCF!B18</f>
        <v>971.40388071865686</v>
      </c>
      <c r="D9309" s="4"/>
      <c r="E9309" s="4"/>
    </row>
    <row r="9310" spans="1:5" x14ac:dyDescent="0.3">
      <c r="A9310" s="9">
        <v>9302</v>
      </c>
      <c r="B9310" s="10">
        <f t="shared" ca="1" si="145"/>
        <v>0.10335136250686952</v>
      </c>
      <c r="C9310" s="10">
        <f ca="1">NPV(B9310,Project_FCF!C18:J18)+Project_FCF!B18</f>
        <v>758.84363980684384</v>
      </c>
      <c r="D9310" s="4"/>
      <c r="E9310" s="4"/>
    </row>
    <row r="9311" spans="1:5" x14ac:dyDescent="0.3">
      <c r="A9311" s="9">
        <v>9303</v>
      </c>
      <c r="B9311" s="10">
        <f t="shared" ca="1" si="145"/>
        <v>8.9921231782564781E-2</v>
      </c>
      <c r="C9311" s="10">
        <f ca="1">NPV(B9311,Project_FCF!C18:J18)+Project_FCF!B18</f>
        <v>858.04636231589211</v>
      </c>
      <c r="D9311" s="4"/>
      <c r="E9311" s="4"/>
    </row>
    <row r="9312" spans="1:5" x14ac:dyDescent="0.3">
      <c r="A9312" s="9">
        <v>9304</v>
      </c>
      <c r="B9312" s="10">
        <f t="shared" ca="1" si="145"/>
        <v>8.1235262729862534E-2</v>
      </c>
      <c r="C9312" s="10">
        <f ca="1">NPV(B9312,Project_FCF!C18:J18)+Project_FCF!B18</f>
        <v>928.00110971589561</v>
      </c>
      <c r="D9312" s="4"/>
      <c r="E9312" s="4"/>
    </row>
    <row r="9313" spans="1:5" x14ac:dyDescent="0.3">
      <c r="A9313" s="9">
        <v>9305</v>
      </c>
      <c r="B9313" s="10">
        <f t="shared" ca="1" si="145"/>
        <v>8.5131213883056472E-2</v>
      </c>
      <c r="C9313" s="10">
        <f ca="1">NPV(B9313,Project_FCF!C18:J18)+Project_FCF!B18</f>
        <v>896.03005826299659</v>
      </c>
      <c r="D9313" s="4"/>
      <c r="E9313" s="4"/>
    </row>
    <row r="9314" spans="1:5" x14ac:dyDescent="0.3">
      <c r="A9314" s="9">
        <v>9306</v>
      </c>
      <c r="B9314" s="10">
        <f t="shared" ca="1" si="145"/>
        <v>6.4434091993583631E-2</v>
      </c>
      <c r="C9314" s="10">
        <f ca="1">NPV(B9314,Project_FCF!C18:J18)+Project_FCF!B18</f>
        <v>1077.8341565841545</v>
      </c>
      <c r="D9314" s="4"/>
      <c r="E9314" s="4"/>
    </row>
    <row r="9315" spans="1:5" x14ac:dyDescent="0.3">
      <c r="A9315" s="9">
        <v>9307</v>
      </c>
      <c r="B9315" s="10">
        <f t="shared" ca="1" si="145"/>
        <v>6.4409908392000795E-2</v>
      </c>
      <c r="C9315" s="10">
        <f ca="1">NPV(B9315,Project_FCF!C18:J18)+Project_FCF!B18</f>
        <v>1078.0647233308459</v>
      </c>
      <c r="D9315" s="4"/>
      <c r="E9315" s="4"/>
    </row>
    <row r="9316" spans="1:5" x14ac:dyDescent="0.3">
      <c r="A9316" s="9">
        <v>9308</v>
      </c>
      <c r="B9316" s="10">
        <f t="shared" ca="1" si="145"/>
        <v>7.0635851905782074E-2</v>
      </c>
      <c r="C9316" s="10">
        <f ca="1">NPV(B9316,Project_FCF!C18:J18)+Project_FCF!B18</f>
        <v>1020.1656120691696</v>
      </c>
      <c r="D9316" s="4"/>
      <c r="E9316" s="4"/>
    </row>
    <row r="9317" spans="1:5" x14ac:dyDescent="0.3">
      <c r="A9317" s="9">
        <v>9309</v>
      </c>
      <c r="B9317" s="10">
        <f t="shared" ca="1" si="145"/>
        <v>8.0921132120668399E-2</v>
      </c>
      <c r="C9317" s="10">
        <f ca="1">NPV(B9317,Project_FCF!C18:J18)+Project_FCF!B18</f>
        <v>930.62217729635108</v>
      </c>
      <c r="D9317" s="4"/>
      <c r="E9317" s="4"/>
    </row>
    <row r="9318" spans="1:5" x14ac:dyDescent="0.3">
      <c r="A9318" s="9">
        <v>9310</v>
      </c>
      <c r="B9318" s="10">
        <f t="shared" ca="1" si="145"/>
        <v>7.8245313000675415E-2</v>
      </c>
      <c r="C9318" s="10">
        <f ca="1">NPV(B9318,Project_FCF!C18:J18)+Project_FCF!B18</f>
        <v>953.21593981663591</v>
      </c>
      <c r="D9318" s="4"/>
      <c r="E9318" s="4"/>
    </row>
    <row r="9319" spans="1:5" x14ac:dyDescent="0.3">
      <c r="A9319" s="9">
        <v>9311</v>
      </c>
      <c r="B9319" s="10">
        <f t="shared" ca="1" si="145"/>
        <v>8.3550456714130139E-2</v>
      </c>
      <c r="C9319" s="10">
        <f ca="1">NPV(B9319,Project_FCF!C18:J18)+Project_FCF!B18</f>
        <v>908.88338923852325</v>
      </c>
      <c r="D9319" s="4"/>
      <c r="E9319" s="4"/>
    </row>
    <row r="9320" spans="1:5" x14ac:dyDescent="0.3">
      <c r="A9320" s="9">
        <v>9312</v>
      </c>
      <c r="B9320" s="10">
        <f t="shared" ca="1" si="145"/>
        <v>7.8717840280124671E-2</v>
      </c>
      <c r="C9320" s="10">
        <f ca="1">NPV(B9320,Project_FCF!C18:J18)+Project_FCF!B18</f>
        <v>949.19105434351582</v>
      </c>
      <c r="D9320" s="4"/>
      <c r="E9320" s="4"/>
    </row>
    <row r="9321" spans="1:5" x14ac:dyDescent="0.3">
      <c r="A9321" s="9">
        <v>9313</v>
      </c>
      <c r="B9321" s="10">
        <f t="shared" ca="1" si="145"/>
        <v>6.756210796350913E-2</v>
      </c>
      <c r="C9321" s="10">
        <f ca="1">NPV(B9321,Project_FCF!C18:J18)+Project_FCF!B18</f>
        <v>1048.3877061730921</v>
      </c>
      <c r="D9321" s="4"/>
      <c r="E9321" s="4"/>
    </row>
    <row r="9322" spans="1:5" x14ac:dyDescent="0.3">
      <c r="A9322" s="9">
        <v>9314</v>
      </c>
      <c r="B9322" s="10">
        <f t="shared" ca="1" si="145"/>
        <v>7.5205980810449657E-2</v>
      </c>
      <c r="C9322" s="10">
        <f ca="1">NPV(B9322,Project_FCF!C18:J18)+Project_FCF!B18</f>
        <v>979.46955005793325</v>
      </c>
      <c r="D9322" s="4"/>
      <c r="E9322" s="4"/>
    </row>
    <row r="9323" spans="1:5" x14ac:dyDescent="0.3">
      <c r="A9323" s="9">
        <v>9315</v>
      </c>
      <c r="B9323" s="10">
        <f t="shared" ca="1" si="145"/>
        <v>0.1009307370558811</v>
      </c>
      <c r="C9323" s="10">
        <f ca="1">NPV(B9323,Project_FCF!C18:J18)+Project_FCF!B18</f>
        <v>775.96585129479718</v>
      </c>
      <c r="D9323" s="4"/>
      <c r="E9323" s="4"/>
    </row>
    <row r="9324" spans="1:5" x14ac:dyDescent="0.3">
      <c r="A9324" s="9">
        <v>9316</v>
      </c>
      <c r="B9324" s="10">
        <f t="shared" ca="1" si="145"/>
        <v>0.10040431650542773</v>
      </c>
      <c r="C9324" s="10">
        <f ca="1">NPV(B9324,Project_FCF!C18:J18)+Project_FCF!B18</f>
        <v>779.73223142223083</v>
      </c>
      <c r="D9324" s="4"/>
      <c r="E9324" s="4"/>
    </row>
    <row r="9325" spans="1:5" x14ac:dyDescent="0.3">
      <c r="A9325" s="9">
        <v>9317</v>
      </c>
      <c r="B9325" s="10">
        <f t="shared" ca="1" si="145"/>
        <v>7.3190429161317794E-2</v>
      </c>
      <c r="C9325" s="10">
        <f ca="1">NPV(B9325,Project_FCF!C18:J18)+Project_FCF!B18</f>
        <v>997.23429607649632</v>
      </c>
      <c r="D9325" s="4"/>
      <c r="E9325" s="4"/>
    </row>
    <row r="9326" spans="1:5" x14ac:dyDescent="0.3">
      <c r="A9326" s="9">
        <v>9318</v>
      </c>
      <c r="B9326" s="10">
        <f t="shared" ca="1" si="145"/>
        <v>6.7694530699145897E-2</v>
      </c>
      <c r="C9326" s="10">
        <f ca="1">NPV(B9326,Project_FCF!C18:J18)+Project_FCF!B18</f>
        <v>1047.1574118617898</v>
      </c>
      <c r="D9326" s="4"/>
      <c r="E9326" s="4"/>
    </row>
    <row r="9327" spans="1:5" x14ac:dyDescent="0.3">
      <c r="A9327" s="9">
        <v>9319</v>
      </c>
      <c r="B9327" s="10">
        <f t="shared" ca="1" si="145"/>
        <v>8.221559451413489E-2</v>
      </c>
      <c r="C9327" s="10">
        <f ca="1">NPV(B9327,Project_FCF!C18:J18)+Project_FCF!B18</f>
        <v>919.86319551600695</v>
      </c>
      <c r="D9327" s="4"/>
      <c r="E9327" s="4"/>
    </row>
    <row r="9328" spans="1:5" x14ac:dyDescent="0.3">
      <c r="A9328" s="9">
        <v>9320</v>
      </c>
      <c r="B9328" s="10">
        <f t="shared" ca="1" si="145"/>
        <v>9.2603305797279753E-2</v>
      </c>
      <c r="C9328" s="10">
        <f ca="1">NPV(B9328,Project_FCF!C18:J18)+Project_FCF!B18</f>
        <v>837.39470344059396</v>
      </c>
      <c r="D9328" s="4"/>
      <c r="E9328" s="4"/>
    </row>
    <row r="9329" spans="1:5" x14ac:dyDescent="0.3">
      <c r="A9329" s="9">
        <v>9321</v>
      </c>
      <c r="B9329" s="10">
        <f t="shared" ca="1" si="145"/>
        <v>9.8398582755200997E-2</v>
      </c>
      <c r="C9329" s="10">
        <f ca="1">NPV(B9329,Project_FCF!C18:J18)+Project_FCF!B18</f>
        <v>794.22470230524277</v>
      </c>
      <c r="D9329" s="4"/>
      <c r="E9329" s="4"/>
    </row>
    <row r="9330" spans="1:5" x14ac:dyDescent="0.3">
      <c r="A9330" s="9">
        <v>9322</v>
      </c>
      <c r="B9330" s="10">
        <f t="shared" ca="1" si="145"/>
        <v>9.9001416923471253E-2</v>
      </c>
      <c r="C9330" s="10">
        <f ca="1">NPV(B9330,Project_FCF!C18:J18)+Project_FCF!B18</f>
        <v>789.84512242106439</v>
      </c>
      <c r="D9330" s="4"/>
      <c r="E9330" s="4"/>
    </row>
    <row r="9331" spans="1:5" x14ac:dyDescent="0.3">
      <c r="A9331" s="9">
        <v>9323</v>
      </c>
      <c r="B9331" s="10">
        <f t="shared" ca="1" si="145"/>
        <v>8.9212180270458963E-2</v>
      </c>
      <c r="C9331" s="10">
        <f ca="1">NPV(B9331,Project_FCF!C18:J18)+Project_FCF!B18</f>
        <v>863.5790495861711</v>
      </c>
      <c r="D9331" s="4"/>
      <c r="E9331" s="4"/>
    </row>
    <row r="9332" spans="1:5" x14ac:dyDescent="0.3">
      <c r="A9332" s="9">
        <v>9324</v>
      </c>
      <c r="B9332" s="10">
        <f t="shared" ca="1" si="145"/>
        <v>7.7321630141651929E-2</v>
      </c>
      <c r="C9332" s="10">
        <f ca="1">NPV(B9332,Project_FCF!C18:J18)+Project_FCF!B18</f>
        <v>961.12751898443548</v>
      </c>
      <c r="D9332" s="4"/>
      <c r="E9332" s="4"/>
    </row>
    <row r="9333" spans="1:5" x14ac:dyDescent="0.3">
      <c r="A9333" s="9">
        <v>9325</v>
      </c>
      <c r="B9333" s="10">
        <f t="shared" ca="1" si="145"/>
        <v>7.9354222522550283E-2</v>
      </c>
      <c r="C9333" s="10">
        <f ca="1">NPV(B9333,Project_FCF!C18:J18)+Project_FCF!B18</f>
        <v>943.79433419816792</v>
      </c>
      <c r="D9333" s="4"/>
      <c r="E9333" s="4"/>
    </row>
    <row r="9334" spans="1:5" x14ac:dyDescent="0.3">
      <c r="A9334" s="9">
        <v>9326</v>
      </c>
      <c r="B9334" s="10">
        <f t="shared" ca="1" si="145"/>
        <v>6.6319816830706688E-2</v>
      </c>
      <c r="C9334" s="10">
        <f ca="1">NPV(B9334,Project_FCF!C18:J18)+Project_FCF!B18</f>
        <v>1059.9935265720101</v>
      </c>
      <c r="D9334" s="4"/>
      <c r="E9334" s="4"/>
    </row>
    <row r="9335" spans="1:5" x14ac:dyDescent="0.3">
      <c r="A9335" s="9">
        <v>9327</v>
      </c>
      <c r="B9335" s="10">
        <f t="shared" ca="1" si="145"/>
        <v>6.8506851394484689E-2</v>
      </c>
      <c r="C9335" s="10">
        <f ca="1">NPV(B9335,Project_FCF!C18:J18)+Project_FCF!B18</f>
        <v>1039.6390399497886</v>
      </c>
      <c r="D9335" s="4"/>
      <c r="E9335" s="4"/>
    </row>
    <row r="9336" spans="1:5" x14ac:dyDescent="0.3">
      <c r="A9336" s="9">
        <v>9328</v>
      </c>
      <c r="B9336" s="10">
        <f t="shared" ca="1" si="145"/>
        <v>9.640751034985956E-2</v>
      </c>
      <c r="C9336" s="10">
        <f ca="1">NPV(B9336,Project_FCF!C18:J18)+Project_FCF!B18</f>
        <v>808.83681210706413</v>
      </c>
      <c r="D9336" s="4"/>
      <c r="E9336" s="4"/>
    </row>
    <row r="9337" spans="1:5" x14ac:dyDescent="0.3">
      <c r="A9337" s="9">
        <v>9329</v>
      </c>
      <c r="B9337" s="10">
        <f t="shared" ca="1" si="145"/>
        <v>7.594234229958971E-2</v>
      </c>
      <c r="C9337" s="10">
        <f ca="1">NPV(B9337,Project_FCF!C18:J18)+Project_FCF!B18</f>
        <v>973.05037819426661</v>
      </c>
      <c r="D9337" s="4"/>
      <c r="E9337" s="4"/>
    </row>
    <row r="9338" spans="1:5" x14ac:dyDescent="0.3">
      <c r="A9338" s="9">
        <v>9330</v>
      </c>
      <c r="B9338" s="10">
        <f t="shared" ca="1" si="145"/>
        <v>7.2089104080867689E-2</v>
      </c>
      <c r="C9338" s="10">
        <f ca="1">NPV(B9338,Project_FCF!C18:J18)+Project_FCF!B18</f>
        <v>1007.0628803212767</v>
      </c>
      <c r="D9338" s="4"/>
      <c r="E9338" s="4"/>
    </row>
    <row r="9339" spans="1:5" x14ac:dyDescent="0.3">
      <c r="A9339" s="9">
        <v>9331</v>
      </c>
      <c r="B9339" s="10">
        <f t="shared" ca="1" si="145"/>
        <v>7.8263809304818147E-2</v>
      </c>
      <c r="C9339" s="10">
        <f ca="1">NPV(B9339,Project_FCF!C18:J18)+Project_FCF!B18</f>
        <v>953.05810757236532</v>
      </c>
      <c r="D9339" s="4"/>
      <c r="E9339" s="4"/>
    </row>
    <row r="9340" spans="1:5" x14ac:dyDescent="0.3">
      <c r="A9340" s="9">
        <v>9332</v>
      </c>
      <c r="B9340" s="10">
        <f t="shared" ca="1" si="145"/>
        <v>9.7176321670989274E-2</v>
      </c>
      <c r="C9340" s="10">
        <f ca="1">NPV(B9340,Project_FCF!C18:J18)+Project_FCF!B18</f>
        <v>803.16775771476864</v>
      </c>
      <c r="D9340" s="4"/>
      <c r="E9340" s="4"/>
    </row>
    <row r="9341" spans="1:5" x14ac:dyDescent="0.3">
      <c r="A9341" s="9">
        <v>9333</v>
      </c>
      <c r="B9341" s="10">
        <f t="shared" ca="1" si="145"/>
        <v>0.10317842554318118</v>
      </c>
      <c r="C9341" s="10">
        <f ca="1">NPV(B9341,Project_FCF!C18:J18)+Project_FCF!B18</f>
        <v>760.05627639432169</v>
      </c>
      <c r="D9341" s="4"/>
      <c r="E9341" s="4"/>
    </row>
    <row r="9342" spans="1:5" x14ac:dyDescent="0.3">
      <c r="A9342" s="9">
        <v>9334</v>
      </c>
      <c r="B9342" s="10">
        <f t="shared" ca="1" si="145"/>
        <v>8.7599398271665213E-2</v>
      </c>
      <c r="C9342" s="10">
        <f ca="1">NPV(B9342,Project_FCF!C18:J18)+Project_FCF!B18</f>
        <v>876.27900111738859</v>
      </c>
      <c r="D9342" s="4"/>
      <c r="E9342" s="4"/>
    </row>
    <row r="9343" spans="1:5" x14ac:dyDescent="0.3">
      <c r="A9343" s="9">
        <v>9335</v>
      </c>
      <c r="B9343" s="10">
        <f t="shared" ca="1" si="145"/>
        <v>8.8370266844999878E-2</v>
      </c>
      <c r="C9343" s="10">
        <f ca="1">NPV(B9343,Project_FCF!C18:J18)+Project_FCF!B18</f>
        <v>870.18863657054681</v>
      </c>
      <c r="D9343" s="4"/>
      <c r="E9343" s="4"/>
    </row>
    <row r="9344" spans="1:5" x14ac:dyDescent="0.3">
      <c r="A9344" s="9">
        <v>9336</v>
      </c>
      <c r="B9344" s="10">
        <f t="shared" ca="1" si="145"/>
        <v>7.568603865644602E-2</v>
      </c>
      <c r="C9344" s="10">
        <f ca="1">NPV(B9344,Project_FCF!C18:J18)+Project_FCF!B18</f>
        <v>975.2804060258361</v>
      </c>
      <c r="D9344" s="4"/>
      <c r="E9344" s="4"/>
    </row>
    <row r="9345" spans="1:5" x14ac:dyDescent="0.3">
      <c r="A9345" s="9">
        <v>9337</v>
      </c>
      <c r="B9345" s="10">
        <f t="shared" ca="1" si="145"/>
        <v>7.9097777689531759E-2</v>
      </c>
      <c r="C9345" s="10">
        <f ca="1">NPV(B9345,Project_FCF!C18:J18)+Project_FCF!B18</f>
        <v>945.96578247741309</v>
      </c>
      <c r="D9345" s="4"/>
      <c r="E9345" s="4"/>
    </row>
    <row r="9346" spans="1:5" x14ac:dyDescent="0.3">
      <c r="A9346" s="9">
        <v>9338</v>
      </c>
      <c r="B9346" s="10">
        <f t="shared" ca="1" si="145"/>
        <v>6.5498786640657794E-2</v>
      </c>
      <c r="C9346" s="10">
        <f ca="1">NPV(B9346,Project_FCF!C18:J18)+Project_FCF!B18</f>
        <v>1067.7278433563672</v>
      </c>
      <c r="D9346" s="4"/>
      <c r="E9346" s="4"/>
    </row>
    <row r="9347" spans="1:5" x14ac:dyDescent="0.3">
      <c r="A9347" s="9">
        <v>9339</v>
      </c>
      <c r="B9347" s="10">
        <f t="shared" ca="1" si="145"/>
        <v>0.10225956995072752</v>
      </c>
      <c r="C9347" s="10">
        <f ca="1">NPV(B9347,Project_FCF!C18:J18)+Project_FCF!B18</f>
        <v>766.52662532092472</v>
      </c>
      <c r="D9347" s="4"/>
      <c r="E9347" s="4"/>
    </row>
    <row r="9348" spans="1:5" x14ac:dyDescent="0.3">
      <c r="A9348" s="9">
        <v>9340</v>
      </c>
      <c r="B9348" s="10">
        <f t="shared" ca="1" si="145"/>
        <v>8.8025924014856163E-2</v>
      </c>
      <c r="C9348" s="10">
        <f ca="1">NPV(B9348,Project_FCF!C18:J18)+Project_FCF!B18</f>
        <v>872.90460194375669</v>
      </c>
      <c r="D9348" s="4"/>
      <c r="E9348" s="4"/>
    </row>
    <row r="9349" spans="1:5" x14ac:dyDescent="0.3">
      <c r="A9349" s="9">
        <v>9341</v>
      </c>
      <c r="B9349" s="10">
        <f t="shared" ca="1" si="145"/>
        <v>9.6067371445603136E-2</v>
      </c>
      <c r="C9349" s="10">
        <f ca="1">NPV(B9349,Project_FCF!C18:J18)+Project_FCF!B18</f>
        <v>811.3557944599936</v>
      </c>
      <c r="D9349" s="4"/>
      <c r="E9349" s="4"/>
    </row>
    <row r="9350" spans="1:5" x14ac:dyDescent="0.3">
      <c r="A9350" s="9">
        <v>9342</v>
      </c>
      <c r="B9350" s="10">
        <f t="shared" ca="1" si="145"/>
        <v>6.7610031626463299E-2</v>
      </c>
      <c r="C9350" s="10">
        <f ca="1">NPV(B9350,Project_FCF!C18:J18)+Project_FCF!B18</f>
        <v>1047.942312383741</v>
      </c>
      <c r="D9350" s="4"/>
      <c r="E9350" s="4"/>
    </row>
    <row r="9351" spans="1:5" x14ac:dyDescent="0.3">
      <c r="A9351" s="9">
        <v>9343</v>
      </c>
      <c r="B9351" s="10">
        <f t="shared" ca="1" si="145"/>
        <v>7.8911478828421477E-2</v>
      </c>
      <c r="C9351" s="10">
        <f ca="1">NPV(B9351,Project_FCF!C18:J18)+Project_FCF!B18</f>
        <v>947.54604774900099</v>
      </c>
      <c r="D9351" s="4"/>
      <c r="E9351" s="4"/>
    </row>
    <row r="9352" spans="1:5" x14ac:dyDescent="0.3">
      <c r="A9352" s="9">
        <v>9344</v>
      </c>
      <c r="B9352" s="10">
        <f t="shared" ca="1" si="145"/>
        <v>6.588804170992997E-2</v>
      </c>
      <c r="C9352" s="10">
        <f ca="1">NPV(B9352,Project_FCF!C18:J18)+Project_FCF!B18</f>
        <v>1064.0545748142915</v>
      </c>
      <c r="D9352" s="4"/>
      <c r="E9352" s="4"/>
    </row>
    <row r="9353" spans="1:5" x14ac:dyDescent="0.3">
      <c r="A9353" s="9">
        <v>9345</v>
      </c>
      <c r="B9353" s="10">
        <f t="shared" ref="B9353:B9416" ca="1" si="146">$B$4+RAND()*($B$5-$B$4)</f>
        <v>9.2908596844397229E-2</v>
      </c>
      <c r="C9353" s="10">
        <f ca="1">NPV(B9353,Project_FCF!C18:J18)+Project_FCF!B18</f>
        <v>835.07141078994846</v>
      </c>
      <c r="D9353" s="4"/>
      <c r="E9353" s="4"/>
    </row>
    <row r="9354" spans="1:5" x14ac:dyDescent="0.3">
      <c r="A9354" s="9">
        <v>9346</v>
      </c>
      <c r="B9354" s="10">
        <f t="shared" ca="1" si="146"/>
        <v>9.1719799931217302E-2</v>
      </c>
      <c r="C9354" s="10">
        <f ca="1">NPV(B9354,Project_FCF!C18:J18)+Project_FCF!B18</f>
        <v>844.14966430404957</v>
      </c>
      <c r="D9354" s="4"/>
      <c r="E9354" s="4"/>
    </row>
    <row r="9355" spans="1:5" x14ac:dyDescent="0.3">
      <c r="A9355" s="9">
        <v>9347</v>
      </c>
      <c r="B9355" s="10">
        <f t="shared" ca="1" si="146"/>
        <v>0.10310958162226502</v>
      </c>
      <c r="C9355" s="10">
        <f ca="1">NPV(B9355,Project_FCF!C18:J18)+Project_FCF!B18</f>
        <v>760.5394631589761</v>
      </c>
      <c r="D9355" s="4"/>
      <c r="E9355" s="4"/>
    </row>
    <row r="9356" spans="1:5" x14ac:dyDescent="0.3">
      <c r="A9356" s="9">
        <v>9348</v>
      </c>
      <c r="B9356" s="10">
        <f t="shared" ca="1" si="146"/>
        <v>7.3126757805626566E-2</v>
      </c>
      <c r="C9356" s="10">
        <f ca="1">NPV(B9356,Project_FCF!C18:J18)+Project_FCF!B18</f>
        <v>997.80016322717825</v>
      </c>
      <c r="D9356" s="4"/>
      <c r="E9356" s="4"/>
    </row>
    <row r="9357" spans="1:5" x14ac:dyDescent="0.3">
      <c r="A9357" s="9">
        <v>9349</v>
      </c>
      <c r="B9357" s="10">
        <f t="shared" ca="1" si="146"/>
        <v>6.5698177245721384E-2</v>
      </c>
      <c r="C9357" s="10">
        <f ca="1">NPV(B9357,Project_FCF!C18:J18)+Project_FCF!B18</f>
        <v>1065.844820653871</v>
      </c>
      <c r="D9357" s="4"/>
      <c r="E9357" s="4"/>
    </row>
    <row r="9358" spans="1:5" x14ac:dyDescent="0.3">
      <c r="A9358" s="9">
        <v>9350</v>
      </c>
      <c r="B9358" s="10">
        <f t="shared" ca="1" si="146"/>
        <v>9.7825335823958706E-2</v>
      </c>
      <c r="C9358" s="10">
        <f ca="1">NPV(B9358,Project_FCF!C18:J18)+Project_FCF!B18</f>
        <v>798.40844045292238</v>
      </c>
      <c r="D9358" s="4"/>
      <c r="E9358" s="4"/>
    </row>
    <row r="9359" spans="1:5" x14ac:dyDescent="0.3">
      <c r="A9359" s="9">
        <v>9351</v>
      </c>
      <c r="B9359" s="10">
        <f t="shared" ca="1" si="146"/>
        <v>9.2165612473945946E-2</v>
      </c>
      <c r="C9359" s="10">
        <f ca="1">NPV(B9359,Project_FCF!C18:J18)+Project_FCF!B18</f>
        <v>840.73529896855757</v>
      </c>
      <c r="D9359" s="4"/>
      <c r="E9359" s="4"/>
    </row>
    <row r="9360" spans="1:5" x14ac:dyDescent="0.3">
      <c r="A9360" s="9">
        <v>9352</v>
      </c>
      <c r="B9360" s="10">
        <f t="shared" ca="1" si="146"/>
        <v>8.90933372585134E-2</v>
      </c>
      <c r="C9360" s="10">
        <f ca="1">NPV(B9360,Project_FCF!C18:J18)+Project_FCF!B18</f>
        <v>864.50939607930786</v>
      </c>
      <c r="D9360" s="4"/>
      <c r="E9360" s="4"/>
    </row>
    <row r="9361" spans="1:5" x14ac:dyDescent="0.3">
      <c r="A9361" s="9">
        <v>9353</v>
      </c>
      <c r="B9361" s="10">
        <f t="shared" ca="1" si="146"/>
        <v>9.9520488898370812E-2</v>
      </c>
      <c r="C9361" s="10">
        <f ca="1">NPV(B9361,Project_FCF!C18:J18)+Project_FCF!B18</f>
        <v>786.09049704027484</v>
      </c>
      <c r="D9361" s="4"/>
      <c r="E9361" s="4"/>
    </row>
    <row r="9362" spans="1:5" x14ac:dyDescent="0.3">
      <c r="A9362" s="9">
        <v>9354</v>
      </c>
      <c r="B9362" s="10">
        <f t="shared" ca="1" si="146"/>
        <v>6.8839697115194484E-2</v>
      </c>
      <c r="C9362" s="10">
        <f ca="1">NPV(B9362,Project_FCF!C18:J18)+Project_FCF!B18</f>
        <v>1036.5725722737845</v>
      </c>
      <c r="D9362" s="4"/>
      <c r="E9362" s="4"/>
    </row>
    <row r="9363" spans="1:5" x14ac:dyDescent="0.3">
      <c r="A9363" s="9">
        <v>9355</v>
      </c>
      <c r="B9363" s="10">
        <f t="shared" ca="1" si="146"/>
        <v>8.3174990975543484E-2</v>
      </c>
      <c r="C9363" s="10">
        <f ca="1">NPV(B9363,Project_FCF!C18:J18)+Project_FCF!B18</f>
        <v>911.96003470834421</v>
      </c>
      <c r="D9363" s="4"/>
      <c r="E9363" s="4"/>
    </row>
    <row r="9364" spans="1:5" x14ac:dyDescent="0.3">
      <c r="A9364" s="9">
        <v>9356</v>
      </c>
      <c r="B9364" s="10">
        <f t="shared" ca="1" si="146"/>
        <v>9.6397463935883068E-2</v>
      </c>
      <c r="C9364" s="10">
        <f ca="1">NPV(B9364,Project_FCF!C18:J18)+Project_FCF!B18</f>
        <v>808.91111751932749</v>
      </c>
      <c r="D9364" s="4"/>
      <c r="E9364" s="4"/>
    </row>
    <row r="9365" spans="1:5" x14ac:dyDescent="0.3">
      <c r="A9365" s="9">
        <v>9357</v>
      </c>
      <c r="B9365" s="10">
        <f t="shared" ca="1" si="146"/>
        <v>6.6350458681505506E-2</v>
      </c>
      <c r="C9365" s="10">
        <f ca="1">NPV(B9365,Project_FCF!C18:J18)+Project_FCF!B18</f>
        <v>1059.705862444001</v>
      </c>
      <c r="D9365" s="4"/>
      <c r="E9365" s="4"/>
    </row>
    <row r="9366" spans="1:5" x14ac:dyDescent="0.3">
      <c r="A9366" s="9">
        <v>9358</v>
      </c>
      <c r="B9366" s="10">
        <f t="shared" ca="1" si="146"/>
        <v>9.4016638280794804E-2</v>
      </c>
      <c r="C9366" s="10">
        <f ca="1">NPV(B9366,Project_FCF!C18:J18)+Project_FCF!B18</f>
        <v>826.68561541089207</v>
      </c>
      <c r="D9366" s="4"/>
      <c r="E9366" s="4"/>
    </row>
    <row r="9367" spans="1:5" x14ac:dyDescent="0.3">
      <c r="A9367" s="9">
        <v>9359</v>
      </c>
      <c r="B9367" s="10">
        <f t="shared" ca="1" si="146"/>
        <v>8.6597252297563487E-2</v>
      </c>
      <c r="C9367" s="10">
        <f ca="1">NPV(B9367,Project_FCF!C18:J18)+Project_FCF!B18</f>
        <v>884.25210242645721</v>
      </c>
      <c r="D9367" s="4"/>
      <c r="E9367" s="4"/>
    </row>
    <row r="9368" spans="1:5" x14ac:dyDescent="0.3">
      <c r="A9368" s="9">
        <v>9360</v>
      </c>
      <c r="B9368" s="10">
        <f t="shared" ca="1" si="146"/>
        <v>0.10380549111245785</v>
      </c>
      <c r="C9368" s="10">
        <f ca="1">NPV(B9368,Project_FCF!C18:J18)+Project_FCF!B18</f>
        <v>755.66700298020692</v>
      </c>
      <c r="D9368" s="4"/>
      <c r="E9368" s="4"/>
    </row>
    <row r="9369" spans="1:5" x14ac:dyDescent="0.3">
      <c r="A9369" s="9">
        <v>9361</v>
      </c>
      <c r="B9369" s="10">
        <f t="shared" ca="1" si="146"/>
        <v>6.8023830736675117E-2</v>
      </c>
      <c r="C9369" s="10">
        <f ca="1">NPV(B9369,Project_FCF!C18:J18)+Project_FCF!B18</f>
        <v>1044.1036768293802</v>
      </c>
      <c r="D9369" s="4"/>
      <c r="E9369" s="4"/>
    </row>
    <row r="9370" spans="1:5" x14ac:dyDescent="0.3">
      <c r="A9370" s="9">
        <v>9362</v>
      </c>
      <c r="B9370" s="10">
        <f t="shared" ca="1" si="146"/>
        <v>7.8668067030464209E-2</v>
      </c>
      <c r="C9370" s="10">
        <f ca="1">NPV(B9370,Project_FCF!C18:J18)+Project_FCF!B18</f>
        <v>949.61429963813384</v>
      </c>
      <c r="D9370" s="4"/>
      <c r="E9370" s="4"/>
    </row>
    <row r="9371" spans="1:5" x14ac:dyDescent="0.3">
      <c r="A9371" s="9">
        <v>9363</v>
      </c>
      <c r="B9371" s="10">
        <f t="shared" ca="1" si="146"/>
        <v>0.10030177571858498</v>
      </c>
      <c r="C9371" s="10">
        <f ca="1">NPV(B9371,Project_FCF!C18:J18)+Project_FCF!B18</f>
        <v>780.46767353551445</v>
      </c>
      <c r="D9371" s="4"/>
      <c r="E9371" s="4"/>
    </row>
    <row r="9372" spans="1:5" x14ac:dyDescent="0.3">
      <c r="A9372" s="9">
        <v>9364</v>
      </c>
      <c r="B9372" s="10">
        <f t="shared" ca="1" si="146"/>
        <v>9.6214929575220876E-2</v>
      </c>
      <c r="C9372" s="10">
        <f ca="1">NPV(B9372,Project_FCF!C18:J18)+Project_FCF!B18</f>
        <v>810.26219525306965</v>
      </c>
      <c r="D9372" s="4"/>
      <c r="E9372" s="4"/>
    </row>
    <row r="9373" spans="1:5" x14ac:dyDescent="0.3">
      <c r="A9373" s="9">
        <v>9365</v>
      </c>
      <c r="B9373" s="10">
        <f t="shared" ca="1" si="146"/>
        <v>0.10297901452880198</v>
      </c>
      <c r="C9373" s="10">
        <f ca="1">NPV(B9373,Project_FCF!C18:J18)+Project_FCF!B18</f>
        <v>761.45656716957842</v>
      </c>
      <c r="D9373" s="4"/>
      <c r="E9373" s="4"/>
    </row>
    <row r="9374" spans="1:5" x14ac:dyDescent="0.3">
      <c r="A9374" s="9">
        <v>9366</v>
      </c>
      <c r="B9374" s="10">
        <f t="shared" ca="1" si="146"/>
        <v>9.1911796991591715E-2</v>
      </c>
      <c r="C9374" s="10">
        <f ca="1">NPV(B9374,Project_FCF!C18:J18)+Project_FCF!B18</f>
        <v>842.67774430592931</v>
      </c>
      <c r="D9374" s="4"/>
      <c r="E9374" s="4"/>
    </row>
    <row r="9375" spans="1:5" x14ac:dyDescent="0.3">
      <c r="A9375" s="9">
        <v>9367</v>
      </c>
      <c r="B9375" s="10">
        <f t="shared" ca="1" si="146"/>
        <v>8.8902412500434846E-2</v>
      </c>
      <c r="C9375" s="10">
        <f ca="1">NPV(B9375,Project_FCF!C18:J18)+Project_FCF!B18</f>
        <v>866.00584653707779</v>
      </c>
      <c r="D9375" s="4"/>
      <c r="E9375" s="4"/>
    </row>
    <row r="9376" spans="1:5" x14ac:dyDescent="0.3">
      <c r="A9376" s="9">
        <v>9368</v>
      </c>
      <c r="B9376" s="10">
        <f t="shared" ca="1" si="146"/>
        <v>7.6487304806151055E-2</v>
      </c>
      <c r="C9376" s="10">
        <f ca="1">NPV(B9376,Project_FCF!C18:J18)+Project_FCF!B18</f>
        <v>968.32393392661811</v>
      </c>
      <c r="D9376" s="4"/>
      <c r="E9376" s="4"/>
    </row>
    <row r="9377" spans="1:5" x14ac:dyDescent="0.3">
      <c r="A9377" s="9">
        <v>9369</v>
      </c>
      <c r="B9377" s="10">
        <f t="shared" ca="1" si="146"/>
        <v>7.6563713683920481E-2</v>
      </c>
      <c r="C9377" s="10">
        <f ca="1">NPV(B9377,Project_FCF!C18:J18)+Project_FCF!B18</f>
        <v>967.66288213741291</v>
      </c>
      <c r="D9377" s="4"/>
      <c r="E9377" s="4"/>
    </row>
    <row r="9378" spans="1:5" x14ac:dyDescent="0.3">
      <c r="A9378" s="9">
        <v>9370</v>
      </c>
      <c r="B9378" s="10">
        <f t="shared" ca="1" si="146"/>
        <v>9.3680850628533596E-2</v>
      </c>
      <c r="C9378" s="10">
        <f ca="1">NPV(B9378,Project_FCF!C18:J18)+Project_FCF!B18</f>
        <v>829.21922284379411</v>
      </c>
      <c r="D9378" s="4"/>
      <c r="E9378" s="4"/>
    </row>
    <row r="9379" spans="1:5" x14ac:dyDescent="0.3">
      <c r="A9379" s="9">
        <v>9371</v>
      </c>
      <c r="B9379" s="10">
        <f t="shared" ca="1" si="146"/>
        <v>9.4771672082722608E-2</v>
      </c>
      <c r="C9379" s="10">
        <f ca="1">NPV(B9379,Project_FCF!C18:J18)+Project_FCF!B18</f>
        <v>821.01292695464599</v>
      </c>
      <c r="D9379" s="4"/>
      <c r="E9379" s="4"/>
    </row>
    <row r="9380" spans="1:5" x14ac:dyDescent="0.3">
      <c r="A9380" s="9">
        <v>9372</v>
      </c>
      <c r="B9380" s="10">
        <f t="shared" ca="1" si="146"/>
        <v>9.8770798455109249E-2</v>
      </c>
      <c r="C9380" s="10">
        <f ca="1">NPV(B9380,Project_FCF!C18:J18)+Project_FCF!B18</f>
        <v>791.51813539175464</v>
      </c>
      <c r="D9380" s="4"/>
      <c r="E9380" s="4"/>
    </row>
    <row r="9381" spans="1:5" x14ac:dyDescent="0.3">
      <c r="A9381" s="9">
        <v>9373</v>
      </c>
      <c r="B9381" s="10">
        <f t="shared" ca="1" si="146"/>
        <v>9.8060545527191789E-2</v>
      </c>
      <c r="C9381" s="10">
        <f ca="1">NPV(B9381,Project_FCF!C18:J18)+Project_FCF!B18</f>
        <v>796.68954545864631</v>
      </c>
      <c r="D9381" s="4"/>
      <c r="E9381" s="4"/>
    </row>
    <row r="9382" spans="1:5" x14ac:dyDescent="0.3">
      <c r="A9382" s="9">
        <v>9374</v>
      </c>
      <c r="B9382" s="10">
        <f t="shared" ca="1" si="146"/>
        <v>9.2908507806486032E-2</v>
      </c>
      <c r="C9382" s="10">
        <f ca="1">NPV(B9382,Project_FCF!C18:J18)+Project_FCF!B18</f>
        <v>835.0720875669931</v>
      </c>
      <c r="D9382" s="4"/>
      <c r="E9382" s="4"/>
    </row>
    <row r="9383" spans="1:5" x14ac:dyDescent="0.3">
      <c r="A9383" s="9">
        <v>9375</v>
      </c>
      <c r="B9383" s="10">
        <f t="shared" ca="1" si="146"/>
        <v>7.5002891666781368E-2</v>
      </c>
      <c r="C9383" s="10">
        <f ca="1">NPV(B9383,Project_FCF!C18:J18)+Project_FCF!B18</f>
        <v>981.24661143153753</v>
      </c>
      <c r="D9383" s="4"/>
      <c r="E9383" s="4"/>
    </row>
    <row r="9384" spans="1:5" x14ac:dyDescent="0.3">
      <c r="A9384" s="9">
        <v>9376</v>
      </c>
      <c r="B9384" s="10">
        <f t="shared" ca="1" si="146"/>
        <v>9.076717698779746E-2</v>
      </c>
      <c r="C9384" s="10">
        <f ca="1">NPV(B9384,Project_FCF!C18:J18)+Project_FCF!B18</f>
        <v>851.4856967530809</v>
      </c>
      <c r="D9384" s="4"/>
      <c r="E9384" s="4"/>
    </row>
    <row r="9385" spans="1:5" x14ac:dyDescent="0.3">
      <c r="A9385" s="9">
        <v>9377</v>
      </c>
      <c r="B9385" s="10">
        <f t="shared" ca="1" si="146"/>
        <v>9.200470652906774E-2</v>
      </c>
      <c r="C9385" s="10">
        <f ca="1">NPV(B9385,Project_FCF!C18:J18)+Project_FCF!B18</f>
        <v>841.966260804277</v>
      </c>
      <c r="D9385" s="4"/>
      <c r="E9385" s="4"/>
    </row>
    <row r="9386" spans="1:5" x14ac:dyDescent="0.3">
      <c r="A9386" s="9">
        <v>9378</v>
      </c>
      <c r="B9386" s="10">
        <f t="shared" ca="1" si="146"/>
        <v>7.7982226647976799E-2</v>
      </c>
      <c r="C9386" s="10">
        <f ca="1">NPV(B9386,Project_FCF!C18:J18)+Project_FCF!B18</f>
        <v>955.46341946328289</v>
      </c>
      <c r="D9386" s="4"/>
      <c r="E9386" s="4"/>
    </row>
    <row r="9387" spans="1:5" x14ac:dyDescent="0.3">
      <c r="A9387" s="9">
        <v>9379</v>
      </c>
      <c r="B9387" s="10">
        <f t="shared" ca="1" si="146"/>
        <v>6.6327635476570695E-2</v>
      </c>
      <c r="C9387" s="10">
        <f ca="1">NPV(B9387,Project_FCF!C18:J18)+Project_FCF!B18</f>
        <v>1059.9201187719498</v>
      </c>
      <c r="D9387" s="4"/>
      <c r="E9387" s="4"/>
    </row>
    <row r="9388" spans="1:5" x14ac:dyDescent="0.3">
      <c r="A9388" s="9">
        <v>9380</v>
      </c>
      <c r="B9388" s="10">
        <f t="shared" ca="1" si="146"/>
        <v>8.7815497003968401E-2</v>
      </c>
      <c r="C9388" s="10">
        <f ca="1">NPV(B9388,Project_FCF!C18:J18)+Project_FCF!B18</f>
        <v>874.56794948896277</v>
      </c>
      <c r="D9388" s="4"/>
      <c r="E9388" s="4"/>
    </row>
    <row r="9389" spans="1:5" x14ac:dyDescent="0.3">
      <c r="A9389" s="9">
        <v>9381</v>
      </c>
      <c r="B9389" s="10">
        <f t="shared" ca="1" si="146"/>
        <v>8.808038139619552E-2</v>
      </c>
      <c r="C9389" s="10">
        <f ca="1">NPV(B9389,Project_FCF!C18:J18)+Project_FCF!B18</f>
        <v>872.47458522733336</v>
      </c>
      <c r="D9389" s="4"/>
      <c r="E9389" s="4"/>
    </row>
    <row r="9390" spans="1:5" x14ac:dyDescent="0.3">
      <c r="A9390" s="9">
        <v>9382</v>
      </c>
      <c r="B9390" s="10">
        <f t="shared" ca="1" si="146"/>
        <v>0.10058519181323361</v>
      </c>
      <c r="C9390" s="10">
        <f ca="1">NPV(B9390,Project_FCF!C18:J18)+Project_FCF!B18</f>
        <v>778.43638635763728</v>
      </c>
      <c r="D9390" s="4"/>
      <c r="E9390" s="4"/>
    </row>
    <row r="9391" spans="1:5" x14ac:dyDescent="0.3">
      <c r="A9391" s="9">
        <v>9383</v>
      </c>
      <c r="B9391" s="10">
        <f t="shared" ca="1" si="146"/>
        <v>9.5810221322121386E-2</v>
      </c>
      <c r="C9391" s="10">
        <f ca="1">NPV(B9391,Project_FCF!C18:J18)+Project_FCF!B18</f>
        <v>813.26462671311128</v>
      </c>
      <c r="D9391" s="4"/>
      <c r="E9391" s="4"/>
    </row>
    <row r="9392" spans="1:5" x14ac:dyDescent="0.3">
      <c r="A9392" s="9">
        <v>9384</v>
      </c>
      <c r="B9392" s="10">
        <f t="shared" ca="1" si="146"/>
        <v>9.6812180132032105E-2</v>
      </c>
      <c r="C9392" s="10">
        <f ca="1">NPV(B9392,Project_FCF!C18:J18)+Project_FCF!B18</f>
        <v>805.84862474572355</v>
      </c>
      <c r="D9392" s="4"/>
      <c r="E9392" s="4"/>
    </row>
    <row r="9393" spans="1:5" x14ac:dyDescent="0.3">
      <c r="A9393" s="9">
        <v>9385</v>
      </c>
      <c r="B9393" s="10">
        <f t="shared" ca="1" si="146"/>
        <v>9.7141930917889335E-2</v>
      </c>
      <c r="C9393" s="10">
        <f ca="1">NPV(B9393,Project_FCF!C18:J18)+Project_FCF!B18</f>
        <v>803.42062247816216</v>
      </c>
      <c r="D9393" s="4"/>
      <c r="E9393" s="4"/>
    </row>
    <row r="9394" spans="1:5" x14ac:dyDescent="0.3">
      <c r="A9394" s="9">
        <v>9386</v>
      </c>
      <c r="B9394" s="10">
        <f t="shared" ca="1" si="146"/>
        <v>9.7522867866012761E-2</v>
      </c>
      <c r="C9394" s="10">
        <f ca="1">NPV(B9394,Project_FCF!C18:J18)+Project_FCF!B18</f>
        <v>800.62348815324594</v>
      </c>
      <c r="D9394" s="4"/>
      <c r="E9394" s="4"/>
    </row>
    <row r="9395" spans="1:5" x14ac:dyDescent="0.3">
      <c r="A9395" s="9">
        <v>9387</v>
      </c>
      <c r="B9395" s="10">
        <f t="shared" ca="1" si="146"/>
        <v>9.3155025629701863E-2</v>
      </c>
      <c r="C9395" s="10">
        <f ca="1">NPV(B9395,Project_FCF!C18:J18)+Project_FCF!B18</f>
        <v>833.20011274689841</v>
      </c>
      <c r="D9395" s="4"/>
      <c r="E9395" s="4"/>
    </row>
    <row r="9396" spans="1:5" x14ac:dyDescent="0.3">
      <c r="A9396" s="9">
        <v>9388</v>
      </c>
      <c r="B9396" s="10">
        <f t="shared" ca="1" si="146"/>
        <v>8.8872372737142824E-2</v>
      </c>
      <c r="C9396" s="10">
        <f ca="1">NPV(B9396,Project_FCF!C18:J18)+Project_FCF!B18</f>
        <v>866.24150006791479</v>
      </c>
      <c r="D9396" s="4"/>
      <c r="E9396" s="4"/>
    </row>
    <row r="9397" spans="1:5" x14ac:dyDescent="0.3">
      <c r="A9397" s="9">
        <v>9389</v>
      </c>
      <c r="B9397" s="10">
        <f t="shared" ca="1" si="146"/>
        <v>8.6727084106973676E-2</v>
      </c>
      <c r="C9397" s="10">
        <f ca="1">NPV(B9397,Project_FCF!C18:J18)+Project_FCF!B18</f>
        <v>883.2156023274481</v>
      </c>
      <c r="D9397" s="4"/>
      <c r="E9397" s="4"/>
    </row>
    <row r="9398" spans="1:5" x14ac:dyDescent="0.3">
      <c r="A9398" s="9">
        <v>9390</v>
      </c>
      <c r="B9398" s="10">
        <f t="shared" ca="1" si="146"/>
        <v>6.9318485619350098E-2</v>
      </c>
      <c r="C9398" s="10">
        <f ca="1">NPV(B9398,Project_FCF!C18:J18)+Project_FCF!B18</f>
        <v>1032.1759166990744</v>
      </c>
      <c r="D9398" s="4"/>
      <c r="E9398" s="4"/>
    </row>
    <row r="9399" spans="1:5" x14ac:dyDescent="0.3">
      <c r="A9399" s="9">
        <v>9391</v>
      </c>
      <c r="B9399" s="10">
        <f t="shared" ca="1" si="146"/>
        <v>7.5903846916636736E-2</v>
      </c>
      <c r="C9399" s="10">
        <f ca="1">NPV(B9399,Project_FCF!C18:J18)+Project_FCF!B18</f>
        <v>973.38502503873588</v>
      </c>
      <c r="D9399" s="4"/>
      <c r="E9399" s="4"/>
    </row>
    <row r="9400" spans="1:5" x14ac:dyDescent="0.3">
      <c r="A9400" s="9">
        <v>9392</v>
      </c>
      <c r="B9400" s="10">
        <f t="shared" ca="1" si="146"/>
        <v>8.3577519643605241E-2</v>
      </c>
      <c r="C9400" s="10">
        <f ca="1">NPV(B9400,Project_FCF!C18:J18)+Project_FCF!B18</f>
        <v>908.66198284077109</v>
      </c>
      <c r="D9400" s="4"/>
      <c r="E9400" s="4"/>
    </row>
    <row r="9401" spans="1:5" x14ac:dyDescent="0.3">
      <c r="A9401" s="9">
        <v>9393</v>
      </c>
      <c r="B9401" s="10">
        <f t="shared" ca="1" si="146"/>
        <v>7.9923386046673026E-2</v>
      </c>
      <c r="C9401" s="10">
        <f ca="1">NPV(B9401,Project_FCF!C18:J18)+Project_FCF!B18</f>
        <v>938.99071920931715</v>
      </c>
      <c r="D9401" s="4"/>
      <c r="E9401" s="4"/>
    </row>
    <row r="9402" spans="1:5" x14ac:dyDescent="0.3">
      <c r="A9402" s="9">
        <v>9394</v>
      </c>
      <c r="B9402" s="10">
        <f t="shared" ca="1" si="146"/>
        <v>0.10303354894972466</v>
      </c>
      <c r="C9402" s="10">
        <f ca="1">NPV(B9402,Project_FCF!C18:J18)+Project_FCF!B18</f>
        <v>761.0734042790873</v>
      </c>
      <c r="D9402" s="4"/>
      <c r="E9402" s="4"/>
    </row>
    <row r="9403" spans="1:5" x14ac:dyDescent="0.3">
      <c r="A9403" s="9">
        <v>9395</v>
      </c>
      <c r="B9403" s="10">
        <f t="shared" ca="1" si="146"/>
        <v>8.5473044423904104E-2</v>
      </c>
      <c r="C9403" s="10">
        <f ca="1">NPV(B9403,Project_FCF!C18:J18)+Project_FCF!B18</f>
        <v>893.27164120885436</v>
      </c>
      <c r="D9403" s="4"/>
      <c r="E9403" s="4"/>
    </row>
    <row r="9404" spans="1:5" x14ac:dyDescent="0.3">
      <c r="A9404" s="9">
        <v>9396</v>
      </c>
      <c r="B9404" s="10">
        <f t="shared" ca="1" si="146"/>
        <v>7.1925462328194356E-2</v>
      </c>
      <c r="C9404" s="10">
        <f ca="1">NPV(B9404,Project_FCF!C18:J18)+Project_FCF!B18</f>
        <v>1008.5306837703242</v>
      </c>
      <c r="D9404" s="4"/>
      <c r="E9404" s="4"/>
    </row>
    <row r="9405" spans="1:5" x14ac:dyDescent="0.3">
      <c r="A9405" s="9">
        <v>9397</v>
      </c>
      <c r="B9405" s="10">
        <f t="shared" ca="1" si="146"/>
        <v>0.10224870326660372</v>
      </c>
      <c r="C9405" s="10">
        <f ca="1">NPV(B9405,Project_FCF!C18:J18)+Project_FCF!B18</f>
        <v>766.60342178971473</v>
      </c>
      <c r="D9405" s="4"/>
      <c r="E9405" s="4"/>
    </row>
    <row r="9406" spans="1:5" x14ac:dyDescent="0.3">
      <c r="A9406" s="9">
        <v>9398</v>
      </c>
      <c r="B9406" s="10">
        <f t="shared" ca="1" si="146"/>
        <v>7.0872075896182857E-2</v>
      </c>
      <c r="C9406" s="10">
        <f ca="1">NPV(B9406,Project_FCF!C18:J18)+Project_FCF!B18</f>
        <v>1018.0253763059068</v>
      </c>
      <c r="D9406" s="4"/>
      <c r="E9406" s="4"/>
    </row>
    <row r="9407" spans="1:5" x14ac:dyDescent="0.3">
      <c r="A9407" s="9">
        <v>9399</v>
      </c>
      <c r="B9407" s="10">
        <f t="shared" ca="1" si="146"/>
        <v>9.823510441226431E-2</v>
      </c>
      <c r="C9407" s="10">
        <f ca="1">NPV(B9407,Project_FCF!C18:J18)+Project_FCF!B18</f>
        <v>795.41591615531047</v>
      </c>
      <c r="D9407" s="4"/>
      <c r="E9407" s="4"/>
    </row>
    <row r="9408" spans="1:5" x14ac:dyDescent="0.3">
      <c r="A9408" s="9">
        <v>9400</v>
      </c>
      <c r="B9408" s="10">
        <f t="shared" ca="1" si="146"/>
        <v>8.5401101531819429E-2</v>
      </c>
      <c r="C9408" s="10">
        <f ca="1">NPV(B9408,Project_FCF!C18:J18)+Project_FCF!B18</f>
        <v>893.85156920003442</v>
      </c>
      <c r="D9408" s="4"/>
      <c r="E9408" s="4"/>
    </row>
    <row r="9409" spans="1:5" x14ac:dyDescent="0.3">
      <c r="A9409" s="9">
        <v>9401</v>
      </c>
      <c r="B9409" s="10">
        <f t="shared" ca="1" si="146"/>
        <v>6.4788074124817477E-2</v>
      </c>
      <c r="C9409" s="10">
        <f ca="1">NPV(B9409,Project_FCF!C18:J18)+Project_FCF!B18</f>
        <v>1074.4644359693812</v>
      </c>
      <c r="D9409" s="4"/>
      <c r="E9409" s="4"/>
    </row>
    <row r="9410" spans="1:5" x14ac:dyDescent="0.3">
      <c r="A9410" s="9">
        <v>9402</v>
      </c>
      <c r="B9410" s="10">
        <f t="shared" ca="1" si="146"/>
        <v>8.7172488641841378E-2</v>
      </c>
      <c r="C9410" s="10">
        <f ca="1">NPV(B9410,Project_FCF!C18:J18)+Project_FCF!B18</f>
        <v>879.66780868637488</v>
      </c>
      <c r="D9410" s="4"/>
      <c r="E9410" s="4"/>
    </row>
    <row r="9411" spans="1:5" x14ac:dyDescent="0.3">
      <c r="A9411" s="9">
        <v>9403</v>
      </c>
      <c r="B9411" s="10">
        <f t="shared" ca="1" si="146"/>
        <v>0.10358249744046127</v>
      </c>
      <c r="C9411" s="10">
        <f ca="1">NPV(B9411,Project_FCF!C18:J18)+Project_FCF!B18</f>
        <v>757.22545168562328</v>
      </c>
      <c r="D9411" s="4"/>
      <c r="E9411" s="4"/>
    </row>
    <row r="9412" spans="1:5" x14ac:dyDescent="0.3">
      <c r="A9412" s="9">
        <v>9404</v>
      </c>
      <c r="B9412" s="10">
        <f t="shared" ca="1" si="146"/>
        <v>8.1291604817342517E-2</v>
      </c>
      <c r="C9412" s="10">
        <f ca="1">NPV(B9412,Project_FCF!C18:J18)+Project_FCF!B18</f>
        <v>927.53168855751551</v>
      </c>
      <c r="D9412" s="4"/>
      <c r="E9412" s="4"/>
    </row>
    <row r="9413" spans="1:5" x14ac:dyDescent="0.3">
      <c r="A9413" s="9">
        <v>9405</v>
      </c>
      <c r="B9413" s="10">
        <f t="shared" ca="1" si="146"/>
        <v>9.0659694529966639E-2</v>
      </c>
      <c r="C9413" s="10">
        <f ca="1">NPV(B9413,Project_FCF!C18:J18)+Project_FCF!B18</f>
        <v>852.31685414685967</v>
      </c>
      <c r="D9413" s="4"/>
      <c r="E9413" s="4"/>
    </row>
    <row r="9414" spans="1:5" x14ac:dyDescent="0.3">
      <c r="A9414" s="9">
        <v>9406</v>
      </c>
      <c r="B9414" s="10">
        <f t="shared" ca="1" si="146"/>
        <v>9.5894467852936732E-2</v>
      </c>
      <c r="C9414" s="10">
        <f ca="1">NPV(B9414,Project_FCF!C18:J18)+Project_FCF!B18</f>
        <v>812.63884038048855</v>
      </c>
      <c r="D9414" s="4"/>
      <c r="E9414" s="4"/>
    </row>
    <row r="9415" spans="1:5" x14ac:dyDescent="0.3">
      <c r="A9415" s="9">
        <v>9407</v>
      </c>
      <c r="B9415" s="10">
        <f t="shared" ca="1" si="146"/>
        <v>7.5876047155512785E-2</v>
      </c>
      <c r="C9415" s="10">
        <f ca="1">NPV(B9415,Project_FCF!C18:J18)+Project_FCF!B18</f>
        <v>973.62675695661619</v>
      </c>
      <c r="D9415" s="4"/>
      <c r="E9415" s="4"/>
    </row>
    <row r="9416" spans="1:5" x14ac:dyDescent="0.3">
      <c r="A9416" s="9">
        <v>9408</v>
      </c>
      <c r="B9416" s="10">
        <f t="shared" ca="1" si="146"/>
        <v>0.10194217446621621</v>
      </c>
      <c r="C9416" s="10">
        <f ca="1">NPV(B9416,Project_FCF!C18:J18)+Project_FCF!B18</f>
        <v>768.77237407318512</v>
      </c>
      <c r="D9416" s="4"/>
      <c r="E9416" s="4"/>
    </row>
    <row r="9417" spans="1:5" x14ac:dyDescent="0.3">
      <c r="A9417" s="9">
        <v>9409</v>
      </c>
      <c r="B9417" s="10">
        <f t="shared" ref="B9417:B9480" ca="1" si="147">$B$4+RAND()*($B$5-$B$4)</f>
        <v>6.8708371582223746E-2</v>
      </c>
      <c r="C9417" s="10">
        <f ca="1">NPV(B9417,Project_FCF!C18:J18)+Project_FCF!B18</f>
        <v>1037.781478505045</v>
      </c>
      <c r="D9417" s="4"/>
      <c r="E9417" s="4"/>
    </row>
    <row r="9418" spans="1:5" x14ac:dyDescent="0.3">
      <c r="A9418" s="9">
        <v>9410</v>
      </c>
      <c r="B9418" s="10">
        <f t="shared" ca="1" si="147"/>
        <v>8.1604123790014471E-2</v>
      </c>
      <c r="C9418" s="10">
        <f ca="1">NPV(B9418,Project_FCF!C18:J18)+Project_FCF!B18</f>
        <v>924.93170243600616</v>
      </c>
      <c r="D9418" s="4"/>
      <c r="E9418" s="4"/>
    </row>
    <row r="9419" spans="1:5" x14ac:dyDescent="0.3">
      <c r="A9419" s="9">
        <v>9411</v>
      </c>
      <c r="B9419" s="10">
        <f t="shared" ca="1" si="147"/>
        <v>9.7242310599478521E-2</v>
      </c>
      <c r="C9419" s="10">
        <f ca="1">NPV(B9419,Project_FCF!C18:J18)+Project_FCF!B18</f>
        <v>802.68275095768058</v>
      </c>
      <c r="D9419" s="4"/>
      <c r="E9419" s="4"/>
    </row>
    <row r="9420" spans="1:5" x14ac:dyDescent="0.3">
      <c r="A9420" s="9">
        <v>9412</v>
      </c>
      <c r="B9420" s="10">
        <f t="shared" ca="1" si="147"/>
        <v>0.10397352824523684</v>
      </c>
      <c r="C9420" s="10">
        <f ca="1">NPV(B9420,Project_FCF!C18:J18)+Project_FCF!B18</f>
        <v>754.49440810266537</v>
      </c>
      <c r="D9420" s="4"/>
      <c r="E9420" s="4"/>
    </row>
    <row r="9421" spans="1:5" x14ac:dyDescent="0.3">
      <c r="A9421" s="9">
        <v>9413</v>
      </c>
      <c r="B9421" s="10">
        <f t="shared" ca="1" si="147"/>
        <v>7.4921967842383266E-2</v>
      </c>
      <c r="C9421" s="10">
        <f ca="1">NPV(B9421,Project_FCF!C18:J18)+Project_FCF!B18</f>
        <v>981.95551072412718</v>
      </c>
      <c r="D9421" s="4"/>
      <c r="E9421" s="4"/>
    </row>
    <row r="9422" spans="1:5" x14ac:dyDescent="0.3">
      <c r="A9422" s="9">
        <v>9414</v>
      </c>
      <c r="B9422" s="10">
        <f t="shared" ca="1" si="147"/>
        <v>9.9052329467064257E-2</v>
      </c>
      <c r="C9422" s="10">
        <f ca="1">NPV(B9422,Project_FCF!C18:J18)+Project_FCF!B18</f>
        <v>789.47618364615573</v>
      </c>
      <c r="D9422" s="4"/>
      <c r="E9422" s="4"/>
    </row>
    <row r="9423" spans="1:5" x14ac:dyDescent="0.3">
      <c r="A9423" s="9">
        <v>9415</v>
      </c>
      <c r="B9423" s="10">
        <f t="shared" ca="1" si="147"/>
        <v>7.1275414062142356E-2</v>
      </c>
      <c r="C9423" s="10">
        <f ca="1">NPV(B9423,Project_FCF!C18:J18)+Project_FCF!B18</f>
        <v>1014.3804135282405</v>
      </c>
      <c r="D9423" s="4"/>
      <c r="E9423" s="4"/>
    </row>
    <row r="9424" spans="1:5" x14ac:dyDescent="0.3">
      <c r="A9424" s="9">
        <v>9416</v>
      </c>
      <c r="B9424" s="10">
        <f t="shared" ca="1" si="147"/>
        <v>9.4844549617869284E-2</v>
      </c>
      <c r="C9424" s="10">
        <f ca="1">NPV(B9424,Project_FCF!C18:J18)+Project_FCF!B18</f>
        <v>820.46715638145884</v>
      </c>
      <c r="D9424" s="4"/>
      <c r="E9424" s="4"/>
    </row>
    <row r="9425" spans="1:5" x14ac:dyDescent="0.3">
      <c r="A9425" s="9">
        <v>9417</v>
      </c>
      <c r="B9425" s="10">
        <f t="shared" ca="1" si="147"/>
        <v>8.901569378021168E-2</v>
      </c>
      <c r="C9425" s="10">
        <f ca="1">NPV(B9425,Project_FCF!C18:J18)+Project_FCF!B18</f>
        <v>865.11768734078396</v>
      </c>
      <c r="D9425" s="4"/>
      <c r="E9425" s="4"/>
    </row>
    <row r="9426" spans="1:5" x14ac:dyDescent="0.3">
      <c r="A9426" s="9">
        <v>9418</v>
      </c>
      <c r="B9426" s="10">
        <f t="shared" ca="1" si="147"/>
        <v>8.794764863280527E-2</v>
      </c>
      <c r="C9426" s="10">
        <f ca="1">NPV(B9426,Project_FCF!C18:J18)+Project_FCF!B18</f>
        <v>873.52301793682022</v>
      </c>
      <c r="D9426" s="4"/>
      <c r="E9426" s="4"/>
    </row>
    <row r="9427" spans="1:5" x14ac:dyDescent="0.3">
      <c r="A9427" s="9">
        <v>9419</v>
      </c>
      <c r="B9427" s="10">
        <f t="shared" ca="1" si="147"/>
        <v>7.5864965473928653E-2</v>
      </c>
      <c r="C9427" s="10">
        <f ca="1">NPV(B9427,Project_FCF!C18:J18)+Project_FCF!B18</f>
        <v>973.72313230413283</v>
      </c>
      <c r="D9427" s="4"/>
      <c r="E9427" s="4"/>
    </row>
    <row r="9428" spans="1:5" x14ac:dyDescent="0.3">
      <c r="A9428" s="9">
        <v>9420</v>
      </c>
      <c r="B9428" s="10">
        <f t="shared" ca="1" si="147"/>
        <v>7.7540673911932423E-2</v>
      </c>
      <c r="C9428" s="10">
        <f ca="1">NPV(B9428,Project_FCF!C18:J18)+Project_FCF!B18</f>
        <v>959.24608686601232</v>
      </c>
      <c r="D9428" s="4"/>
      <c r="E9428" s="4"/>
    </row>
    <row r="9429" spans="1:5" x14ac:dyDescent="0.3">
      <c r="A9429" s="9">
        <v>9421</v>
      </c>
      <c r="B9429" s="10">
        <f t="shared" ca="1" si="147"/>
        <v>9.5880864091769546E-2</v>
      </c>
      <c r="C9429" s="10">
        <f ca="1">NPV(B9429,Project_FCF!C18:J18)+Project_FCF!B18</f>
        <v>812.73986175785103</v>
      </c>
      <c r="D9429" s="4"/>
      <c r="E9429" s="4"/>
    </row>
    <row r="9430" spans="1:5" x14ac:dyDescent="0.3">
      <c r="A9430" s="9">
        <v>9422</v>
      </c>
      <c r="B9430" s="10">
        <f t="shared" ca="1" si="147"/>
        <v>7.9398213865131087E-2</v>
      </c>
      <c r="C9430" s="10">
        <f ca="1">NPV(B9430,Project_FCF!C18:J18)+Project_FCF!B18</f>
        <v>943.42228177483048</v>
      </c>
      <c r="D9430" s="4"/>
      <c r="E9430" s="4"/>
    </row>
    <row r="9431" spans="1:5" x14ac:dyDescent="0.3">
      <c r="A9431" s="9">
        <v>9423</v>
      </c>
      <c r="B9431" s="10">
        <f t="shared" ca="1" si="147"/>
        <v>7.9229799350091792E-2</v>
      </c>
      <c r="C9431" s="10">
        <f ca="1">NPV(B9431,Project_FCF!C18:J18)+Project_FCF!B18</f>
        <v>944.84733540944717</v>
      </c>
      <c r="D9431" s="4"/>
      <c r="E9431" s="4"/>
    </row>
    <row r="9432" spans="1:5" x14ac:dyDescent="0.3">
      <c r="A9432" s="9">
        <v>9424</v>
      </c>
      <c r="B9432" s="10">
        <f t="shared" ca="1" si="147"/>
        <v>9.4240632413136377E-2</v>
      </c>
      <c r="C9432" s="10">
        <f ca="1">NPV(B9432,Project_FCF!C18:J18)+Project_FCF!B18</f>
        <v>824.99921654728428</v>
      </c>
      <c r="D9432" s="4"/>
      <c r="E9432" s="4"/>
    </row>
    <row r="9433" spans="1:5" x14ac:dyDescent="0.3">
      <c r="A9433" s="9">
        <v>9425</v>
      </c>
      <c r="B9433" s="10">
        <f t="shared" ca="1" si="147"/>
        <v>7.1783188250586327E-2</v>
      </c>
      <c r="C9433" s="10">
        <f ca="1">NPV(B9433,Project_FCF!C18:J18)+Project_FCF!B18</f>
        <v>1009.8083923153486</v>
      </c>
      <c r="D9433" s="4"/>
      <c r="E9433" s="4"/>
    </row>
    <row r="9434" spans="1:5" x14ac:dyDescent="0.3">
      <c r="A9434" s="9">
        <v>9426</v>
      </c>
      <c r="B9434" s="10">
        <f t="shared" ca="1" si="147"/>
        <v>9.189187026873584E-2</v>
      </c>
      <c r="C9434" s="10">
        <f ca="1">NPV(B9434,Project_FCF!C18:J18)+Project_FCF!B18</f>
        <v>842.83040685204855</v>
      </c>
      <c r="D9434" s="4"/>
      <c r="E9434" s="4"/>
    </row>
    <row r="9435" spans="1:5" x14ac:dyDescent="0.3">
      <c r="A9435" s="9">
        <v>9427</v>
      </c>
      <c r="B9435" s="10">
        <f t="shared" ca="1" si="147"/>
        <v>9.7299354959880069E-2</v>
      </c>
      <c r="C9435" s="10">
        <f ca="1">NPV(B9435,Project_FCF!C18:J18)+Project_FCF!B18</f>
        <v>802.26368616852778</v>
      </c>
      <c r="D9435" s="4"/>
      <c r="E9435" s="4"/>
    </row>
    <row r="9436" spans="1:5" x14ac:dyDescent="0.3">
      <c r="A9436" s="9">
        <v>9428</v>
      </c>
      <c r="B9436" s="10">
        <f t="shared" ca="1" si="147"/>
        <v>7.5374436258790797E-2</v>
      </c>
      <c r="C9436" s="10">
        <f ca="1">NPV(B9436,Project_FCF!C18:J18)+Project_FCF!B18</f>
        <v>977.99772351534034</v>
      </c>
      <c r="D9436" s="4"/>
      <c r="E9436" s="4"/>
    </row>
    <row r="9437" spans="1:5" x14ac:dyDescent="0.3">
      <c r="A9437" s="9">
        <v>9429</v>
      </c>
      <c r="B9437" s="10">
        <f t="shared" ca="1" si="147"/>
        <v>9.1588758341275389E-2</v>
      </c>
      <c r="C9437" s="10">
        <f ca="1">NPV(B9437,Project_FCF!C18:J18)+Project_FCF!B18</f>
        <v>845.15555043666927</v>
      </c>
      <c r="D9437" s="4"/>
      <c r="E9437" s="4"/>
    </row>
    <row r="9438" spans="1:5" x14ac:dyDescent="0.3">
      <c r="A9438" s="9">
        <v>9430</v>
      </c>
      <c r="B9438" s="10">
        <f t="shared" ca="1" si="147"/>
        <v>7.2774959041694898E-2</v>
      </c>
      <c r="C9438" s="10">
        <f ca="1">NPV(B9438,Project_FCF!C18:J18)+Project_FCF!B18</f>
        <v>1000.9319113305307</v>
      </c>
      <c r="D9438" s="4"/>
      <c r="E9438" s="4"/>
    </row>
    <row r="9439" spans="1:5" x14ac:dyDescent="0.3">
      <c r="A9439" s="9">
        <v>9431</v>
      </c>
      <c r="B9439" s="10">
        <f t="shared" ca="1" si="147"/>
        <v>9.5994738294706089E-2</v>
      </c>
      <c r="C9439" s="10">
        <f ca="1">NPV(B9439,Project_FCF!C18:J18)+Project_FCF!B18</f>
        <v>811.89456406314162</v>
      </c>
      <c r="D9439" s="4"/>
      <c r="E9439" s="4"/>
    </row>
    <row r="9440" spans="1:5" x14ac:dyDescent="0.3">
      <c r="A9440" s="9">
        <v>9432</v>
      </c>
      <c r="B9440" s="10">
        <f t="shared" ca="1" si="147"/>
        <v>9.316802313823172E-2</v>
      </c>
      <c r="C9440" s="10">
        <f ca="1">NPV(B9440,Project_FCF!C18:J18)+Project_FCF!B18</f>
        <v>833.10151421114028</v>
      </c>
      <c r="D9440" s="4"/>
      <c r="E9440" s="4"/>
    </row>
    <row r="9441" spans="1:5" x14ac:dyDescent="0.3">
      <c r="A9441" s="9">
        <v>9433</v>
      </c>
      <c r="B9441" s="10">
        <f t="shared" ca="1" si="147"/>
        <v>7.6010578339431895E-2</v>
      </c>
      <c r="C9441" s="10">
        <f ca="1">NPV(B9441,Project_FCF!C18:J18)+Project_FCF!B18</f>
        <v>972.45744328075216</v>
      </c>
      <c r="D9441" s="4"/>
      <c r="E9441" s="4"/>
    </row>
    <row r="9442" spans="1:5" x14ac:dyDescent="0.3">
      <c r="A9442" s="9">
        <v>9434</v>
      </c>
      <c r="B9442" s="10">
        <f t="shared" ca="1" si="147"/>
        <v>9.1916780596367154E-2</v>
      </c>
      <c r="C9442" s="10">
        <f ca="1">NPV(B9442,Project_FCF!C18:J18)+Project_FCF!B18</f>
        <v>842.63956765697026</v>
      </c>
      <c r="D9442" s="4"/>
      <c r="E9442" s="4"/>
    </row>
    <row r="9443" spans="1:5" x14ac:dyDescent="0.3">
      <c r="A9443" s="9">
        <v>9435</v>
      </c>
      <c r="B9443" s="10">
        <f t="shared" ca="1" si="147"/>
        <v>7.8008374085216978E-2</v>
      </c>
      <c r="C9443" s="10">
        <f ca="1">NPV(B9443,Project_FCF!C18:J18)+Project_FCF!B18</f>
        <v>955.23983790282227</v>
      </c>
      <c r="D9443" s="4"/>
      <c r="E9443" s="4"/>
    </row>
    <row r="9444" spans="1:5" x14ac:dyDescent="0.3">
      <c r="A9444" s="9">
        <v>9436</v>
      </c>
      <c r="B9444" s="10">
        <f t="shared" ca="1" si="147"/>
        <v>8.8960492346853229E-2</v>
      </c>
      <c r="C9444" s="10">
        <f ca="1">NPV(B9444,Project_FCF!C18:J18)+Project_FCF!B18</f>
        <v>865.55038427540148</v>
      </c>
      <c r="D9444" s="4"/>
      <c r="E9444" s="4"/>
    </row>
    <row r="9445" spans="1:5" x14ac:dyDescent="0.3">
      <c r="A9445" s="9">
        <v>9437</v>
      </c>
      <c r="B9445" s="10">
        <f t="shared" ca="1" si="147"/>
        <v>8.3271755813406734E-2</v>
      </c>
      <c r="C9445" s="10">
        <f ca="1">NPV(B9445,Project_FCF!C18:J18)+Project_FCF!B18</f>
        <v>911.16624862725189</v>
      </c>
      <c r="D9445" s="4"/>
      <c r="E9445" s="4"/>
    </row>
    <row r="9446" spans="1:5" x14ac:dyDescent="0.3">
      <c r="A9446" s="9">
        <v>9438</v>
      </c>
      <c r="B9446" s="10">
        <f t="shared" ca="1" si="147"/>
        <v>6.5414279884812396E-2</v>
      </c>
      <c r="C9446" s="10">
        <f ca="1">NPV(B9446,Project_FCF!C18:J18)+Project_FCF!B18</f>
        <v>1068.5268302543489</v>
      </c>
      <c r="D9446" s="4"/>
      <c r="E9446" s="4"/>
    </row>
    <row r="9447" spans="1:5" x14ac:dyDescent="0.3">
      <c r="A9447" s="9">
        <v>9439</v>
      </c>
      <c r="B9447" s="10">
        <f t="shared" ca="1" si="147"/>
        <v>8.2329771663396001E-2</v>
      </c>
      <c r="C9447" s="10">
        <f ca="1">NPV(B9447,Project_FCF!C18:J18)+Project_FCF!B18</f>
        <v>918.91949437434823</v>
      </c>
      <c r="D9447" s="4"/>
      <c r="E9447" s="4"/>
    </row>
    <row r="9448" spans="1:5" x14ac:dyDescent="0.3">
      <c r="A9448" s="9">
        <v>9440</v>
      </c>
      <c r="B9448" s="10">
        <f t="shared" ca="1" si="147"/>
        <v>7.1163393481801063E-2</v>
      </c>
      <c r="C9448" s="10">
        <f ca="1">NPV(B9448,Project_FCF!C18:J18)+Project_FCF!B18</f>
        <v>1015.3915601036786</v>
      </c>
      <c r="D9448" s="4"/>
      <c r="E9448" s="4"/>
    </row>
    <row r="9449" spans="1:5" x14ac:dyDescent="0.3">
      <c r="A9449" s="9">
        <v>9441</v>
      </c>
      <c r="B9449" s="10">
        <f t="shared" ca="1" si="147"/>
        <v>9.5523577393828746E-2</v>
      </c>
      <c r="C9449" s="10">
        <f ca="1">NPV(B9449,Project_FCF!C18:J18)+Project_FCF!B18</f>
        <v>815.39691386313052</v>
      </c>
      <c r="D9449" s="4"/>
      <c r="E9449" s="4"/>
    </row>
    <row r="9450" spans="1:5" x14ac:dyDescent="0.3">
      <c r="A9450" s="9">
        <v>9442</v>
      </c>
      <c r="B9450" s="10">
        <f t="shared" ca="1" si="147"/>
        <v>8.671491467950232E-2</v>
      </c>
      <c r="C9450" s="10">
        <f ca="1">NPV(B9450,Project_FCF!C18:J18)+Project_FCF!B18</f>
        <v>883.31271075256154</v>
      </c>
      <c r="D9450" s="4"/>
      <c r="E9450" s="4"/>
    </row>
    <row r="9451" spans="1:5" x14ac:dyDescent="0.3">
      <c r="A9451" s="9">
        <v>9443</v>
      </c>
      <c r="B9451" s="10">
        <f t="shared" ca="1" si="147"/>
        <v>6.8908237023712682E-2</v>
      </c>
      <c r="C9451" s="10">
        <f ca="1">NPV(B9451,Project_FCF!C18:J18)+Project_FCF!B18</f>
        <v>1035.9421405916885</v>
      </c>
      <c r="D9451" s="4"/>
      <c r="E9451" s="4"/>
    </row>
    <row r="9452" spans="1:5" x14ac:dyDescent="0.3">
      <c r="A9452" s="9">
        <v>9444</v>
      </c>
      <c r="B9452" s="10">
        <f t="shared" ca="1" si="147"/>
        <v>6.4869749372004515E-2</v>
      </c>
      <c r="C9452" s="10">
        <f ca="1">NPV(B9452,Project_FCF!C18:J18)+Project_FCF!B18</f>
        <v>1073.6882980917408</v>
      </c>
      <c r="D9452" s="4"/>
      <c r="E9452" s="4"/>
    </row>
    <row r="9453" spans="1:5" x14ac:dyDescent="0.3">
      <c r="A9453" s="9">
        <v>9445</v>
      </c>
      <c r="B9453" s="10">
        <f t="shared" ca="1" si="147"/>
        <v>9.6869235151586797E-2</v>
      </c>
      <c r="C9453" s="10">
        <f ca="1">NPV(B9453,Project_FCF!C18:J18)+Project_FCF!B18</f>
        <v>805.42807369339198</v>
      </c>
      <c r="D9453" s="4"/>
      <c r="E9453" s="4"/>
    </row>
    <row r="9454" spans="1:5" x14ac:dyDescent="0.3">
      <c r="A9454" s="9">
        <v>9446</v>
      </c>
      <c r="B9454" s="10">
        <f t="shared" ca="1" si="147"/>
        <v>8.3205024253625304E-2</v>
      </c>
      <c r="C9454" s="10">
        <f ca="1">NPV(B9454,Project_FCF!C18:J18)+Project_FCF!B18</f>
        <v>911.71359918074199</v>
      </c>
      <c r="D9454" s="4"/>
      <c r="E9454" s="4"/>
    </row>
    <row r="9455" spans="1:5" x14ac:dyDescent="0.3">
      <c r="A9455" s="9">
        <v>9447</v>
      </c>
      <c r="B9455" s="10">
        <f t="shared" ca="1" si="147"/>
        <v>7.2175383554030262E-2</v>
      </c>
      <c r="C9455" s="10">
        <f ca="1">NPV(B9455,Project_FCF!C18:J18)+Project_FCF!B18</f>
        <v>1006.2897610817936</v>
      </c>
      <c r="D9455" s="4"/>
      <c r="E9455" s="4"/>
    </row>
    <row r="9456" spans="1:5" x14ac:dyDescent="0.3">
      <c r="A9456" s="9">
        <v>9448</v>
      </c>
      <c r="B9456" s="10">
        <f t="shared" ca="1" si="147"/>
        <v>9.1886418337775194E-2</v>
      </c>
      <c r="C9456" s="10">
        <f ca="1">NPV(B9456,Project_FCF!C18:J18)+Project_FCF!B18</f>
        <v>842.87217932387102</v>
      </c>
      <c r="D9456" s="4"/>
      <c r="E9456" s="4"/>
    </row>
    <row r="9457" spans="1:5" x14ac:dyDescent="0.3">
      <c r="A9457" s="9">
        <v>9449</v>
      </c>
      <c r="B9457" s="10">
        <f t="shared" ca="1" si="147"/>
        <v>7.8017430494531373E-2</v>
      </c>
      <c r="C9457" s="10">
        <f ca="1">NPV(B9457,Project_FCF!C18:J18)+Project_FCF!B18</f>
        <v>955.16240918808899</v>
      </c>
      <c r="D9457" s="4"/>
      <c r="E9457" s="4"/>
    </row>
    <row r="9458" spans="1:5" x14ac:dyDescent="0.3">
      <c r="A9458" s="9">
        <v>9450</v>
      </c>
      <c r="B9458" s="10">
        <f t="shared" ca="1" si="147"/>
        <v>9.8587684035730108E-2</v>
      </c>
      <c r="C9458" s="10">
        <f ca="1">NPV(B9458,Project_FCF!C18:J18)+Project_FCF!B18</f>
        <v>792.84867218841873</v>
      </c>
      <c r="D9458" s="4"/>
      <c r="E9458" s="4"/>
    </row>
    <row r="9459" spans="1:5" x14ac:dyDescent="0.3">
      <c r="A9459" s="9">
        <v>9451</v>
      </c>
      <c r="B9459" s="10">
        <f t="shared" ca="1" si="147"/>
        <v>9.5531175850123495E-2</v>
      </c>
      <c r="C9459" s="10">
        <f ca="1">NPV(B9459,Project_FCF!C18:J18)+Project_FCF!B18</f>
        <v>815.34032885520037</v>
      </c>
      <c r="D9459" s="4"/>
      <c r="E9459" s="4"/>
    </row>
    <row r="9460" spans="1:5" x14ac:dyDescent="0.3">
      <c r="A9460" s="9">
        <v>9452</v>
      </c>
      <c r="B9460" s="10">
        <f t="shared" ca="1" si="147"/>
        <v>9.9512514293825322E-2</v>
      </c>
      <c r="C9460" s="10">
        <f ca="1">NPV(B9460,Project_FCF!C18:J18)+Project_FCF!B18</f>
        <v>786.14806551713878</v>
      </c>
      <c r="D9460" s="4"/>
      <c r="E9460" s="4"/>
    </row>
    <row r="9461" spans="1:5" x14ac:dyDescent="0.3">
      <c r="A9461" s="9">
        <v>9453</v>
      </c>
      <c r="B9461" s="10">
        <f t="shared" ca="1" si="147"/>
        <v>8.1590020970717603E-2</v>
      </c>
      <c r="C9461" s="10">
        <f ca="1">NPV(B9461,Project_FCF!C18:J18)+Project_FCF!B18</f>
        <v>925.0488913835668</v>
      </c>
      <c r="D9461" s="4"/>
      <c r="E9461" s="4"/>
    </row>
    <row r="9462" spans="1:5" x14ac:dyDescent="0.3">
      <c r="A9462" s="9">
        <v>9454</v>
      </c>
      <c r="B9462" s="10">
        <f t="shared" ca="1" si="147"/>
        <v>7.8109367895824983E-2</v>
      </c>
      <c r="C9462" s="10">
        <f ca="1">NPV(B9462,Project_FCF!C18:J18)+Project_FCF!B18</f>
        <v>954.37669663084444</v>
      </c>
      <c r="D9462" s="4"/>
      <c r="E9462" s="4"/>
    </row>
    <row r="9463" spans="1:5" x14ac:dyDescent="0.3">
      <c r="A9463" s="9">
        <v>9455</v>
      </c>
      <c r="B9463" s="10">
        <f t="shared" ca="1" si="147"/>
        <v>7.1267511586720414E-2</v>
      </c>
      <c r="C9463" s="10">
        <f ca="1">NPV(B9463,Project_FCF!C18:J18)+Project_FCF!B18</f>
        <v>1014.4517149432775</v>
      </c>
      <c r="D9463" s="4"/>
      <c r="E9463" s="4"/>
    </row>
    <row r="9464" spans="1:5" x14ac:dyDescent="0.3">
      <c r="A9464" s="9">
        <v>9456</v>
      </c>
      <c r="B9464" s="10">
        <f t="shared" ca="1" si="147"/>
        <v>9.2510706871526266E-2</v>
      </c>
      <c r="C9464" s="10">
        <f ca="1">NPV(B9464,Project_FCF!C18:J18)+Project_FCF!B18</f>
        <v>838.10048862396275</v>
      </c>
      <c r="D9464" s="4"/>
      <c r="E9464" s="4"/>
    </row>
    <row r="9465" spans="1:5" x14ac:dyDescent="0.3">
      <c r="A9465" s="9">
        <v>9457</v>
      </c>
      <c r="B9465" s="10">
        <f t="shared" ca="1" si="147"/>
        <v>7.9687098602923251E-2</v>
      </c>
      <c r="C9465" s="10">
        <f ca="1">NPV(B9465,Project_FCF!C18:J18)+Project_FCF!B18</f>
        <v>940.98229651564657</v>
      </c>
      <c r="D9465" s="4"/>
      <c r="E9465" s="4"/>
    </row>
    <row r="9466" spans="1:5" x14ac:dyDescent="0.3">
      <c r="A9466" s="9">
        <v>9458</v>
      </c>
      <c r="B9466" s="10">
        <f t="shared" ca="1" si="147"/>
        <v>8.5618747572693929E-2</v>
      </c>
      <c r="C9466" s="10">
        <f ca="1">NPV(B9466,Project_FCF!C18:J18)+Project_FCF!B18</f>
        <v>892.09814412709193</v>
      </c>
      <c r="D9466" s="4"/>
      <c r="E9466" s="4"/>
    </row>
    <row r="9467" spans="1:5" x14ac:dyDescent="0.3">
      <c r="A9467" s="9">
        <v>9459</v>
      </c>
      <c r="B9467" s="10">
        <f t="shared" ca="1" si="147"/>
        <v>7.6973881170643715E-2</v>
      </c>
      <c r="C9467" s="10">
        <f ca="1">NPV(B9467,Project_FCF!C18:J18)+Project_FCF!B18</f>
        <v>964.12118940883852</v>
      </c>
      <c r="D9467" s="4"/>
      <c r="E9467" s="4"/>
    </row>
    <row r="9468" spans="1:5" x14ac:dyDescent="0.3">
      <c r="A9468" s="9">
        <v>9460</v>
      </c>
      <c r="B9468" s="10">
        <f t="shared" ca="1" si="147"/>
        <v>7.714361073590334E-2</v>
      </c>
      <c r="C9468" s="10">
        <f ca="1">NPV(B9468,Project_FCF!C18:J18)+Project_FCF!B18</f>
        <v>962.65900045992248</v>
      </c>
      <c r="D9468" s="4"/>
      <c r="E9468" s="4"/>
    </row>
    <row r="9469" spans="1:5" x14ac:dyDescent="0.3">
      <c r="A9469" s="9">
        <v>9461</v>
      </c>
      <c r="B9469" s="10">
        <f t="shared" ca="1" si="147"/>
        <v>9.223139216246444E-2</v>
      </c>
      <c r="C9469" s="10">
        <f ca="1">NPV(B9469,Project_FCF!C18:J18)+Project_FCF!B18</f>
        <v>840.23251843222829</v>
      </c>
      <c r="D9469" s="4"/>
      <c r="E9469" s="4"/>
    </row>
    <row r="9470" spans="1:5" x14ac:dyDescent="0.3">
      <c r="A9470" s="9">
        <v>9462</v>
      </c>
      <c r="B9470" s="10">
        <f t="shared" ca="1" si="147"/>
        <v>8.7546484558683996E-2</v>
      </c>
      <c r="C9470" s="10">
        <f ca="1">NPV(B9470,Project_FCF!C18:J18)+Project_FCF!B18</f>
        <v>876.69841150719321</v>
      </c>
      <c r="D9470" s="4"/>
      <c r="E9470" s="4"/>
    </row>
    <row r="9471" spans="1:5" x14ac:dyDescent="0.3">
      <c r="A9471" s="9">
        <v>9463</v>
      </c>
      <c r="B9471" s="10">
        <f t="shared" ca="1" si="147"/>
        <v>9.073258537930512E-2</v>
      </c>
      <c r="C9471" s="10">
        <f ca="1">NPV(B9471,Project_FCF!C18:J18)+Project_FCF!B18</f>
        <v>851.75311570040253</v>
      </c>
      <c r="D9471" s="4"/>
      <c r="E9471" s="4"/>
    </row>
    <row r="9472" spans="1:5" x14ac:dyDescent="0.3">
      <c r="A9472" s="9">
        <v>9464</v>
      </c>
      <c r="B9472" s="10">
        <f t="shared" ca="1" si="147"/>
        <v>6.7132304034839968E-2</v>
      </c>
      <c r="C9472" s="10">
        <f ca="1">NPV(B9472,Project_FCF!C18:J18)+Project_FCF!B18</f>
        <v>1052.389917462177</v>
      </c>
      <c r="D9472" s="4"/>
      <c r="E9472" s="4"/>
    </row>
    <row r="9473" spans="1:5" x14ac:dyDescent="0.3">
      <c r="A9473" s="9">
        <v>9465</v>
      </c>
      <c r="B9473" s="10">
        <f t="shared" ca="1" si="147"/>
        <v>7.0895438995394522E-2</v>
      </c>
      <c r="C9473" s="10">
        <f ca="1">NPV(B9473,Project_FCF!C18:J18)+Project_FCF!B18</f>
        <v>1017.8139223549133</v>
      </c>
      <c r="D9473" s="4"/>
      <c r="E9473" s="4"/>
    </row>
    <row r="9474" spans="1:5" x14ac:dyDescent="0.3">
      <c r="A9474" s="9">
        <v>9466</v>
      </c>
      <c r="B9474" s="10">
        <f t="shared" ca="1" si="147"/>
        <v>9.3301511919805846E-2</v>
      </c>
      <c r="C9474" s="10">
        <f ca="1">NPV(B9474,Project_FCF!C18:J18)+Project_FCF!B18</f>
        <v>832.08945457111463</v>
      </c>
      <c r="D9474" s="4"/>
      <c r="E9474" s="4"/>
    </row>
    <row r="9475" spans="1:5" x14ac:dyDescent="0.3">
      <c r="A9475" s="9">
        <v>9467</v>
      </c>
      <c r="B9475" s="10">
        <f t="shared" ca="1" si="147"/>
        <v>9.7125509546474836E-2</v>
      </c>
      <c r="C9475" s="10">
        <f ca="1">NPV(B9475,Project_FCF!C18:J18)+Project_FCF!B18</f>
        <v>803.54138775135516</v>
      </c>
      <c r="D9475" s="4"/>
      <c r="E9475" s="4"/>
    </row>
    <row r="9476" spans="1:5" x14ac:dyDescent="0.3">
      <c r="A9476" s="9">
        <v>9468</v>
      </c>
      <c r="B9476" s="10">
        <f t="shared" ca="1" si="147"/>
        <v>7.1940616321012021E-2</v>
      </c>
      <c r="C9476" s="10">
        <f ca="1">NPV(B9476,Project_FCF!C18:J18)+Project_FCF!B18</f>
        <v>1008.394677428684</v>
      </c>
      <c r="D9476" s="4"/>
      <c r="E9476" s="4"/>
    </row>
    <row r="9477" spans="1:5" x14ac:dyDescent="0.3">
      <c r="A9477" s="9">
        <v>9469</v>
      </c>
      <c r="B9477" s="10">
        <f t="shared" ca="1" si="147"/>
        <v>8.1128714241738148E-2</v>
      </c>
      <c r="C9477" s="10">
        <f ca="1">NPV(B9477,Project_FCF!C18:J18)+Project_FCF!B18</f>
        <v>928.88940545793344</v>
      </c>
      <c r="D9477" s="4"/>
      <c r="E9477" s="4"/>
    </row>
    <row r="9478" spans="1:5" x14ac:dyDescent="0.3">
      <c r="A9478" s="9">
        <v>9470</v>
      </c>
      <c r="B9478" s="10">
        <f t="shared" ca="1" si="147"/>
        <v>0.10113105319374724</v>
      </c>
      <c r="C9478" s="10">
        <f ca="1">NPV(B9478,Project_FCF!C18:J18)+Project_FCF!B18</f>
        <v>774.53668875647031</v>
      </c>
      <c r="D9478" s="4"/>
      <c r="E9478" s="4"/>
    </row>
    <row r="9479" spans="1:5" x14ac:dyDescent="0.3">
      <c r="A9479" s="9">
        <v>9471</v>
      </c>
      <c r="B9479" s="10">
        <f t="shared" ca="1" si="147"/>
        <v>6.7293102921407694E-2</v>
      </c>
      <c r="C9479" s="10">
        <f ca="1">NPV(B9479,Project_FCF!C18:J18)+Project_FCF!B18</f>
        <v>1050.8909822247376</v>
      </c>
      <c r="D9479" s="4"/>
      <c r="E9479" s="4"/>
    </row>
    <row r="9480" spans="1:5" x14ac:dyDescent="0.3">
      <c r="A9480" s="9">
        <v>9472</v>
      </c>
      <c r="B9480" s="10">
        <f t="shared" ca="1" si="147"/>
        <v>9.8238397373992176E-2</v>
      </c>
      <c r="C9480" s="10">
        <f ca="1">NPV(B9480,Project_FCF!C18:J18)+Project_FCF!B18</f>
        <v>795.39190644091104</v>
      </c>
      <c r="D9480" s="4"/>
      <c r="E9480" s="4"/>
    </row>
    <row r="9481" spans="1:5" x14ac:dyDescent="0.3">
      <c r="A9481" s="9">
        <v>9473</v>
      </c>
      <c r="B9481" s="10">
        <f t="shared" ref="B9481:B9544" ca="1" si="148">$B$4+RAND()*($B$5-$B$4)</f>
        <v>7.9702729634080233E-2</v>
      </c>
      <c r="C9481" s="10">
        <f ca="1">NPV(B9481,Project_FCF!C18:J18)+Project_FCF!B18</f>
        <v>940.85043297478069</v>
      </c>
      <c r="D9481" s="4"/>
      <c r="E9481" s="4"/>
    </row>
    <row r="9482" spans="1:5" x14ac:dyDescent="0.3">
      <c r="A9482" s="9">
        <v>9474</v>
      </c>
      <c r="B9482" s="10">
        <f t="shared" ca="1" si="148"/>
        <v>0.10383216627873755</v>
      </c>
      <c r="C9482" s="10">
        <f ca="1">NPV(B9482,Project_FCF!C18:J18)+Project_FCF!B18</f>
        <v>755.48075678621535</v>
      </c>
      <c r="D9482" s="4"/>
      <c r="E9482" s="4"/>
    </row>
    <row r="9483" spans="1:5" x14ac:dyDescent="0.3">
      <c r="A9483" s="9">
        <v>9475</v>
      </c>
      <c r="B9483" s="10">
        <f t="shared" ca="1" si="148"/>
        <v>7.2961931087440673E-2</v>
      </c>
      <c r="C9483" s="10">
        <f ca="1">NPV(B9483,Project_FCF!C18:J18)+Project_FCF!B18</f>
        <v>999.26636950046759</v>
      </c>
      <c r="D9483" s="4"/>
      <c r="E9483" s="4"/>
    </row>
    <row r="9484" spans="1:5" x14ac:dyDescent="0.3">
      <c r="A9484" s="9">
        <v>9476</v>
      </c>
      <c r="B9484" s="10">
        <f t="shared" ca="1" si="148"/>
        <v>8.982685233717741E-2</v>
      </c>
      <c r="C9484" s="10">
        <f ca="1">NPV(B9484,Project_FCF!C18:J18)+Project_FCF!B18</f>
        <v>858.78102196179748</v>
      </c>
      <c r="D9484" s="4"/>
      <c r="E9484" s="4"/>
    </row>
    <row r="9485" spans="1:5" x14ac:dyDescent="0.3">
      <c r="A9485" s="9">
        <v>9477</v>
      </c>
      <c r="B9485" s="10">
        <f t="shared" ca="1" si="148"/>
        <v>7.1606311960792257E-2</v>
      </c>
      <c r="C9485" s="10">
        <f ca="1">NPV(B9485,Project_FCF!C18:J18)+Project_FCF!B18</f>
        <v>1011.3988826104444</v>
      </c>
      <c r="D9485" s="4"/>
      <c r="E9485" s="4"/>
    </row>
    <row r="9486" spans="1:5" x14ac:dyDescent="0.3">
      <c r="A9486" s="9">
        <v>9478</v>
      </c>
      <c r="B9486" s="10">
        <f t="shared" ca="1" si="148"/>
        <v>7.4731126350808696E-2</v>
      </c>
      <c r="C9486" s="10">
        <f ca="1">NPV(B9486,Project_FCF!C18:J18)+Project_FCF!B18</f>
        <v>983.62911312579308</v>
      </c>
      <c r="D9486" s="4"/>
      <c r="E9486" s="4"/>
    </row>
    <row r="9487" spans="1:5" x14ac:dyDescent="0.3">
      <c r="A9487" s="9">
        <v>9479</v>
      </c>
      <c r="B9487" s="10">
        <f t="shared" ca="1" si="148"/>
        <v>9.7555564392196301E-2</v>
      </c>
      <c r="C9487" s="10">
        <f ca="1">NPV(B9487,Project_FCF!C18:J18)+Project_FCF!B18</f>
        <v>800.3837916701109</v>
      </c>
      <c r="D9487" s="4"/>
      <c r="E9487" s="4"/>
    </row>
    <row r="9488" spans="1:5" x14ac:dyDescent="0.3">
      <c r="A9488" s="9">
        <v>9480</v>
      </c>
      <c r="B9488" s="10">
        <f t="shared" ca="1" si="148"/>
        <v>8.4582985243428999E-2</v>
      </c>
      <c r="C9488" s="10">
        <f ca="1">NPV(B9488,Project_FCF!C18:J18)+Project_FCF!B18</f>
        <v>900.46959428384321</v>
      </c>
      <c r="D9488" s="4"/>
      <c r="E9488" s="4"/>
    </row>
    <row r="9489" spans="1:5" x14ac:dyDescent="0.3">
      <c r="A9489" s="9">
        <v>9481</v>
      </c>
      <c r="B9489" s="10">
        <f t="shared" ca="1" si="148"/>
        <v>8.0176456387501802E-2</v>
      </c>
      <c r="C9489" s="10">
        <f ca="1">NPV(B9489,Project_FCF!C18:J18)+Project_FCF!B18</f>
        <v>936.86182655740026</v>
      </c>
      <c r="D9489" s="4"/>
      <c r="E9489" s="4"/>
    </row>
    <row r="9490" spans="1:5" x14ac:dyDescent="0.3">
      <c r="A9490" s="9">
        <v>9482</v>
      </c>
      <c r="B9490" s="10">
        <f t="shared" ca="1" si="148"/>
        <v>8.2185305345499837E-2</v>
      </c>
      <c r="C9490" s="10">
        <f ca="1">NPV(B9490,Project_FCF!C18:J18)+Project_FCF!B18</f>
        <v>920.11368596236684</v>
      </c>
      <c r="D9490" s="4"/>
      <c r="E9490" s="4"/>
    </row>
    <row r="9491" spans="1:5" x14ac:dyDescent="0.3">
      <c r="A9491" s="9">
        <v>9483</v>
      </c>
      <c r="B9491" s="10">
        <f t="shared" ca="1" si="148"/>
        <v>9.1714943437287366E-2</v>
      </c>
      <c r="C9491" s="10">
        <f ca="1">NPV(B9491,Project_FCF!C18:J18)+Project_FCF!B18</f>
        <v>844.18692471307281</v>
      </c>
      <c r="D9491" s="4"/>
      <c r="E9491" s="4"/>
    </row>
    <row r="9492" spans="1:5" x14ac:dyDescent="0.3">
      <c r="A9492" s="9">
        <v>9484</v>
      </c>
      <c r="B9492" s="10">
        <f t="shared" ca="1" si="148"/>
        <v>7.8015542207344357E-2</v>
      </c>
      <c r="C9492" s="10">
        <f ca="1">NPV(B9492,Project_FCF!C18:J18)+Project_FCF!B18</f>
        <v>955.17855283553854</v>
      </c>
      <c r="D9492" s="4"/>
      <c r="E9492" s="4"/>
    </row>
    <row r="9493" spans="1:5" x14ac:dyDescent="0.3">
      <c r="A9493" s="9">
        <v>9485</v>
      </c>
      <c r="B9493" s="10">
        <f t="shared" ca="1" si="148"/>
        <v>9.9163989996530921E-2</v>
      </c>
      <c r="C9493" s="10">
        <f ca="1">NPV(B9493,Project_FCF!C18:J18)+Project_FCF!B18</f>
        <v>788.66754487097342</v>
      </c>
      <c r="D9493" s="4"/>
      <c r="E9493" s="4"/>
    </row>
    <row r="9494" spans="1:5" x14ac:dyDescent="0.3">
      <c r="A9494" s="9">
        <v>9486</v>
      </c>
      <c r="B9494" s="10">
        <f t="shared" ca="1" si="148"/>
        <v>9.9249149239914153E-2</v>
      </c>
      <c r="C9494" s="10">
        <f ca="1">NPV(B9494,Project_FCF!C18:J18)+Project_FCF!B18</f>
        <v>788.05129873862325</v>
      </c>
      <c r="D9494" s="4"/>
      <c r="E9494" s="4"/>
    </row>
    <row r="9495" spans="1:5" x14ac:dyDescent="0.3">
      <c r="A9495" s="9">
        <v>9487</v>
      </c>
      <c r="B9495" s="10">
        <f t="shared" ca="1" si="148"/>
        <v>8.9568124998999285E-2</v>
      </c>
      <c r="C9495" s="10">
        <f ca="1">NPV(B9495,Project_FCF!C18:J18)+Project_FCF!B18</f>
        <v>860.79777952978679</v>
      </c>
      <c r="D9495" s="4"/>
      <c r="E9495" s="4"/>
    </row>
    <row r="9496" spans="1:5" x14ac:dyDescent="0.3">
      <c r="A9496" s="9">
        <v>9488</v>
      </c>
      <c r="B9496" s="10">
        <f t="shared" ca="1" si="148"/>
        <v>8.9514174295903082E-2</v>
      </c>
      <c r="C9496" s="10">
        <f ca="1">NPV(B9496,Project_FCF!C18:J18)+Project_FCF!B18</f>
        <v>861.21883765107577</v>
      </c>
      <c r="D9496" s="4"/>
      <c r="E9496" s="4"/>
    </row>
    <row r="9497" spans="1:5" x14ac:dyDescent="0.3">
      <c r="A9497" s="9">
        <v>9489</v>
      </c>
      <c r="B9497" s="10">
        <f t="shared" ca="1" si="148"/>
        <v>7.6122466525699747E-2</v>
      </c>
      <c r="C9497" s="10">
        <f ca="1">NPV(B9497,Project_FCF!C18:J18)+Project_FCF!B18</f>
        <v>971.4858926027614</v>
      </c>
      <c r="D9497" s="4"/>
      <c r="E9497" s="4"/>
    </row>
    <row r="9498" spans="1:5" x14ac:dyDescent="0.3">
      <c r="A9498" s="9">
        <v>9490</v>
      </c>
      <c r="B9498" s="10">
        <f t="shared" ca="1" si="148"/>
        <v>9.9791010027465904E-2</v>
      </c>
      <c r="C9498" s="10">
        <f ca="1">NPV(B9498,Project_FCF!C18:J18)+Project_FCF!B18</f>
        <v>784.13972438654378</v>
      </c>
      <c r="D9498" s="4"/>
      <c r="E9498" s="4"/>
    </row>
    <row r="9499" spans="1:5" x14ac:dyDescent="0.3">
      <c r="A9499" s="9">
        <v>9491</v>
      </c>
      <c r="B9499" s="10">
        <f t="shared" ca="1" si="148"/>
        <v>8.7178059658430701E-2</v>
      </c>
      <c r="C9499" s="10">
        <f ca="1">NPV(B9499,Project_FCF!C18:J18)+Project_FCF!B18</f>
        <v>879.62351252435246</v>
      </c>
      <c r="D9499" s="4"/>
      <c r="E9499" s="4"/>
    </row>
    <row r="9500" spans="1:5" x14ac:dyDescent="0.3">
      <c r="A9500" s="9">
        <v>9492</v>
      </c>
      <c r="B9500" s="10">
        <f t="shared" ca="1" si="148"/>
        <v>7.3690770014283785E-2</v>
      </c>
      <c r="C9500" s="10">
        <f ca="1">NPV(B9500,Project_FCF!C18:J18)+Project_FCF!B18</f>
        <v>992.79762898222566</v>
      </c>
      <c r="D9500" s="4"/>
      <c r="E9500" s="4"/>
    </row>
    <row r="9501" spans="1:5" x14ac:dyDescent="0.3">
      <c r="A9501" s="9">
        <v>9493</v>
      </c>
      <c r="B9501" s="10">
        <f t="shared" ca="1" si="148"/>
        <v>8.5304424997048919E-2</v>
      </c>
      <c r="C9501" s="10">
        <f ca="1">NPV(B9501,Project_FCF!C18:J18)+Project_FCF!B18</f>
        <v>894.63139278111225</v>
      </c>
      <c r="D9501" s="4"/>
      <c r="E9501" s="4"/>
    </row>
    <row r="9502" spans="1:5" x14ac:dyDescent="0.3">
      <c r="A9502" s="9">
        <v>9494</v>
      </c>
      <c r="B9502" s="10">
        <f t="shared" ca="1" si="148"/>
        <v>8.3018197340033767E-2</v>
      </c>
      <c r="C9502" s="10">
        <f ca="1">NPV(B9502,Project_FCF!C18:J18)+Project_FCF!B18</f>
        <v>913.24754333533315</v>
      </c>
      <c r="D9502" s="4"/>
      <c r="E9502" s="4"/>
    </row>
    <row r="9503" spans="1:5" x14ac:dyDescent="0.3">
      <c r="A9503" s="9">
        <v>9495</v>
      </c>
      <c r="B9503" s="10">
        <f t="shared" ca="1" si="148"/>
        <v>9.4849967107883737E-2</v>
      </c>
      <c r="C9503" s="10">
        <f ca="1">NPV(B9503,Project_FCF!C18:J18)+Project_FCF!B18</f>
        <v>820.42659790067137</v>
      </c>
      <c r="D9503" s="4"/>
      <c r="E9503" s="4"/>
    </row>
    <row r="9504" spans="1:5" x14ac:dyDescent="0.3">
      <c r="A9504" s="9">
        <v>9496</v>
      </c>
      <c r="B9504" s="10">
        <f t="shared" ca="1" si="148"/>
        <v>8.4513193233764217E-2</v>
      </c>
      <c r="C9504" s="10">
        <f ca="1">NPV(B9504,Project_FCF!C18:J18)+Project_FCF!B18</f>
        <v>901.03614866799944</v>
      </c>
      <c r="D9504" s="4"/>
      <c r="E9504" s="4"/>
    </row>
    <row r="9505" spans="1:5" x14ac:dyDescent="0.3">
      <c r="A9505" s="9">
        <v>9497</v>
      </c>
      <c r="B9505" s="10">
        <f t="shared" ca="1" si="148"/>
        <v>8.9536583638857581E-2</v>
      </c>
      <c r="C9505" s="10">
        <f ca="1">NPV(B9505,Project_FCF!C18:J18)+Project_FCF!B18</f>
        <v>861.04392231208976</v>
      </c>
      <c r="D9505" s="4"/>
      <c r="E9505" s="4"/>
    </row>
    <row r="9506" spans="1:5" x14ac:dyDescent="0.3">
      <c r="A9506" s="9">
        <v>9498</v>
      </c>
      <c r="B9506" s="10">
        <f t="shared" ca="1" si="148"/>
        <v>9.6765003444416992E-2</v>
      </c>
      <c r="C9506" s="10">
        <f ca="1">NPV(B9506,Project_FCF!C18:J18)+Project_FCF!B18</f>
        <v>806.19650423185885</v>
      </c>
      <c r="D9506" s="4"/>
      <c r="E9506" s="4"/>
    </row>
    <row r="9507" spans="1:5" x14ac:dyDescent="0.3">
      <c r="A9507" s="9">
        <v>9499</v>
      </c>
      <c r="B9507" s="10">
        <f t="shared" ca="1" si="148"/>
        <v>6.9565335872137368E-2</v>
      </c>
      <c r="C9507" s="10">
        <f ca="1">NPV(B9507,Project_FCF!C18:J18)+Project_FCF!B18</f>
        <v>1029.9157217775444</v>
      </c>
      <c r="D9507" s="4"/>
      <c r="E9507" s="4"/>
    </row>
    <row r="9508" spans="1:5" x14ac:dyDescent="0.3">
      <c r="A9508" s="9">
        <v>9500</v>
      </c>
      <c r="B9508" s="10">
        <f t="shared" ca="1" si="148"/>
        <v>6.6031590899703507E-2</v>
      </c>
      <c r="C9508" s="10">
        <f ca="1">NPV(B9508,Project_FCF!C18:J18)+Project_FCF!B18</f>
        <v>1062.7028578309014</v>
      </c>
      <c r="D9508" s="4"/>
      <c r="E9508" s="4"/>
    </row>
    <row r="9509" spans="1:5" x14ac:dyDescent="0.3">
      <c r="A9509" s="9">
        <v>9501</v>
      </c>
      <c r="B9509" s="10">
        <f t="shared" ca="1" si="148"/>
        <v>9.2793531194061765E-2</v>
      </c>
      <c r="C9509" s="10">
        <f ca="1">NPV(B9509,Project_FCF!C18:J18)+Project_FCF!B18</f>
        <v>835.94641855502073</v>
      </c>
      <c r="D9509" s="4"/>
      <c r="E9509" s="4"/>
    </row>
    <row r="9510" spans="1:5" x14ac:dyDescent="0.3">
      <c r="A9510" s="9">
        <v>9502</v>
      </c>
      <c r="B9510" s="10">
        <f t="shared" ca="1" si="148"/>
        <v>7.8607027277371247E-2</v>
      </c>
      <c r="C9510" s="10">
        <f ca="1">NPV(B9510,Project_FCF!C18:J18)+Project_FCF!B18</f>
        <v>950.13357808846968</v>
      </c>
      <c r="D9510" s="4"/>
      <c r="E9510" s="4"/>
    </row>
    <row r="9511" spans="1:5" x14ac:dyDescent="0.3">
      <c r="A9511" s="9">
        <v>9503</v>
      </c>
      <c r="B9511" s="10">
        <f t="shared" ca="1" si="148"/>
        <v>9.9269125531949526E-2</v>
      </c>
      <c r="C9511" s="10">
        <f ca="1">NPV(B9511,Project_FCF!C18:J18)+Project_FCF!B18</f>
        <v>787.9068014474401</v>
      </c>
      <c r="D9511" s="4"/>
      <c r="E9511" s="4"/>
    </row>
    <row r="9512" spans="1:5" x14ac:dyDescent="0.3">
      <c r="A9512" s="9">
        <v>9504</v>
      </c>
      <c r="B9512" s="10">
        <f t="shared" ca="1" si="148"/>
        <v>7.6446972094038973E-2</v>
      </c>
      <c r="C9512" s="10">
        <f ca="1">NPV(B9512,Project_FCF!C18:J18)+Project_FCF!B18</f>
        <v>968.67303500399385</v>
      </c>
      <c r="D9512" s="4"/>
      <c r="E9512" s="4"/>
    </row>
    <row r="9513" spans="1:5" x14ac:dyDescent="0.3">
      <c r="A9513" s="9">
        <v>9505</v>
      </c>
      <c r="B9513" s="10">
        <f t="shared" ca="1" si="148"/>
        <v>9.0178762422977093E-2</v>
      </c>
      <c r="C9513" s="10">
        <f ca="1">NPV(B9513,Project_FCF!C18:J18)+Project_FCF!B18</f>
        <v>856.04448543083049</v>
      </c>
      <c r="D9513" s="4"/>
      <c r="E9513" s="4"/>
    </row>
    <row r="9514" spans="1:5" x14ac:dyDescent="0.3">
      <c r="A9514" s="9">
        <v>9506</v>
      </c>
      <c r="B9514" s="10">
        <f t="shared" ca="1" si="148"/>
        <v>9.3125151429741149E-2</v>
      </c>
      <c r="C9514" s="10">
        <f ca="1">NPV(B9514,Project_FCF!C18:J18)+Project_FCF!B18</f>
        <v>833.42677517057177</v>
      </c>
      <c r="D9514" s="4"/>
      <c r="E9514" s="4"/>
    </row>
    <row r="9515" spans="1:5" x14ac:dyDescent="0.3">
      <c r="A9515" s="9">
        <v>9507</v>
      </c>
      <c r="B9515" s="10">
        <f t="shared" ca="1" si="148"/>
        <v>8.1143194879299857E-2</v>
      </c>
      <c r="C9515" s="10">
        <f ca="1">NPV(B9515,Project_FCF!C18:J18)+Project_FCF!B18</f>
        <v>928.76863616047513</v>
      </c>
      <c r="D9515" s="4"/>
      <c r="E9515" s="4"/>
    </row>
    <row r="9516" spans="1:5" x14ac:dyDescent="0.3">
      <c r="A9516" s="9">
        <v>9508</v>
      </c>
      <c r="B9516" s="10">
        <f t="shared" ca="1" si="148"/>
        <v>6.5679025727947926E-2</v>
      </c>
      <c r="C9516" s="10">
        <f ca="1">NPV(B9516,Project_FCF!C18:J18)+Project_FCF!B18</f>
        <v>1066.0255539875777</v>
      </c>
      <c r="D9516" s="4"/>
      <c r="E9516" s="4"/>
    </row>
    <row r="9517" spans="1:5" x14ac:dyDescent="0.3">
      <c r="A9517" s="9">
        <v>9509</v>
      </c>
      <c r="B9517" s="10">
        <f t="shared" ca="1" si="148"/>
        <v>8.5934161689077165E-2</v>
      </c>
      <c r="C9517" s="10">
        <f ca="1">NPV(B9517,Project_FCF!C18:J18)+Project_FCF!B18</f>
        <v>889.56240875153867</v>
      </c>
      <c r="D9517" s="4"/>
      <c r="E9517" s="4"/>
    </row>
    <row r="9518" spans="1:5" x14ac:dyDescent="0.3">
      <c r="A9518" s="9">
        <v>9510</v>
      </c>
      <c r="B9518" s="10">
        <f t="shared" ca="1" si="148"/>
        <v>7.6599428505946629E-2</v>
      </c>
      <c r="C9518" s="10">
        <f ca="1">NPV(B9518,Project_FCF!C18:J18)+Project_FCF!B18</f>
        <v>967.35403324335834</v>
      </c>
      <c r="D9518" s="4"/>
      <c r="E9518" s="4"/>
    </row>
    <row r="9519" spans="1:5" x14ac:dyDescent="0.3">
      <c r="A9519" s="9">
        <v>9511</v>
      </c>
      <c r="B9519" s="10">
        <f t="shared" ca="1" si="148"/>
        <v>8.2336197370991862E-2</v>
      </c>
      <c r="C9519" s="10">
        <f ca="1">NPV(B9519,Project_FCF!C18:J18)+Project_FCF!B18</f>
        <v>918.86640974940337</v>
      </c>
      <c r="D9519" s="4"/>
      <c r="E9519" s="4"/>
    </row>
    <row r="9520" spans="1:5" x14ac:dyDescent="0.3">
      <c r="A9520" s="9">
        <v>9512</v>
      </c>
      <c r="B9520" s="10">
        <f t="shared" ca="1" si="148"/>
        <v>9.3040980167095222E-2</v>
      </c>
      <c r="C9520" s="10">
        <f ca="1">NPV(B9520,Project_FCF!C18:J18)+Project_FCF!B18</f>
        <v>834.0656871045162</v>
      </c>
      <c r="D9520" s="4"/>
      <c r="E9520" s="4"/>
    </row>
    <row r="9521" spans="1:5" x14ac:dyDescent="0.3">
      <c r="A9521" s="9">
        <v>9513</v>
      </c>
      <c r="B9521" s="10">
        <f t="shared" ca="1" si="148"/>
        <v>9.5891035017883375E-2</v>
      </c>
      <c r="C9521" s="10">
        <f ca="1">NPV(B9521,Project_FCF!C18:J18)+Project_FCF!B18</f>
        <v>812.66433156295534</v>
      </c>
      <c r="D9521" s="4"/>
      <c r="E9521" s="4"/>
    </row>
    <row r="9522" spans="1:5" x14ac:dyDescent="0.3">
      <c r="A9522" s="9">
        <v>9514</v>
      </c>
      <c r="B9522" s="10">
        <f t="shared" ca="1" si="148"/>
        <v>9.3780719643228511E-2</v>
      </c>
      <c r="C9522" s="10">
        <f ca="1">NPV(B9522,Project_FCF!C18:J18)+Project_FCF!B18</f>
        <v>828.46498891707779</v>
      </c>
      <c r="D9522" s="4"/>
      <c r="E9522" s="4"/>
    </row>
    <row r="9523" spans="1:5" x14ac:dyDescent="0.3">
      <c r="A9523" s="9">
        <v>9515</v>
      </c>
      <c r="B9523" s="10">
        <f t="shared" ca="1" si="148"/>
        <v>7.2419212792734167E-2</v>
      </c>
      <c r="C9523" s="10">
        <f ca="1">NPV(B9523,Project_FCF!C18:J18)+Project_FCF!B18</f>
        <v>1004.1077814811295</v>
      </c>
      <c r="D9523" s="4"/>
      <c r="E9523" s="4"/>
    </row>
    <row r="9524" spans="1:5" x14ac:dyDescent="0.3">
      <c r="A9524" s="9">
        <v>9516</v>
      </c>
      <c r="B9524" s="10">
        <f t="shared" ca="1" si="148"/>
        <v>8.3247642143307002E-2</v>
      </c>
      <c r="C9524" s="10">
        <f ca="1">NPV(B9524,Project_FCF!C18:J18)+Project_FCF!B18</f>
        <v>911.36400220751784</v>
      </c>
      <c r="D9524" s="4"/>
      <c r="E9524" s="4"/>
    </row>
    <row r="9525" spans="1:5" x14ac:dyDescent="0.3">
      <c r="A9525" s="9">
        <v>9517</v>
      </c>
      <c r="B9525" s="10">
        <f t="shared" ca="1" si="148"/>
        <v>0.10327833394309209</v>
      </c>
      <c r="C9525" s="10">
        <f ca="1">NPV(B9525,Project_FCF!C18:J18)+Project_FCF!B18</f>
        <v>759.35551909486458</v>
      </c>
      <c r="D9525" s="4"/>
      <c r="E9525" s="4"/>
    </row>
    <row r="9526" spans="1:5" x14ac:dyDescent="0.3">
      <c r="A9526" s="9">
        <v>9518</v>
      </c>
      <c r="B9526" s="10">
        <f t="shared" ca="1" si="148"/>
        <v>8.5404487077439029E-2</v>
      </c>
      <c r="C9526" s="10">
        <f ca="1">NPV(B9526,Project_FCF!C18:J18)+Project_FCF!B18</f>
        <v>893.82427110236472</v>
      </c>
      <c r="D9526" s="4"/>
      <c r="E9526" s="4"/>
    </row>
    <row r="9527" spans="1:5" x14ac:dyDescent="0.3">
      <c r="A9527" s="9">
        <v>9519</v>
      </c>
      <c r="B9527" s="10">
        <f t="shared" ca="1" si="148"/>
        <v>9.0261497385224446E-2</v>
      </c>
      <c r="C9527" s="10">
        <f ca="1">NPV(B9527,Project_FCF!C18:J18)+Project_FCF!B18</f>
        <v>855.40221629929283</v>
      </c>
      <c r="D9527" s="4"/>
      <c r="E9527" s="4"/>
    </row>
    <row r="9528" spans="1:5" x14ac:dyDescent="0.3">
      <c r="A9528" s="9">
        <v>9520</v>
      </c>
      <c r="B9528" s="10">
        <f t="shared" ca="1" si="148"/>
        <v>9.4518799454203023E-2</v>
      </c>
      <c r="C9528" s="10">
        <f ca="1">NPV(B9528,Project_FCF!C18:J18)+Project_FCF!B18</f>
        <v>822.90907055827938</v>
      </c>
      <c r="D9528" s="4"/>
      <c r="E9528" s="4"/>
    </row>
    <row r="9529" spans="1:5" x14ac:dyDescent="0.3">
      <c r="A9529" s="9">
        <v>9521</v>
      </c>
      <c r="B9529" s="10">
        <f t="shared" ca="1" si="148"/>
        <v>6.4392711610507691E-2</v>
      </c>
      <c r="C9529" s="10">
        <f ca="1">NPV(B9529,Project_FCF!C18:J18)+Project_FCF!B18</f>
        <v>1078.2287050573741</v>
      </c>
      <c r="D9529" s="4"/>
      <c r="E9529" s="4"/>
    </row>
    <row r="9530" spans="1:5" x14ac:dyDescent="0.3">
      <c r="A9530" s="9">
        <v>9522</v>
      </c>
      <c r="B9530" s="10">
        <f t="shared" ca="1" si="148"/>
        <v>6.4484003260167844E-2</v>
      </c>
      <c r="C9530" s="10">
        <f ca="1">NPV(B9530,Project_FCF!C18:J18)+Project_FCF!B18</f>
        <v>1077.3584443590287</v>
      </c>
      <c r="D9530" s="4"/>
      <c r="E9530" s="4"/>
    </row>
    <row r="9531" spans="1:5" x14ac:dyDescent="0.3">
      <c r="A9531" s="9">
        <v>9523</v>
      </c>
      <c r="B9531" s="10">
        <f t="shared" ca="1" si="148"/>
        <v>7.9571390455015545E-2</v>
      </c>
      <c r="C9531" s="10">
        <f ca="1">NPV(B9531,Project_FCF!C18:J18)+Project_FCF!B18</f>
        <v>941.95892111079547</v>
      </c>
      <c r="D9531" s="4"/>
      <c r="E9531" s="4"/>
    </row>
    <row r="9532" spans="1:5" x14ac:dyDescent="0.3">
      <c r="A9532" s="9">
        <v>9524</v>
      </c>
      <c r="B9532" s="10">
        <f t="shared" ca="1" si="148"/>
        <v>9.3192018118448655E-2</v>
      </c>
      <c r="C9532" s="10">
        <f ca="1">NPV(B9532,Project_FCF!C18:J18)+Project_FCF!B18</f>
        <v>832.91951569015555</v>
      </c>
      <c r="D9532" s="4"/>
      <c r="E9532" s="4"/>
    </row>
    <row r="9533" spans="1:5" x14ac:dyDescent="0.3">
      <c r="A9533" s="9">
        <v>9525</v>
      </c>
      <c r="B9533" s="10">
        <f t="shared" ca="1" si="148"/>
        <v>9.9873450682336828E-2</v>
      </c>
      <c r="C9533" s="10">
        <f ca="1">NPV(B9533,Project_FCF!C18:J18)+Project_FCF!B18</f>
        <v>783.54604634531688</v>
      </c>
      <c r="D9533" s="4"/>
      <c r="E9533" s="4"/>
    </row>
    <row r="9534" spans="1:5" x14ac:dyDescent="0.3">
      <c r="A9534" s="9">
        <v>9526</v>
      </c>
      <c r="B9534" s="10">
        <f t="shared" ca="1" si="148"/>
        <v>7.3060208493084422E-2</v>
      </c>
      <c r="C9534" s="10">
        <f ca="1">NPV(B9534,Project_FCF!C18:J18)+Project_FCF!B18</f>
        <v>998.39191590183918</v>
      </c>
      <c r="D9534" s="4"/>
      <c r="E9534" s="4"/>
    </row>
    <row r="9535" spans="1:5" x14ac:dyDescent="0.3">
      <c r="A9535" s="9">
        <v>9527</v>
      </c>
      <c r="B9535" s="10">
        <f t="shared" ca="1" si="148"/>
        <v>7.8699104855560073E-2</v>
      </c>
      <c r="C9535" s="10">
        <f ca="1">NPV(B9535,Project_FCF!C18:J18)+Project_FCF!B18</f>
        <v>949.3503507850271</v>
      </c>
      <c r="D9535" s="4"/>
      <c r="E9535" s="4"/>
    </row>
    <row r="9536" spans="1:5" x14ac:dyDescent="0.3">
      <c r="A9536" s="9">
        <v>9528</v>
      </c>
      <c r="B9536" s="10">
        <f t="shared" ca="1" si="148"/>
        <v>7.5286112960360196E-2</v>
      </c>
      <c r="C9536" s="10">
        <f ca="1">NPV(B9536,Project_FCF!C18:J18)+Project_FCF!B18</f>
        <v>978.76917375113999</v>
      </c>
      <c r="D9536" s="4"/>
      <c r="E9536" s="4"/>
    </row>
    <row r="9537" spans="1:5" x14ac:dyDescent="0.3">
      <c r="A9537" s="9">
        <v>9529</v>
      </c>
      <c r="B9537" s="10">
        <f t="shared" ca="1" si="148"/>
        <v>8.0012700103517048E-2</v>
      </c>
      <c r="C9537" s="10">
        <f ca="1">NPV(B9537,Project_FCF!C18:J18)+Project_FCF!B18</f>
        <v>938.23889783038999</v>
      </c>
      <c r="D9537" s="4"/>
      <c r="E9537" s="4"/>
    </row>
    <row r="9538" spans="1:5" x14ac:dyDescent="0.3">
      <c r="A9538" s="9">
        <v>9530</v>
      </c>
      <c r="B9538" s="10">
        <f t="shared" ca="1" si="148"/>
        <v>8.5880760039222376E-2</v>
      </c>
      <c r="C9538" s="10">
        <f ca="1">NPV(B9538,Project_FCF!C18:J18)+Project_FCF!B18</f>
        <v>889.99128139249046</v>
      </c>
      <c r="D9538" s="4"/>
      <c r="E9538" s="4"/>
    </row>
    <row r="9539" spans="1:5" x14ac:dyDescent="0.3">
      <c r="A9539" s="9">
        <v>9531</v>
      </c>
      <c r="B9539" s="10">
        <f t="shared" ca="1" si="148"/>
        <v>0.10346702101529344</v>
      </c>
      <c r="C9539" s="10">
        <f ca="1">NPV(B9539,Project_FCF!C18:J18)+Project_FCF!B18</f>
        <v>758.03354636615109</v>
      </c>
      <c r="D9539" s="4"/>
      <c r="E9539" s="4"/>
    </row>
    <row r="9540" spans="1:5" x14ac:dyDescent="0.3">
      <c r="A9540" s="9">
        <v>9532</v>
      </c>
      <c r="B9540" s="10">
        <f t="shared" ca="1" si="148"/>
        <v>9.4683643026672579E-2</v>
      </c>
      <c r="C9540" s="10">
        <f ca="1">NPV(B9540,Project_FCF!C18:J18)+Project_FCF!B18</f>
        <v>821.67258001112464</v>
      </c>
      <c r="D9540" s="4"/>
      <c r="E9540" s="4"/>
    </row>
    <row r="9541" spans="1:5" x14ac:dyDescent="0.3">
      <c r="A9541" s="9">
        <v>9533</v>
      </c>
      <c r="B9541" s="10">
        <f t="shared" ca="1" si="148"/>
        <v>7.4493761065989761E-2</v>
      </c>
      <c r="C9541" s="10">
        <f ca="1">NPV(B9541,Project_FCF!C18:J18)+Project_FCF!B18</f>
        <v>985.71427353342165</v>
      </c>
      <c r="D9541" s="4"/>
      <c r="E9541" s="4"/>
    </row>
    <row r="9542" spans="1:5" x14ac:dyDescent="0.3">
      <c r="A9542" s="9">
        <v>9534</v>
      </c>
      <c r="B9542" s="10">
        <f t="shared" ca="1" si="148"/>
        <v>7.8284237724154937E-2</v>
      </c>
      <c r="C9542" s="10">
        <f ca="1">NPV(B9542,Project_FCF!C18:J18)+Project_FCF!B18</f>
        <v>952.88381524034889</v>
      </c>
      <c r="D9542" s="4"/>
      <c r="E9542" s="4"/>
    </row>
    <row r="9543" spans="1:5" x14ac:dyDescent="0.3">
      <c r="A9543" s="9">
        <v>9535</v>
      </c>
      <c r="B9543" s="10">
        <f t="shared" ca="1" si="148"/>
        <v>6.6361499081562483E-2</v>
      </c>
      <c r="C9543" s="10">
        <f ca="1">NPV(B9543,Project_FCF!C18:J18)+Project_FCF!B18</f>
        <v>1059.602233145187</v>
      </c>
      <c r="D9543" s="4"/>
      <c r="E9543" s="4"/>
    </row>
    <row r="9544" spans="1:5" x14ac:dyDescent="0.3">
      <c r="A9544" s="9">
        <v>9536</v>
      </c>
      <c r="B9544" s="10">
        <f t="shared" ca="1" si="148"/>
        <v>9.1528081059269947E-2</v>
      </c>
      <c r="C9544" s="10">
        <f ca="1">NPV(B9544,Project_FCF!C18:J18)+Project_FCF!B18</f>
        <v>845.62166456859427</v>
      </c>
      <c r="D9544" s="4"/>
      <c r="E9544" s="4"/>
    </row>
    <row r="9545" spans="1:5" x14ac:dyDescent="0.3">
      <c r="A9545" s="9">
        <v>9537</v>
      </c>
      <c r="B9545" s="10">
        <f t="shared" ref="B9545:B9608" ca="1" si="149">$B$4+RAND()*($B$5-$B$4)</f>
        <v>7.5497687422969195E-2</v>
      </c>
      <c r="C9545" s="10">
        <f ca="1">NPV(B9545,Project_FCF!C18:J18)+Project_FCF!B18</f>
        <v>976.92210826282212</v>
      </c>
      <c r="D9545" s="4"/>
      <c r="E9545" s="4"/>
    </row>
    <row r="9546" spans="1:5" x14ac:dyDescent="0.3">
      <c r="A9546" s="9">
        <v>9538</v>
      </c>
      <c r="B9546" s="10">
        <f t="shared" ca="1" si="149"/>
        <v>8.5844400673473806E-2</v>
      </c>
      <c r="C9546" s="10">
        <f ca="1">NPV(B9546,Project_FCF!C18:J18)+Project_FCF!B18</f>
        <v>890.2833896141874</v>
      </c>
      <c r="D9546" s="4"/>
      <c r="E9546" s="4"/>
    </row>
    <row r="9547" spans="1:5" x14ac:dyDescent="0.3">
      <c r="A9547" s="9">
        <v>9539</v>
      </c>
      <c r="B9547" s="10">
        <f t="shared" ca="1" si="149"/>
        <v>6.8784243545939594E-2</v>
      </c>
      <c r="C9547" s="10">
        <f ca="1">NPV(B9547,Project_FCF!C18:J18)+Project_FCF!B18</f>
        <v>1037.0828897848969</v>
      </c>
      <c r="D9547" s="4"/>
      <c r="E9547" s="4"/>
    </row>
    <row r="9548" spans="1:5" x14ac:dyDescent="0.3">
      <c r="A9548" s="9">
        <v>9540</v>
      </c>
      <c r="B9548" s="10">
        <f t="shared" ca="1" si="149"/>
        <v>7.6994155120135341E-2</v>
      </c>
      <c r="C9548" s="10">
        <f ca="1">NPV(B9548,Project_FCF!C18:J18)+Project_FCF!B18</f>
        <v>963.94642905605133</v>
      </c>
      <c r="D9548" s="4"/>
      <c r="E9548" s="4"/>
    </row>
    <row r="9549" spans="1:5" x14ac:dyDescent="0.3">
      <c r="A9549" s="9">
        <v>9541</v>
      </c>
      <c r="B9549" s="10">
        <f t="shared" ca="1" si="149"/>
        <v>8.1950370384490018E-2</v>
      </c>
      <c r="C9549" s="10">
        <f ca="1">NPV(B9549,Project_FCF!C18:J18)+Project_FCF!B18</f>
        <v>922.05863346520437</v>
      </c>
      <c r="D9549" s="4"/>
      <c r="E9549" s="4"/>
    </row>
    <row r="9550" spans="1:5" x14ac:dyDescent="0.3">
      <c r="A9550" s="9">
        <v>9542</v>
      </c>
      <c r="B9550" s="10">
        <f t="shared" ca="1" si="149"/>
        <v>0.10162646065506642</v>
      </c>
      <c r="C9550" s="10">
        <f ca="1">NPV(B9550,Project_FCF!C18:J18)+Project_FCF!B18</f>
        <v>771.01171498426697</v>
      </c>
      <c r="D9550" s="4"/>
      <c r="E9550" s="4"/>
    </row>
    <row r="9551" spans="1:5" x14ac:dyDescent="0.3">
      <c r="A9551" s="9">
        <v>9543</v>
      </c>
      <c r="B9551" s="10">
        <f t="shared" ca="1" si="149"/>
        <v>7.4908761928835513E-2</v>
      </c>
      <c r="C9551" s="10">
        <f ca="1">NPV(B9551,Project_FCF!C18:J18)+Project_FCF!B18</f>
        <v>982.07123908997232</v>
      </c>
      <c r="D9551" s="4"/>
      <c r="E9551" s="4"/>
    </row>
    <row r="9552" spans="1:5" x14ac:dyDescent="0.3">
      <c r="A9552" s="9">
        <v>9544</v>
      </c>
      <c r="B9552" s="10">
        <f t="shared" ca="1" si="149"/>
        <v>7.754262835015488E-2</v>
      </c>
      <c r="C9552" s="10">
        <f ca="1">NPV(B9552,Project_FCF!C18:J18)+Project_FCF!B18</f>
        <v>959.22931438340129</v>
      </c>
      <c r="D9552" s="4"/>
      <c r="E9552" s="4"/>
    </row>
    <row r="9553" spans="1:5" x14ac:dyDescent="0.3">
      <c r="A9553" s="9">
        <v>9545</v>
      </c>
      <c r="B9553" s="10">
        <f t="shared" ca="1" si="149"/>
        <v>7.6302116905586484E-2</v>
      </c>
      <c r="C9553" s="10">
        <f ca="1">NPV(B9553,Project_FCF!C18:J18)+Project_FCF!B18</f>
        <v>969.92775976656185</v>
      </c>
      <c r="D9553" s="4"/>
      <c r="E9553" s="4"/>
    </row>
    <row r="9554" spans="1:5" x14ac:dyDescent="0.3">
      <c r="A9554" s="9">
        <v>9546</v>
      </c>
      <c r="B9554" s="10">
        <f t="shared" ca="1" si="149"/>
        <v>0.10131627465007745</v>
      </c>
      <c r="C9554" s="10">
        <f ca="1">NPV(B9554,Project_FCF!C18:J18)+Project_FCF!B18</f>
        <v>773.21719566203046</v>
      </c>
      <c r="D9554" s="4"/>
      <c r="E9554" s="4"/>
    </row>
    <row r="9555" spans="1:5" x14ac:dyDescent="0.3">
      <c r="A9555" s="9">
        <v>9547</v>
      </c>
      <c r="B9555" s="10">
        <f t="shared" ca="1" si="149"/>
        <v>9.6757487339521109E-2</v>
      </c>
      <c r="C9555" s="10">
        <f ca="1">NPV(B9555,Project_FCF!C18:J18)+Project_FCF!B18</f>
        <v>806.2519395862505</v>
      </c>
      <c r="D9555" s="4"/>
      <c r="E9555" s="4"/>
    </row>
    <row r="9556" spans="1:5" x14ac:dyDescent="0.3">
      <c r="A9556" s="9">
        <v>9548</v>
      </c>
      <c r="B9556" s="10">
        <f t="shared" ca="1" si="149"/>
        <v>0.1021916920637428</v>
      </c>
      <c r="C9556" s="10">
        <f ca="1">NPV(B9556,Project_FCF!C18:J18)+Project_FCF!B18</f>
        <v>767.00643445244191</v>
      </c>
      <c r="D9556" s="4"/>
      <c r="E9556" s="4"/>
    </row>
    <row r="9557" spans="1:5" x14ac:dyDescent="0.3">
      <c r="A9557" s="9">
        <v>9549</v>
      </c>
      <c r="B9557" s="10">
        <f t="shared" ca="1" si="149"/>
        <v>8.4981738253147129E-2</v>
      </c>
      <c r="C9557" s="10">
        <f ca="1">NPV(B9557,Project_FCF!C18:J18)+Project_FCF!B18</f>
        <v>897.23860067950022</v>
      </c>
      <c r="D9557" s="4"/>
      <c r="E9557" s="4"/>
    </row>
    <row r="9558" spans="1:5" x14ac:dyDescent="0.3">
      <c r="A9558" s="9">
        <v>9550</v>
      </c>
      <c r="B9558" s="10">
        <f t="shared" ca="1" si="149"/>
        <v>9.6101927425540287E-2</v>
      </c>
      <c r="C9558" s="10">
        <f ca="1">NPV(B9558,Project_FCF!C18:J18)+Project_FCF!B18</f>
        <v>811.09957639863842</v>
      </c>
      <c r="D9558" s="4"/>
      <c r="E9558" s="4"/>
    </row>
    <row r="9559" spans="1:5" x14ac:dyDescent="0.3">
      <c r="A9559" s="9">
        <v>9551</v>
      </c>
      <c r="B9559" s="10">
        <f t="shared" ca="1" si="149"/>
        <v>7.9325474218002942E-2</v>
      </c>
      <c r="C9559" s="10">
        <f ca="1">NPV(B9559,Project_FCF!C18:J18)+Project_FCF!B18</f>
        <v>944.03754042639775</v>
      </c>
      <c r="D9559" s="4"/>
      <c r="E9559" s="4"/>
    </row>
    <row r="9560" spans="1:5" x14ac:dyDescent="0.3">
      <c r="A9560" s="9">
        <v>9552</v>
      </c>
      <c r="B9560" s="10">
        <f t="shared" ca="1" si="149"/>
        <v>7.9992803227472611E-2</v>
      </c>
      <c r="C9560" s="10">
        <f ca="1">NPV(B9560,Project_FCF!C18:J18)+Project_FCF!B18</f>
        <v>938.40633814029775</v>
      </c>
      <c r="D9560" s="4"/>
      <c r="E9560" s="4"/>
    </row>
    <row r="9561" spans="1:5" x14ac:dyDescent="0.3">
      <c r="A9561" s="9">
        <v>9553</v>
      </c>
      <c r="B9561" s="10">
        <f t="shared" ca="1" si="149"/>
        <v>7.7893785625520351E-2</v>
      </c>
      <c r="C9561" s="10">
        <f ca="1">NPV(B9561,Project_FCF!C18:J18)+Project_FCF!B18</f>
        <v>956.22000611888848</v>
      </c>
      <c r="D9561" s="4"/>
      <c r="E9561" s="4"/>
    </row>
    <row r="9562" spans="1:5" x14ac:dyDescent="0.3">
      <c r="A9562" s="9">
        <v>9554</v>
      </c>
      <c r="B9562" s="10">
        <f t="shared" ca="1" si="149"/>
        <v>6.4871231860223408E-2</v>
      </c>
      <c r="C9562" s="10">
        <f ca="1">NPV(B9562,Project_FCF!C18:J18)+Project_FCF!B18</f>
        <v>1073.6742151346145</v>
      </c>
      <c r="D9562" s="4"/>
      <c r="E9562" s="4"/>
    </row>
    <row r="9563" spans="1:5" x14ac:dyDescent="0.3">
      <c r="A9563" s="9">
        <v>9555</v>
      </c>
      <c r="B9563" s="10">
        <f t="shared" ca="1" si="149"/>
        <v>8.3121492954051177E-2</v>
      </c>
      <c r="C9563" s="10">
        <f ca="1">NPV(B9563,Project_FCF!C18:J18)+Project_FCF!B18</f>
        <v>912.39915334431339</v>
      </c>
      <c r="D9563" s="4"/>
      <c r="E9563" s="4"/>
    </row>
    <row r="9564" spans="1:5" x14ac:dyDescent="0.3">
      <c r="A9564" s="9">
        <v>9556</v>
      </c>
      <c r="B9564" s="10">
        <f t="shared" ca="1" si="149"/>
        <v>8.352216450360464E-2</v>
      </c>
      <c r="C9564" s="10">
        <f ca="1">NPV(B9564,Project_FCF!C18:J18)+Project_FCF!B18</f>
        <v>909.11490328203263</v>
      </c>
      <c r="D9564" s="4"/>
      <c r="E9564" s="4"/>
    </row>
    <row r="9565" spans="1:5" x14ac:dyDescent="0.3">
      <c r="A9565" s="9">
        <v>9557</v>
      </c>
      <c r="B9565" s="10">
        <f t="shared" ca="1" si="149"/>
        <v>8.5061175480969198E-2</v>
      </c>
      <c r="C9565" s="10">
        <f ca="1">NPV(B9565,Project_FCF!C18:J18)+Project_FCF!B18</f>
        <v>896.59615606276338</v>
      </c>
      <c r="D9565" s="4"/>
      <c r="E9565" s="4"/>
    </row>
    <row r="9566" spans="1:5" x14ac:dyDescent="0.3">
      <c r="A9566" s="9">
        <v>9558</v>
      </c>
      <c r="B9566" s="10">
        <f t="shared" ca="1" si="149"/>
        <v>8.4775290028589287E-2</v>
      </c>
      <c r="C9566" s="10">
        <f ca="1">NPV(B9566,Project_FCF!C18:J18)+Project_FCF!B18</f>
        <v>898.91012696840585</v>
      </c>
      <c r="D9566" s="4"/>
      <c r="E9566" s="4"/>
    </row>
    <row r="9567" spans="1:5" x14ac:dyDescent="0.3">
      <c r="A9567" s="9">
        <v>9559</v>
      </c>
      <c r="B9567" s="10">
        <f t="shared" ca="1" si="149"/>
        <v>6.8858430935904297E-2</v>
      </c>
      <c r="C9567" s="10">
        <f ca="1">NPV(B9567,Project_FCF!C18:J18)+Project_FCF!B18</f>
        <v>1036.4002236540462</v>
      </c>
      <c r="D9567" s="4"/>
      <c r="E9567" s="4"/>
    </row>
    <row r="9568" spans="1:5" x14ac:dyDescent="0.3">
      <c r="A9568" s="9">
        <v>9560</v>
      </c>
      <c r="B9568" s="10">
        <f t="shared" ca="1" si="149"/>
        <v>6.7395791737836705E-2</v>
      </c>
      <c r="C9568" s="10">
        <f ca="1">NPV(B9568,Project_FCF!C18:J18)+Project_FCF!B18</f>
        <v>1049.9347525975563</v>
      </c>
      <c r="D9568" s="4"/>
      <c r="E9568" s="4"/>
    </row>
    <row r="9569" spans="1:5" x14ac:dyDescent="0.3">
      <c r="A9569" s="9">
        <v>9561</v>
      </c>
      <c r="B9569" s="10">
        <f t="shared" ca="1" si="149"/>
        <v>9.8689446867560052E-2</v>
      </c>
      <c r="C9569" s="10">
        <f ca="1">NPV(B9569,Project_FCF!C18:J18)+Project_FCF!B18</f>
        <v>792.10901413440911</v>
      </c>
      <c r="D9569" s="4"/>
      <c r="E9569" s="4"/>
    </row>
    <row r="9570" spans="1:5" x14ac:dyDescent="0.3">
      <c r="A9570" s="9">
        <v>9562</v>
      </c>
      <c r="B9570" s="10">
        <f t="shared" ca="1" si="149"/>
        <v>7.9792192353213748E-2</v>
      </c>
      <c r="C9570" s="10">
        <f ca="1">NPV(B9570,Project_FCF!C18:J18)+Project_FCF!B18</f>
        <v>940.09603952819953</v>
      </c>
      <c r="D9570" s="4"/>
      <c r="E9570" s="4"/>
    </row>
    <row r="9571" spans="1:5" x14ac:dyDescent="0.3">
      <c r="A9571" s="9">
        <v>9563</v>
      </c>
      <c r="B9571" s="10">
        <f t="shared" ca="1" si="149"/>
        <v>9.5660984946117911E-2</v>
      </c>
      <c r="C9571" s="10">
        <f ca="1">NPV(B9571,Project_FCF!C18:J18)+Project_FCF!B18</f>
        <v>814.37417086532901</v>
      </c>
      <c r="D9571" s="4"/>
      <c r="E9571" s="4"/>
    </row>
    <row r="9572" spans="1:5" x14ac:dyDescent="0.3">
      <c r="A9572" s="9">
        <v>9564</v>
      </c>
      <c r="B9572" s="10">
        <f t="shared" ca="1" si="149"/>
        <v>6.8318720478218589E-2</v>
      </c>
      <c r="C9572" s="10">
        <f ca="1">NPV(B9572,Project_FCF!C18:J18)+Project_FCF!B18</f>
        <v>1041.3759017536299</v>
      </c>
      <c r="D9572" s="4"/>
      <c r="E9572" s="4"/>
    </row>
    <row r="9573" spans="1:5" x14ac:dyDescent="0.3">
      <c r="A9573" s="9">
        <v>9565</v>
      </c>
      <c r="B9573" s="10">
        <f t="shared" ca="1" si="149"/>
        <v>7.8055305725611646E-2</v>
      </c>
      <c r="C9573" s="10">
        <f ca="1">NPV(B9573,Project_FCF!C18:J18)+Project_FCF!B18</f>
        <v>954.83865142771424</v>
      </c>
      <c r="D9573" s="4"/>
      <c r="E9573" s="4"/>
    </row>
    <row r="9574" spans="1:5" x14ac:dyDescent="0.3">
      <c r="A9574" s="9">
        <v>9566</v>
      </c>
      <c r="B9574" s="10">
        <f t="shared" ca="1" si="149"/>
        <v>8.6977498858092112E-2</v>
      </c>
      <c r="C9574" s="10">
        <f ca="1">NPV(B9574,Project_FCF!C18:J18)+Project_FCF!B18</f>
        <v>881.21943371728776</v>
      </c>
      <c r="D9574" s="4"/>
      <c r="E9574" s="4"/>
    </row>
    <row r="9575" spans="1:5" x14ac:dyDescent="0.3">
      <c r="A9575" s="9">
        <v>9567</v>
      </c>
      <c r="B9575" s="10">
        <f t="shared" ca="1" si="149"/>
        <v>9.3974007995575343E-2</v>
      </c>
      <c r="C9575" s="10">
        <f ca="1">NPV(B9575,Project_FCF!C18:J18)+Project_FCF!B18</f>
        <v>827.00690355345478</v>
      </c>
      <c r="D9575" s="4"/>
      <c r="E9575" s="4"/>
    </row>
    <row r="9576" spans="1:5" x14ac:dyDescent="0.3">
      <c r="A9576" s="9">
        <v>9568</v>
      </c>
      <c r="B9576" s="10">
        <f t="shared" ca="1" si="149"/>
        <v>7.8133811352541063E-2</v>
      </c>
      <c r="C9576" s="10">
        <f ca="1">NPV(B9576,Project_FCF!C18:J18)+Project_FCF!B18</f>
        <v>954.1678954489264</v>
      </c>
      <c r="D9576" s="4"/>
      <c r="E9576" s="4"/>
    </row>
    <row r="9577" spans="1:5" x14ac:dyDescent="0.3">
      <c r="A9577" s="9">
        <v>9569</v>
      </c>
      <c r="B9577" s="10">
        <f t="shared" ca="1" si="149"/>
        <v>0.10086603649697438</v>
      </c>
      <c r="C9577" s="10">
        <f ca="1">NPV(B9577,Project_FCF!C18:J18)+Project_FCF!B18</f>
        <v>776.42793478955582</v>
      </c>
      <c r="D9577" s="4"/>
      <c r="E9577" s="4"/>
    </row>
    <row r="9578" spans="1:5" x14ac:dyDescent="0.3">
      <c r="A9578" s="9">
        <v>9570</v>
      </c>
      <c r="B9578" s="10">
        <f t="shared" ca="1" si="149"/>
        <v>6.6192300394197018E-2</v>
      </c>
      <c r="C9578" s="10">
        <f ca="1">NPV(B9578,Project_FCF!C18:J18)+Project_FCF!B18</f>
        <v>1061.1914078406435</v>
      </c>
      <c r="D9578" s="4"/>
      <c r="E9578" s="4"/>
    </row>
    <row r="9579" spans="1:5" x14ac:dyDescent="0.3">
      <c r="A9579" s="9">
        <v>9571</v>
      </c>
      <c r="B9579" s="10">
        <f t="shared" ca="1" si="149"/>
        <v>0.10012782704467496</v>
      </c>
      <c r="C9579" s="10">
        <f ca="1">NPV(B9579,Project_FCF!C18:J18)+Project_FCF!B18</f>
        <v>781.71660746391444</v>
      </c>
      <c r="D9579" s="4"/>
      <c r="E9579" s="4"/>
    </row>
    <row r="9580" spans="1:5" x14ac:dyDescent="0.3">
      <c r="A9580" s="9">
        <v>9572</v>
      </c>
      <c r="B9580" s="10">
        <f t="shared" ca="1" si="149"/>
        <v>9.2853426547943291E-2</v>
      </c>
      <c r="C9580" s="10">
        <f ca="1">NPV(B9580,Project_FCF!C18:J18)+Project_FCF!B18</f>
        <v>835.49085060323841</v>
      </c>
      <c r="D9580" s="4"/>
      <c r="E9580" s="4"/>
    </row>
    <row r="9581" spans="1:5" x14ac:dyDescent="0.3">
      <c r="A9581" s="9">
        <v>9573</v>
      </c>
      <c r="B9581" s="10">
        <f t="shared" ca="1" si="149"/>
        <v>8.7548381522396579E-2</v>
      </c>
      <c r="C9581" s="10">
        <f ca="1">NPV(B9581,Project_FCF!C18:J18)+Project_FCF!B18</f>
        <v>876.68337256701079</v>
      </c>
      <c r="D9581" s="4"/>
      <c r="E9581" s="4"/>
    </row>
    <row r="9582" spans="1:5" x14ac:dyDescent="0.3">
      <c r="A9582" s="9">
        <v>9574</v>
      </c>
      <c r="B9582" s="10">
        <f t="shared" ca="1" si="149"/>
        <v>8.4728895388073336E-2</v>
      </c>
      <c r="C9582" s="10">
        <f ca="1">NPV(B9582,Project_FCF!C18:J18)+Project_FCF!B18</f>
        <v>899.28614061089775</v>
      </c>
      <c r="D9582" s="4"/>
      <c r="E9582" s="4"/>
    </row>
    <row r="9583" spans="1:5" x14ac:dyDescent="0.3">
      <c r="A9583" s="9">
        <v>9575</v>
      </c>
      <c r="B9583" s="10">
        <f t="shared" ca="1" si="149"/>
        <v>7.1228593248270342E-2</v>
      </c>
      <c r="C9583" s="10">
        <f ca="1">NPV(B9583,Project_FCF!C18:J18)+Project_FCF!B18</f>
        <v>1014.8029281257966</v>
      </c>
      <c r="D9583" s="4"/>
      <c r="E9583" s="4"/>
    </row>
    <row r="9584" spans="1:5" x14ac:dyDescent="0.3">
      <c r="A9584" s="9">
        <v>9576</v>
      </c>
      <c r="B9584" s="10">
        <f t="shared" ca="1" si="149"/>
        <v>8.72783092623588E-2</v>
      </c>
      <c r="C9584" s="10">
        <f ca="1">NPV(B9584,Project_FCF!C18:J18)+Project_FCF!B18</f>
        <v>878.82674202134285</v>
      </c>
      <c r="D9584" s="4"/>
      <c r="E9584" s="4"/>
    </row>
    <row r="9585" spans="1:5" x14ac:dyDescent="0.3">
      <c r="A9585" s="9">
        <v>9577</v>
      </c>
      <c r="B9585" s="10">
        <f t="shared" ca="1" si="149"/>
        <v>8.181017694389682E-2</v>
      </c>
      <c r="C9585" s="10">
        <f ca="1">NPV(B9585,Project_FCF!C18:J18)+Project_FCF!B18</f>
        <v>923.22097417451027</v>
      </c>
      <c r="D9585" s="4"/>
      <c r="E9585" s="4"/>
    </row>
    <row r="9586" spans="1:5" x14ac:dyDescent="0.3">
      <c r="A9586" s="9">
        <v>9578</v>
      </c>
      <c r="B9586" s="10">
        <f t="shared" ca="1" si="149"/>
        <v>7.9325380032963799E-2</v>
      </c>
      <c r="C9586" s="10">
        <f ca="1">NPV(B9586,Project_FCF!C18:J18)+Project_FCF!B18</f>
        <v>944.03833730865176</v>
      </c>
      <c r="D9586" s="4"/>
      <c r="E9586" s="4"/>
    </row>
    <row r="9587" spans="1:5" x14ac:dyDescent="0.3">
      <c r="A9587" s="9">
        <v>9579</v>
      </c>
      <c r="B9587" s="10">
        <f t="shared" ca="1" si="149"/>
        <v>9.7325483748385122E-2</v>
      </c>
      <c r="C9587" s="10">
        <f ca="1">NPV(B9587,Project_FCF!C18:J18)+Project_FCF!B18</f>
        <v>802.0717985510978</v>
      </c>
      <c r="D9587" s="4"/>
      <c r="E9587" s="4"/>
    </row>
    <row r="9588" spans="1:5" x14ac:dyDescent="0.3">
      <c r="A9588" s="9">
        <v>9580</v>
      </c>
      <c r="B9588" s="10">
        <f t="shared" ca="1" si="149"/>
        <v>7.6609443045521752E-2</v>
      </c>
      <c r="C9588" s="10">
        <f ca="1">NPV(B9588,Project_FCF!C18:J18)+Project_FCF!B18</f>
        <v>967.26744690244686</v>
      </c>
      <c r="D9588" s="4"/>
      <c r="E9588" s="4"/>
    </row>
    <row r="9589" spans="1:5" x14ac:dyDescent="0.3">
      <c r="A9589" s="9">
        <v>9581</v>
      </c>
      <c r="B9589" s="10">
        <f t="shared" ca="1" si="149"/>
        <v>9.1352693017456146E-2</v>
      </c>
      <c r="C9589" s="10">
        <f ca="1">NPV(B9589,Project_FCF!C18:J18)+Project_FCF!B18</f>
        <v>846.97021824258854</v>
      </c>
      <c r="D9589" s="4"/>
      <c r="E9589" s="4"/>
    </row>
    <row r="9590" spans="1:5" x14ac:dyDescent="0.3">
      <c r="A9590" s="9">
        <v>9582</v>
      </c>
      <c r="B9590" s="10">
        <f t="shared" ca="1" si="149"/>
        <v>9.232454647623034E-2</v>
      </c>
      <c r="C9590" s="10">
        <f ca="1">NPV(B9590,Project_FCF!C18:J18)+Project_FCF!B18</f>
        <v>839.52094596178631</v>
      </c>
      <c r="D9590" s="4"/>
      <c r="E9590" s="4"/>
    </row>
    <row r="9591" spans="1:5" x14ac:dyDescent="0.3">
      <c r="A9591" s="9">
        <v>9583</v>
      </c>
      <c r="B9591" s="10">
        <f t="shared" ca="1" si="149"/>
        <v>8.6257837429510348E-2</v>
      </c>
      <c r="C9591" s="10">
        <f ca="1">NPV(B9591,Project_FCF!C18:J18)+Project_FCF!B18</f>
        <v>886.96680818033406</v>
      </c>
      <c r="D9591" s="4"/>
      <c r="E9591" s="4"/>
    </row>
    <row r="9592" spans="1:5" x14ac:dyDescent="0.3">
      <c r="A9592" s="9">
        <v>9584</v>
      </c>
      <c r="B9592" s="10">
        <f t="shared" ca="1" si="149"/>
        <v>8.5158011208848916E-2</v>
      </c>
      <c r="C9592" s="10">
        <f ca="1">NPV(B9592,Project_FCF!C18:J18)+Project_FCF!B18</f>
        <v>895.8135469414965</v>
      </c>
      <c r="D9592" s="4"/>
      <c r="E9592" s="4"/>
    </row>
    <row r="9593" spans="1:5" x14ac:dyDescent="0.3">
      <c r="A9593" s="9">
        <v>9585</v>
      </c>
      <c r="B9593" s="10">
        <f t="shared" ca="1" si="149"/>
        <v>8.0239449909656188E-2</v>
      </c>
      <c r="C9593" s="10">
        <f ca="1">NPV(B9593,Project_FCF!C18:J18)+Project_FCF!B18</f>
        <v>936.33257357595289</v>
      </c>
      <c r="D9593" s="4"/>
      <c r="E9593" s="4"/>
    </row>
    <row r="9594" spans="1:5" x14ac:dyDescent="0.3">
      <c r="A9594" s="9">
        <v>9586</v>
      </c>
      <c r="B9594" s="10">
        <f t="shared" ca="1" si="149"/>
        <v>9.6053428369137273E-2</v>
      </c>
      <c r="C9594" s="10">
        <f ca="1">NPV(B9594,Project_FCF!C18:J18)+Project_FCF!B18</f>
        <v>811.45919607740461</v>
      </c>
      <c r="D9594" s="4"/>
      <c r="E9594" s="4"/>
    </row>
    <row r="9595" spans="1:5" x14ac:dyDescent="0.3">
      <c r="A9595" s="9">
        <v>9587</v>
      </c>
      <c r="B9595" s="10">
        <f t="shared" ca="1" si="149"/>
        <v>9.8882221321519914E-2</v>
      </c>
      <c r="C9595" s="10">
        <f ca="1">NPV(B9595,Project_FCF!C18:J18)+Project_FCF!B18</f>
        <v>790.7094475630804</v>
      </c>
      <c r="D9595" s="4"/>
      <c r="E9595" s="4"/>
    </row>
    <row r="9596" spans="1:5" x14ac:dyDescent="0.3">
      <c r="A9596" s="9">
        <v>9588</v>
      </c>
      <c r="B9596" s="10">
        <f t="shared" ca="1" si="149"/>
        <v>8.9233026941283836E-2</v>
      </c>
      <c r="C9596" s="10">
        <f ca="1">NPV(B9596,Project_FCF!C18:J18)+Project_FCF!B18</f>
        <v>863.41594384539212</v>
      </c>
      <c r="D9596" s="4"/>
      <c r="E9596" s="4"/>
    </row>
    <row r="9597" spans="1:5" x14ac:dyDescent="0.3">
      <c r="A9597" s="9">
        <v>9589</v>
      </c>
      <c r="B9597" s="10">
        <f t="shared" ca="1" si="149"/>
        <v>8.0878894809382873E-2</v>
      </c>
      <c r="C9597" s="10">
        <f ca="1">NPV(B9597,Project_FCF!C18:J18)+Project_FCF!B18</f>
        <v>930.97509873373497</v>
      </c>
      <c r="D9597" s="4"/>
      <c r="E9597" s="4"/>
    </row>
    <row r="9598" spans="1:5" x14ac:dyDescent="0.3">
      <c r="A9598" s="9">
        <v>9590</v>
      </c>
      <c r="B9598" s="10">
        <f t="shared" ca="1" si="149"/>
        <v>6.5312224816739942E-2</v>
      </c>
      <c r="C9598" s="10">
        <f ca="1">NPV(B9598,Project_FCF!C18:J18)+Project_FCF!B18</f>
        <v>1069.492457963576</v>
      </c>
      <c r="D9598" s="4"/>
      <c r="E9598" s="4"/>
    </row>
    <row r="9599" spans="1:5" x14ac:dyDescent="0.3">
      <c r="A9599" s="9">
        <v>9591</v>
      </c>
      <c r="B9599" s="10">
        <f t="shared" ca="1" si="149"/>
        <v>9.7396514803444884E-2</v>
      </c>
      <c r="C9599" s="10">
        <f ca="1">NPV(B9599,Project_FCF!C18:J18)+Project_FCF!B18</f>
        <v>801.5503499512206</v>
      </c>
      <c r="D9599" s="4"/>
      <c r="E9599" s="4"/>
    </row>
    <row r="9600" spans="1:5" x14ac:dyDescent="0.3">
      <c r="A9600" s="9">
        <v>9592</v>
      </c>
      <c r="B9600" s="10">
        <f t="shared" ca="1" si="149"/>
        <v>9.9002483668927166E-2</v>
      </c>
      <c r="C9600" s="10">
        <f ca="1">NPV(B9600,Project_FCF!C18:J18)+Project_FCF!B18</f>
        <v>789.83739072959384</v>
      </c>
      <c r="D9600" s="4"/>
      <c r="E9600" s="4"/>
    </row>
    <row r="9601" spans="1:5" x14ac:dyDescent="0.3">
      <c r="A9601" s="9">
        <v>9593</v>
      </c>
      <c r="B9601" s="10">
        <f t="shared" ca="1" si="149"/>
        <v>7.0787156660856942E-2</v>
      </c>
      <c r="C9601" s="10">
        <f ca="1">NPV(B9601,Project_FCF!C18:J18)+Project_FCF!B18</f>
        <v>1018.7942943467974</v>
      </c>
      <c r="D9601" s="4"/>
      <c r="E9601" s="4"/>
    </row>
    <row r="9602" spans="1:5" x14ac:dyDescent="0.3">
      <c r="A9602" s="9">
        <v>9594</v>
      </c>
      <c r="B9602" s="10">
        <f t="shared" ca="1" si="149"/>
        <v>6.5433812191399862E-2</v>
      </c>
      <c r="C9602" s="10">
        <f ca="1">NPV(B9602,Project_FCF!C18:J18)+Project_FCF!B18</f>
        <v>1068.3421095390022</v>
      </c>
      <c r="D9602" s="4"/>
      <c r="E9602" s="4"/>
    </row>
    <row r="9603" spans="1:5" x14ac:dyDescent="0.3">
      <c r="A9603" s="9">
        <v>9595</v>
      </c>
      <c r="B9603" s="10">
        <f t="shared" ca="1" si="149"/>
        <v>7.7851419404955782E-2</v>
      </c>
      <c r="C9603" s="10">
        <f ca="1">NPV(B9603,Project_FCF!C18:J18)+Project_FCF!B18</f>
        <v>956.5826252768029</v>
      </c>
      <c r="D9603" s="4"/>
      <c r="E9603" s="4"/>
    </row>
    <row r="9604" spans="1:5" x14ac:dyDescent="0.3">
      <c r="A9604" s="9">
        <v>9596</v>
      </c>
      <c r="B9604" s="10">
        <f t="shared" ca="1" si="149"/>
        <v>7.9001665520154501E-2</v>
      </c>
      <c r="C9604" s="10">
        <f ca="1">NPV(B9604,Project_FCF!C18:J18)+Project_FCF!B18</f>
        <v>946.78075401289379</v>
      </c>
      <c r="D9604" s="4"/>
      <c r="E9604" s="4"/>
    </row>
    <row r="9605" spans="1:5" x14ac:dyDescent="0.3">
      <c r="A9605" s="9">
        <v>9597</v>
      </c>
      <c r="B9605" s="10">
        <f t="shared" ca="1" si="149"/>
        <v>9.5802339625116528E-2</v>
      </c>
      <c r="C9605" s="10">
        <f ca="1">NPV(B9605,Project_FCF!C18:J18)+Project_FCF!B18</f>
        <v>813.32319330534983</v>
      </c>
      <c r="D9605" s="4"/>
      <c r="E9605" s="4"/>
    </row>
    <row r="9606" spans="1:5" x14ac:dyDescent="0.3">
      <c r="A9606" s="9">
        <v>9598</v>
      </c>
      <c r="B9606" s="10">
        <f t="shared" ca="1" si="149"/>
        <v>7.3399761645453546E-2</v>
      </c>
      <c r="C9606" s="10">
        <f ca="1">NPV(B9606,Project_FCF!C18:J18)+Project_FCF!B18</f>
        <v>995.37592365734531</v>
      </c>
      <c r="D9606" s="4"/>
      <c r="E9606" s="4"/>
    </row>
    <row r="9607" spans="1:5" x14ac:dyDescent="0.3">
      <c r="A9607" s="9">
        <v>9599</v>
      </c>
      <c r="B9607" s="10">
        <f t="shared" ca="1" si="149"/>
        <v>7.9611810306851702E-2</v>
      </c>
      <c r="C9607" s="10">
        <f ca="1">NPV(B9607,Project_FCF!C18:J18)+Project_FCF!B18</f>
        <v>941.61765880887151</v>
      </c>
      <c r="D9607" s="4"/>
      <c r="E9607" s="4"/>
    </row>
    <row r="9608" spans="1:5" x14ac:dyDescent="0.3">
      <c r="A9608" s="9">
        <v>9600</v>
      </c>
      <c r="B9608" s="10">
        <f t="shared" ca="1" si="149"/>
        <v>9.5208940753785498E-2</v>
      </c>
      <c r="C9608" s="10">
        <f ca="1">NPV(B9608,Project_FCF!C18:J18)+Project_FCF!B18</f>
        <v>817.74293503768627</v>
      </c>
      <c r="D9608" s="4"/>
      <c r="E9608" s="4"/>
    </row>
    <row r="9609" spans="1:5" x14ac:dyDescent="0.3">
      <c r="A9609" s="9">
        <v>9601</v>
      </c>
      <c r="B9609" s="10">
        <f t="shared" ref="B9609:B9672" ca="1" si="150">$B$4+RAND()*($B$5-$B$4)</f>
        <v>6.5068226805643142E-2</v>
      </c>
      <c r="C9609" s="10">
        <f ca="1">NPV(B9609,Project_FCF!C18:J18)+Project_FCF!B18</f>
        <v>1071.8043522351145</v>
      </c>
      <c r="D9609" s="4"/>
      <c r="E9609" s="4"/>
    </row>
    <row r="9610" spans="1:5" x14ac:dyDescent="0.3">
      <c r="A9610" s="9">
        <v>9602</v>
      </c>
      <c r="B9610" s="10">
        <f t="shared" ca="1" si="150"/>
        <v>7.9415909548811559E-2</v>
      </c>
      <c r="C9610" s="10">
        <f ca="1">NPV(B9610,Project_FCF!C18:J18)+Project_FCF!B18</f>
        <v>943.27265896428298</v>
      </c>
      <c r="D9610" s="4"/>
      <c r="E9610" s="4"/>
    </row>
    <row r="9611" spans="1:5" x14ac:dyDescent="0.3">
      <c r="A9611" s="9">
        <v>9603</v>
      </c>
      <c r="B9611" s="10">
        <f t="shared" ca="1" si="150"/>
        <v>0.100903212945419</v>
      </c>
      <c r="C9611" s="10">
        <f ca="1">NPV(B9611,Project_FCF!C18:J18)+Project_FCF!B18</f>
        <v>776.16239676240366</v>
      </c>
      <c r="D9611" s="4"/>
      <c r="E9611" s="4"/>
    </row>
    <row r="9612" spans="1:5" x14ac:dyDescent="0.3">
      <c r="A9612" s="9">
        <v>9604</v>
      </c>
      <c r="B9612" s="10">
        <f t="shared" ca="1" si="150"/>
        <v>7.9617384473104166E-2</v>
      </c>
      <c r="C9612" s="10">
        <f ca="1">NPV(B9612,Project_FCF!C18:J18)+Project_FCF!B18</f>
        <v>941.57060506785865</v>
      </c>
      <c r="D9612" s="4"/>
      <c r="E9612" s="4"/>
    </row>
    <row r="9613" spans="1:5" x14ac:dyDescent="0.3">
      <c r="A9613" s="9">
        <v>9605</v>
      </c>
      <c r="B9613" s="10">
        <f t="shared" ca="1" si="150"/>
        <v>8.308420164585667E-2</v>
      </c>
      <c r="C9613" s="10">
        <f ca="1">NPV(B9613,Project_FCF!C18:J18)+Project_FCF!B18</f>
        <v>912.70535519456394</v>
      </c>
      <c r="D9613" s="4"/>
      <c r="E9613" s="4"/>
    </row>
    <row r="9614" spans="1:5" x14ac:dyDescent="0.3">
      <c r="A9614" s="9">
        <v>9606</v>
      </c>
      <c r="B9614" s="10">
        <f t="shared" ca="1" si="150"/>
        <v>7.9372532847189078E-2</v>
      </c>
      <c r="C9614" s="10">
        <f ca="1">NPV(B9614,Project_FCF!C18:J18)+Project_FCF!B18</f>
        <v>943.63946063731873</v>
      </c>
      <c r="D9614" s="4"/>
      <c r="E9614" s="4"/>
    </row>
    <row r="9615" spans="1:5" x14ac:dyDescent="0.3">
      <c r="A9615" s="9">
        <v>9607</v>
      </c>
      <c r="B9615" s="10">
        <f t="shared" ca="1" si="150"/>
        <v>9.8022046599134965E-2</v>
      </c>
      <c r="C9615" s="10">
        <f ca="1">NPV(B9615,Project_FCF!C18:J18)+Project_FCF!B18</f>
        <v>796.97067726791488</v>
      </c>
      <c r="D9615" s="4"/>
      <c r="E9615" s="4"/>
    </row>
    <row r="9616" spans="1:5" x14ac:dyDescent="0.3">
      <c r="A9616" s="9">
        <v>9608</v>
      </c>
      <c r="B9616" s="10">
        <f t="shared" ca="1" si="150"/>
        <v>9.5956919836630405E-2</v>
      </c>
      <c r="C9616" s="10">
        <f ca="1">NPV(B9616,Project_FCF!C18:J18)+Project_FCF!B18</f>
        <v>812.17521029914951</v>
      </c>
      <c r="D9616" s="4"/>
      <c r="E9616" s="4"/>
    </row>
    <row r="9617" spans="1:5" x14ac:dyDescent="0.3">
      <c r="A9617" s="9">
        <v>9609</v>
      </c>
      <c r="B9617" s="10">
        <f t="shared" ca="1" si="150"/>
        <v>6.8862223143873275E-2</v>
      </c>
      <c r="C9617" s="10">
        <f ca="1">NPV(B9617,Project_FCF!C18:J18)+Project_FCF!B18</f>
        <v>1036.3653390118843</v>
      </c>
      <c r="D9617" s="4"/>
      <c r="E9617" s="4"/>
    </row>
    <row r="9618" spans="1:5" x14ac:dyDescent="0.3">
      <c r="A9618" s="9">
        <v>9610</v>
      </c>
      <c r="B9618" s="10">
        <f t="shared" ca="1" si="150"/>
        <v>6.9913948107966556E-2</v>
      </c>
      <c r="C9618" s="10">
        <f ca="1">NPV(B9618,Project_FCF!C18:J18)+Project_FCF!B18</f>
        <v>1026.7314043083877</v>
      </c>
      <c r="D9618" s="4"/>
      <c r="E9618" s="4"/>
    </row>
    <row r="9619" spans="1:5" x14ac:dyDescent="0.3">
      <c r="A9619" s="9">
        <v>9611</v>
      </c>
      <c r="B9619" s="10">
        <f t="shared" ca="1" si="150"/>
        <v>7.0470611390264795E-2</v>
      </c>
      <c r="C9619" s="10">
        <f ca="1">NPV(B9619,Project_FCF!C18:J18)+Project_FCF!B18</f>
        <v>1021.6651366224764</v>
      </c>
      <c r="D9619" s="4"/>
      <c r="E9619" s="4"/>
    </row>
    <row r="9620" spans="1:5" x14ac:dyDescent="0.3">
      <c r="A9620" s="9">
        <v>9612</v>
      </c>
      <c r="B9620" s="10">
        <f t="shared" ca="1" si="150"/>
        <v>8.494180160927961E-2</v>
      </c>
      <c r="C9620" s="10">
        <f ca="1">NPV(B9620,Project_FCF!C18:J18)+Project_FCF!B18</f>
        <v>897.56173860642161</v>
      </c>
      <c r="D9620" s="4"/>
      <c r="E9620" s="4"/>
    </row>
    <row r="9621" spans="1:5" x14ac:dyDescent="0.3">
      <c r="A9621" s="9">
        <v>9613</v>
      </c>
      <c r="B9621" s="10">
        <f t="shared" ca="1" si="150"/>
        <v>7.081379377963691E-2</v>
      </c>
      <c r="C9621" s="10">
        <f ca="1">NPV(B9621,Project_FCF!C18:J18)+Project_FCF!B18</f>
        <v>1018.5530468918892</v>
      </c>
      <c r="D9621" s="4"/>
      <c r="E9621" s="4"/>
    </row>
    <row r="9622" spans="1:5" x14ac:dyDescent="0.3">
      <c r="A9622" s="9">
        <v>9614</v>
      </c>
      <c r="B9622" s="10">
        <f t="shared" ca="1" si="150"/>
        <v>9.267675867227855E-2</v>
      </c>
      <c r="C9622" s="10">
        <f ca="1">NPV(B9622,Project_FCF!C18:J18)+Project_FCF!B18</f>
        <v>836.83521270796132</v>
      </c>
      <c r="D9622" s="4"/>
      <c r="E9622" s="4"/>
    </row>
    <row r="9623" spans="1:5" x14ac:dyDescent="0.3">
      <c r="A9623" s="9">
        <v>9615</v>
      </c>
      <c r="B9623" s="10">
        <f t="shared" ca="1" si="150"/>
        <v>8.7584913463865433E-2</v>
      </c>
      <c r="C9623" s="10">
        <f ca="1">NPV(B9623,Project_FCF!C18:J18)+Project_FCF!B18</f>
        <v>876.39379478975229</v>
      </c>
      <c r="D9623" s="4"/>
      <c r="E9623" s="4"/>
    </row>
    <row r="9624" spans="1:5" x14ac:dyDescent="0.3">
      <c r="A9624" s="9">
        <v>9616</v>
      </c>
      <c r="B9624" s="10">
        <f t="shared" ca="1" si="150"/>
        <v>0.10224128389949026</v>
      </c>
      <c r="C9624" s="10">
        <f ca="1">NPV(B9624,Project_FCF!C18:J18)+Project_FCF!B18</f>
        <v>766.65585927468669</v>
      </c>
      <c r="D9624" s="4"/>
      <c r="E9624" s="4"/>
    </row>
    <row r="9625" spans="1:5" x14ac:dyDescent="0.3">
      <c r="A9625" s="9">
        <v>9617</v>
      </c>
      <c r="B9625" s="10">
        <f t="shared" ca="1" si="150"/>
        <v>6.7139142420957115E-2</v>
      </c>
      <c r="C9625" s="10">
        <f ca="1">NPV(B9625,Project_FCF!C18:J18)+Project_FCF!B18</f>
        <v>1052.326131857054</v>
      </c>
      <c r="D9625" s="4"/>
      <c r="E9625" s="4"/>
    </row>
    <row r="9626" spans="1:5" x14ac:dyDescent="0.3">
      <c r="A9626" s="9">
        <v>9618</v>
      </c>
      <c r="B9626" s="10">
        <f t="shared" ca="1" si="150"/>
        <v>7.5599082558391081E-2</v>
      </c>
      <c r="C9626" s="10">
        <f ca="1">NPV(B9626,Project_FCF!C18:J18)+Project_FCF!B18</f>
        <v>976.03802392008947</v>
      </c>
      <c r="D9626" s="4"/>
      <c r="E9626" s="4"/>
    </row>
    <row r="9627" spans="1:5" x14ac:dyDescent="0.3">
      <c r="A9627" s="9">
        <v>9619</v>
      </c>
      <c r="B9627" s="10">
        <f t="shared" ca="1" si="150"/>
        <v>7.3737323054832341E-2</v>
      </c>
      <c r="C9627" s="10">
        <f ca="1">NPV(B9627,Project_FCF!C18:J18)+Project_FCF!B18</f>
        <v>992.38573182243886</v>
      </c>
      <c r="D9627" s="4"/>
      <c r="E9627" s="4"/>
    </row>
    <row r="9628" spans="1:5" x14ac:dyDescent="0.3">
      <c r="A9628" s="9">
        <v>9620</v>
      </c>
      <c r="B9628" s="10">
        <f t="shared" ca="1" si="150"/>
        <v>7.4271163924882588E-2</v>
      </c>
      <c r="C9628" s="10">
        <f ca="1">NPV(B9628,Project_FCF!C18:J18)+Project_FCF!B18</f>
        <v>987.67329804098085</v>
      </c>
      <c r="D9628" s="4"/>
      <c r="E9628" s="4"/>
    </row>
    <row r="9629" spans="1:5" x14ac:dyDescent="0.3">
      <c r="A9629" s="9">
        <v>9621</v>
      </c>
      <c r="B9629" s="10">
        <f t="shared" ca="1" si="150"/>
        <v>9.4513419149312522E-2</v>
      </c>
      <c r="C9629" s="10">
        <f ca="1">NPV(B9629,Project_FCF!C18:J18)+Project_FCF!B18</f>
        <v>822.94945504850284</v>
      </c>
      <c r="D9629" s="4"/>
      <c r="E9629" s="4"/>
    </row>
    <row r="9630" spans="1:5" x14ac:dyDescent="0.3">
      <c r="A9630" s="9">
        <v>9622</v>
      </c>
      <c r="B9630" s="10">
        <f t="shared" ca="1" si="150"/>
        <v>8.7898314654557164E-2</v>
      </c>
      <c r="C9630" s="10">
        <f ca="1">NPV(B9630,Project_FCF!C18:J18)+Project_FCF!B18</f>
        <v>873.91297773192855</v>
      </c>
      <c r="D9630" s="4"/>
      <c r="E9630" s="4"/>
    </row>
    <row r="9631" spans="1:5" x14ac:dyDescent="0.3">
      <c r="A9631" s="9">
        <v>9623</v>
      </c>
      <c r="B9631" s="10">
        <f t="shared" ca="1" si="150"/>
        <v>9.6576645294197405E-2</v>
      </c>
      <c r="C9631" s="10">
        <f ca="1">NPV(B9631,Project_FCF!C18:J18)+Project_FCF!B18</f>
        <v>807.58672808593496</v>
      </c>
      <c r="D9631" s="4"/>
      <c r="E9631" s="4"/>
    </row>
    <row r="9632" spans="1:5" x14ac:dyDescent="0.3">
      <c r="A9632" s="9">
        <v>9624</v>
      </c>
      <c r="B9632" s="10">
        <f t="shared" ca="1" si="150"/>
        <v>9.28034425439421E-2</v>
      </c>
      <c r="C9632" s="10">
        <f ca="1">NPV(B9632,Project_FCF!C18:J18)+Project_FCF!B18</f>
        <v>835.87101742657842</v>
      </c>
      <c r="D9632" s="4"/>
      <c r="E9632" s="4"/>
    </row>
    <row r="9633" spans="1:5" x14ac:dyDescent="0.3">
      <c r="A9633" s="9">
        <v>9625</v>
      </c>
      <c r="B9633" s="10">
        <f t="shared" ca="1" si="150"/>
        <v>0.10160073456245097</v>
      </c>
      <c r="C9633" s="10">
        <f ca="1">NPV(B9633,Project_FCF!C18:J18)+Project_FCF!B18</f>
        <v>771.19443053260761</v>
      </c>
      <c r="D9633" s="4"/>
      <c r="E9633" s="4"/>
    </row>
    <row r="9634" spans="1:5" x14ac:dyDescent="0.3">
      <c r="A9634" s="9">
        <v>9626</v>
      </c>
      <c r="B9634" s="10">
        <f t="shared" ca="1" si="150"/>
        <v>9.8490642676562379E-2</v>
      </c>
      <c r="C9634" s="10">
        <f ca="1">NPV(B9634,Project_FCF!C18:J18)+Project_FCF!B18</f>
        <v>793.55455839443584</v>
      </c>
      <c r="D9634" s="4"/>
      <c r="E9634" s="4"/>
    </row>
    <row r="9635" spans="1:5" x14ac:dyDescent="0.3">
      <c r="A9635" s="9">
        <v>9627</v>
      </c>
      <c r="B9635" s="10">
        <f t="shared" ca="1" si="150"/>
        <v>6.7563737659650777E-2</v>
      </c>
      <c r="C9635" s="10">
        <f ca="1">NPV(B9635,Project_FCF!C18:J18)+Project_FCF!B18</f>
        <v>1048.3725572516071</v>
      </c>
      <c r="D9635" s="4"/>
      <c r="E9635" s="4"/>
    </row>
    <row r="9636" spans="1:5" x14ac:dyDescent="0.3">
      <c r="A9636" s="9">
        <v>9628</v>
      </c>
      <c r="B9636" s="10">
        <f t="shared" ca="1" si="150"/>
        <v>9.5926639611714798E-2</v>
      </c>
      <c r="C9636" s="10">
        <f ca="1">NPV(B9636,Project_FCF!C18:J18)+Project_FCF!B18</f>
        <v>812.39997594284546</v>
      </c>
      <c r="D9636" s="4"/>
      <c r="E9636" s="4"/>
    </row>
    <row r="9637" spans="1:5" x14ac:dyDescent="0.3">
      <c r="A9637" s="9">
        <v>9629</v>
      </c>
      <c r="B9637" s="10">
        <f t="shared" ca="1" si="150"/>
        <v>9.564633103029925E-2</v>
      </c>
      <c r="C9637" s="10">
        <f ca="1">NPV(B9637,Project_FCF!C18:J18)+Project_FCF!B18</f>
        <v>814.48318967486489</v>
      </c>
      <c r="D9637" s="4"/>
      <c r="E9637" s="4"/>
    </row>
    <row r="9638" spans="1:5" x14ac:dyDescent="0.3">
      <c r="A9638" s="9">
        <v>9630</v>
      </c>
      <c r="B9638" s="10">
        <f t="shared" ca="1" si="150"/>
        <v>6.477355954604655E-2</v>
      </c>
      <c r="C9638" s="10">
        <f ca="1">NPV(B9638,Project_FCF!C18:J18)+Project_FCF!B18</f>
        <v>1074.6024176763633</v>
      </c>
      <c r="D9638" s="4"/>
      <c r="E9638" s="4"/>
    </row>
    <row r="9639" spans="1:5" x14ac:dyDescent="0.3">
      <c r="A9639" s="9">
        <v>9631</v>
      </c>
      <c r="B9639" s="10">
        <f t="shared" ca="1" si="150"/>
        <v>9.1896272546025018E-2</v>
      </c>
      <c r="C9639" s="10">
        <f ca="1">NPV(B9639,Project_FCF!C18:J18)+Project_FCF!B18</f>
        <v>842.7966780866509</v>
      </c>
      <c r="D9639" s="4"/>
      <c r="E9639" s="4"/>
    </row>
    <row r="9640" spans="1:5" x14ac:dyDescent="0.3">
      <c r="A9640" s="9">
        <v>9632</v>
      </c>
      <c r="B9640" s="10">
        <f t="shared" ca="1" si="150"/>
        <v>7.7177562600114047E-2</v>
      </c>
      <c r="C9640" s="10">
        <f ca="1">NPV(B9640,Project_FCF!C18:J18)+Project_FCF!B18</f>
        <v>962.36674865125178</v>
      </c>
      <c r="D9640" s="4"/>
      <c r="E9640" s="4"/>
    </row>
    <row r="9641" spans="1:5" x14ac:dyDescent="0.3">
      <c r="A9641" s="9">
        <v>9633</v>
      </c>
      <c r="B9641" s="10">
        <f t="shared" ca="1" si="150"/>
        <v>8.262895646598975E-2</v>
      </c>
      <c r="C9641" s="10">
        <f ca="1">NPV(B9641,Project_FCF!C18:J18)+Project_FCF!B18</f>
        <v>916.45070601744169</v>
      </c>
      <c r="D9641" s="4"/>
      <c r="E9641" s="4"/>
    </row>
    <row r="9642" spans="1:5" x14ac:dyDescent="0.3">
      <c r="A9642" s="9">
        <v>9634</v>
      </c>
      <c r="B9642" s="10">
        <f t="shared" ca="1" si="150"/>
        <v>6.9900179663450648E-2</v>
      </c>
      <c r="C9642" s="10">
        <f ca="1">NPV(B9642,Project_FCF!C18:J18)+Project_FCF!B18</f>
        <v>1026.8569999391013</v>
      </c>
      <c r="D9642" s="4"/>
      <c r="E9642" s="4"/>
    </row>
    <row r="9643" spans="1:5" x14ac:dyDescent="0.3">
      <c r="A9643" s="9">
        <v>9635</v>
      </c>
      <c r="B9643" s="10">
        <f t="shared" ca="1" si="150"/>
        <v>0.10111911756309702</v>
      </c>
      <c r="C9643" s="10">
        <f ca="1">NPV(B9643,Project_FCF!C18:J18)+Project_FCF!B18</f>
        <v>774.62178168317769</v>
      </c>
      <c r="D9643" s="4"/>
      <c r="E9643" s="4"/>
    </row>
    <row r="9644" spans="1:5" x14ac:dyDescent="0.3">
      <c r="A9644" s="9">
        <v>9636</v>
      </c>
      <c r="B9644" s="10">
        <f t="shared" ca="1" si="150"/>
        <v>0.10165871377855165</v>
      </c>
      <c r="C9644" s="10">
        <f ca="1">NPV(B9644,Project_FCF!C18:J18)+Project_FCF!B18</f>
        <v>770.78269373393709</v>
      </c>
      <c r="D9644" s="4"/>
      <c r="E9644" s="4"/>
    </row>
    <row r="9645" spans="1:5" x14ac:dyDescent="0.3">
      <c r="A9645" s="9">
        <v>9637</v>
      </c>
      <c r="B9645" s="10">
        <f t="shared" ca="1" si="150"/>
        <v>8.6326510966184961E-2</v>
      </c>
      <c r="C9645" s="10">
        <f ca="1">NPV(B9645,Project_FCF!C18:J18)+Project_FCF!B18</f>
        <v>886.41695735264852</v>
      </c>
      <c r="D9645" s="4"/>
      <c r="E9645" s="4"/>
    </row>
    <row r="9646" spans="1:5" x14ac:dyDescent="0.3">
      <c r="A9646" s="9">
        <v>9638</v>
      </c>
      <c r="B9646" s="10">
        <f t="shared" ca="1" si="150"/>
        <v>0.10391769667937745</v>
      </c>
      <c r="C9646" s="10">
        <f ca="1">NPV(B9646,Project_FCF!C18:J18)+Project_FCF!B18</f>
        <v>754.88384217474118</v>
      </c>
      <c r="D9646" s="4"/>
      <c r="E9646" s="4"/>
    </row>
    <row r="9647" spans="1:5" x14ac:dyDescent="0.3">
      <c r="A9647" s="9">
        <v>9639</v>
      </c>
      <c r="B9647" s="10">
        <f t="shared" ca="1" si="150"/>
        <v>8.0488418781280741E-2</v>
      </c>
      <c r="C9647" s="10">
        <f ca="1">NPV(B9647,Project_FCF!C18:J18)+Project_FCF!B18</f>
        <v>934.24339916121448</v>
      </c>
      <c r="D9647" s="4"/>
      <c r="E9647" s="4"/>
    </row>
    <row r="9648" spans="1:5" x14ac:dyDescent="0.3">
      <c r="A9648" s="9">
        <v>9640</v>
      </c>
      <c r="B9648" s="10">
        <f t="shared" ca="1" si="150"/>
        <v>7.4940322685478719E-2</v>
      </c>
      <c r="C9648" s="10">
        <f ca="1">NPV(B9648,Project_FCF!C18:J18)+Project_FCF!B18</f>
        <v>981.79468063030413</v>
      </c>
      <c r="D9648" s="4"/>
      <c r="E9648" s="4"/>
    </row>
    <row r="9649" spans="1:5" x14ac:dyDescent="0.3">
      <c r="A9649" s="9">
        <v>9641</v>
      </c>
      <c r="B9649" s="10">
        <f t="shared" ca="1" si="150"/>
        <v>8.3158217390669531E-2</v>
      </c>
      <c r="C9649" s="10">
        <f ca="1">NPV(B9649,Project_FCF!C18:J18)+Project_FCF!B18</f>
        <v>912.09769443930941</v>
      </c>
      <c r="D9649" s="4"/>
      <c r="E9649" s="4"/>
    </row>
    <row r="9650" spans="1:5" x14ac:dyDescent="0.3">
      <c r="A9650" s="9">
        <v>9642</v>
      </c>
      <c r="B9650" s="10">
        <f t="shared" ca="1" si="150"/>
        <v>6.9002290975679365E-2</v>
      </c>
      <c r="C9650" s="10">
        <f ca="1">NPV(B9650,Project_FCF!C18:J18)+Project_FCF!B18</f>
        <v>1035.0775953163309</v>
      </c>
      <c r="D9650" s="4"/>
      <c r="E9650" s="4"/>
    </row>
    <row r="9651" spans="1:5" x14ac:dyDescent="0.3">
      <c r="A9651" s="9">
        <v>9643</v>
      </c>
      <c r="B9651" s="10">
        <f t="shared" ca="1" si="150"/>
        <v>9.5194347929284537E-2</v>
      </c>
      <c r="C9651" s="10">
        <f ca="1">NPV(B9651,Project_FCF!C18:J18)+Project_FCF!B18</f>
        <v>817.85188330411256</v>
      </c>
      <c r="D9651" s="4"/>
      <c r="E9651" s="4"/>
    </row>
    <row r="9652" spans="1:5" x14ac:dyDescent="0.3">
      <c r="A9652" s="9">
        <v>9644</v>
      </c>
      <c r="B9652" s="10">
        <f t="shared" ca="1" si="150"/>
        <v>9.8402214972012694E-2</v>
      </c>
      <c r="C9652" s="10">
        <f ca="1">NPV(B9652,Project_FCF!C18:J18)+Project_FCF!B18</f>
        <v>794.19825272906655</v>
      </c>
      <c r="D9652" s="4"/>
      <c r="E9652" s="4"/>
    </row>
    <row r="9653" spans="1:5" x14ac:dyDescent="0.3">
      <c r="A9653" s="9">
        <v>9645</v>
      </c>
      <c r="B9653" s="10">
        <f t="shared" ca="1" si="150"/>
        <v>8.2267960645719423E-2</v>
      </c>
      <c r="C9653" s="10">
        <f ca="1">NPV(B9653,Project_FCF!C18:J18)+Project_FCF!B18</f>
        <v>919.43027107636976</v>
      </c>
      <c r="D9653" s="4"/>
      <c r="E9653" s="4"/>
    </row>
    <row r="9654" spans="1:5" x14ac:dyDescent="0.3">
      <c r="A9654" s="9">
        <v>9646</v>
      </c>
      <c r="B9654" s="10">
        <f t="shared" ca="1" si="150"/>
        <v>8.1842917049476396E-2</v>
      </c>
      <c r="C9654" s="10">
        <f ca="1">NPV(B9654,Project_FCF!C18:J18)+Project_FCF!B18</f>
        <v>922.94941107999671</v>
      </c>
      <c r="D9654" s="4"/>
      <c r="E9654" s="4"/>
    </row>
    <row r="9655" spans="1:5" x14ac:dyDescent="0.3">
      <c r="A9655" s="9">
        <v>9647</v>
      </c>
      <c r="B9655" s="10">
        <f t="shared" ca="1" si="150"/>
        <v>8.3328465538334229E-2</v>
      </c>
      <c r="C9655" s="10">
        <f ca="1">NPV(B9655,Project_FCF!C18:J18)+Project_FCF!B18</f>
        <v>910.70132706258505</v>
      </c>
      <c r="D9655" s="4"/>
      <c r="E9655" s="4"/>
    </row>
    <row r="9656" spans="1:5" x14ac:dyDescent="0.3">
      <c r="A9656" s="9">
        <v>9648</v>
      </c>
      <c r="B9656" s="10">
        <f t="shared" ca="1" si="150"/>
        <v>7.3077253535873535E-2</v>
      </c>
      <c r="C9656" s="10">
        <f ca="1">NPV(B9656,Project_FCF!C18:J18)+Project_FCF!B18</f>
        <v>998.24032233612616</v>
      </c>
      <c r="D9656" s="4"/>
      <c r="E9656" s="4"/>
    </row>
    <row r="9657" spans="1:5" x14ac:dyDescent="0.3">
      <c r="A9657" s="9">
        <v>9649</v>
      </c>
      <c r="B9657" s="10">
        <f t="shared" ca="1" si="150"/>
        <v>7.5832758478230441E-2</v>
      </c>
      <c r="C9657" s="10">
        <f ca="1">NPV(B9657,Project_FCF!C18:J18)+Project_FCF!B18</f>
        <v>974.00327899712283</v>
      </c>
      <c r="D9657" s="4"/>
      <c r="E9657" s="4"/>
    </row>
    <row r="9658" spans="1:5" x14ac:dyDescent="0.3">
      <c r="A9658" s="9">
        <v>9650</v>
      </c>
      <c r="B9658" s="10">
        <f t="shared" ca="1" si="150"/>
        <v>8.2198154192789377E-2</v>
      </c>
      <c r="C9658" s="10">
        <f ca="1">NPV(B9658,Project_FCF!C18:J18)+Project_FCF!B18</f>
        <v>920.0074190685873</v>
      </c>
      <c r="D9658" s="4"/>
      <c r="E9658" s="4"/>
    </row>
    <row r="9659" spans="1:5" x14ac:dyDescent="0.3">
      <c r="A9659" s="9">
        <v>9651</v>
      </c>
      <c r="B9659" s="10">
        <f t="shared" ca="1" si="150"/>
        <v>8.5662612803351912E-2</v>
      </c>
      <c r="C9659" s="10">
        <f ca="1">NPV(B9659,Project_FCF!C18:J18)+Project_FCF!B18</f>
        <v>891.74511664329884</v>
      </c>
      <c r="D9659" s="4"/>
      <c r="E9659" s="4"/>
    </row>
    <row r="9660" spans="1:5" x14ac:dyDescent="0.3">
      <c r="A9660" s="9">
        <v>9652</v>
      </c>
      <c r="B9660" s="10">
        <f t="shared" ca="1" si="150"/>
        <v>6.8700446502228396E-2</v>
      </c>
      <c r="C9660" s="10">
        <f ca="1">NPV(B9660,Project_FCF!C18:J18)+Project_FCF!B18</f>
        <v>1037.8544730149392</v>
      </c>
      <c r="D9660" s="4"/>
      <c r="E9660" s="4"/>
    </row>
    <row r="9661" spans="1:5" x14ac:dyDescent="0.3">
      <c r="A9661" s="9">
        <v>9653</v>
      </c>
      <c r="B9661" s="10">
        <f t="shared" ca="1" si="150"/>
        <v>9.1155165102971392E-2</v>
      </c>
      <c r="C9661" s="10">
        <f ca="1">NPV(B9661,Project_FCF!C18:J18)+Project_FCF!B18</f>
        <v>848.49122803143632</v>
      </c>
      <c r="D9661" s="4"/>
      <c r="E9661" s="4"/>
    </row>
    <row r="9662" spans="1:5" x14ac:dyDescent="0.3">
      <c r="A9662" s="9">
        <v>9654</v>
      </c>
      <c r="B9662" s="10">
        <f t="shared" ca="1" si="150"/>
        <v>6.4466077453207329E-2</v>
      </c>
      <c r="C9662" s="10">
        <f ca="1">NPV(B9662,Project_FCF!C18:J18)+Project_FCF!B18</f>
        <v>1077.5292760060518</v>
      </c>
      <c r="D9662" s="4"/>
      <c r="E9662" s="4"/>
    </row>
    <row r="9663" spans="1:5" x14ac:dyDescent="0.3">
      <c r="A9663" s="9">
        <v>9655</v>
      </c>
      <c r="B9663" s="10">
        <f t="shared" ca="1" si="150"/>
        <v>9.6299153869983473E-2</v>
      </c>
      <c r="C9663" s="10">
        <f ca="1">NPV(B9663,Project_FCF!C18:J18)+Project_FCF!B18</f>
        <v>809.63854710517967</v>
      </c>
      <c r="D9663" s="4"/>
      <c r="E9663" s="4"/>
    </row>
    <row r="9664" spans="1:5" x14ac:dyDescent="0.3">
      <c r="A9664" s="9">
        <v>9656</v>
      </c>
      <c r="B9664" s="10">
        <f t="shared" ca="1" si="150"/>
        <v>9.5495935775798263E-2</v>
      </c>
      <c r="C9664" s="10">
        <f ca="1">NPV(B9664,Project_FCF!C18:J18)+Project_FCF!B18</f>
        <v>815.60278678789268</v>
      </c>
      <c r="D9664" s="4"/>
      <c r="E9664" s="4"/>
    </row>
    <row r="9665" spans="1:5" x14ac:dyDescent="0.3">
      <c r="A9665" s="9">
        <v>9657</v>
      </c>
      <c r="B9665" s="10">
        <f t="shared" ca="1" si="150"/>
        <v>9.9577890926201548E-2</v>
      </c>
      <c r="C9665" s="10">
        <f ca="1">NPV(B9665,Project_FCF!C18:J18)+Project_FCF!B18</f>
        <v>785.67621850207593</v>
      </c>
      <c r="D9665" s="4"/>
      <c r="E9665" s="4"/>
    </row>
    <row r="9666" spans="1:5" x14ac:dyDescent="0.3">
      <c r="A9666" s="9">
        <v>9658</v>
      </c>
      <c r="B9666" s="10">
        <f t="shared" ca="1" si="150"/>
        <v>7.279984066501638E-2</v>
      </c>
      <c r="C9666" s="10">
        <f ca="1">NPV(B9666,Project_FCF!C18:J18)+Project_FCF!B18</f>
        <v>1000.7101227059941</v>
      </c>
      <c r="D9666" s="4"/>
      <c r="E9666" s="4"/>
    </row>
    <row r="9667" spans="1:5" x14ac:dyDescent="0.3">
      <c r="A9667" s="9">
        <v>9659</v>
      </c>
      <c r="B9667" s="10">
        <f t="shared" ca="1" si="150"/>
        <v>8.5372199586975311E-2</v>
      </c>
      <c r="C9667" s="10">
        <f ca="1">NPV(B9667,Project_FCF!C18:J18)+Project_FCF!B18</f>
        <v>894.08463907335545</v>
      </c>
      <c r="D9667" s="4"/>
      <c r="E9667" s="4"/>
    </row>
    <row r="9668" spans="1:5" x14ac:dyDescent="0.3">
      <c r="A9668" s="9">
        <v>9660</v>
      </c>
      <c r="B9668" s="10">
        <f t="shared" ca="1" si="150"/>
        <v>8.6459770746702219E-2</v>
      </c>
      <c r="C9668" s="10">
        <f ca="1">NPV(B9668,Project_FCF!C18:J18)+Project_FCF!B18</f>
        <v>885.35083091393881</v>
      </c>
      <c r="D9668" s="4"/>
      <c r="E9668" s="4"/>
    </row>
    <row r="9669" spans="1:5" x14ac:dyDescent="0.3">
      <c r="A9669" s="9">
        <v>9661</v>
      </c>
      <c r="B9669" s="10">
        <f t="shared" ca="1" si="150"/>
        <v>9.0202589391097099E-2</v>
      </c>
      <c r="C9669" s="10">
        <f ca="1">NPV(B9669,Project_FCF!C18:J18)+Project_FCF!B18</f>
        <v>855.8594745688938</v>
      </c>
      <c r="D9669" s="4"/>
      <c r="E9669" s="4"/>
    </row>
    <row r="9670" spans="1:5" x14ac:dyDescent="0.3">
      <c r="A9670" s="9">
        <v>9662</v>
      </c>
      <c r="B9670" s="10">
        <f t="shared" ca="1" si="150"/>
        <v>8.2846550942960756E-2</v>
      </c>
      <c r="C9670" s="10">
        <f ca="1">NPV(B9670,Project_FCF!C18:J18)+Project_FCF!B18</f>
        <v>914.65884871272237</v>
      </c>
      <c r="D9670" s="4"/>
      <c r="E9670" s="4"/>
    </row>
    <row r="9671" spans="1:5" x14ac:dyDescent="0.3">
      <c r="A9671" s="9">
        <v>9663</v>
      </c>
      <c r="B9671" s="10">
        <f t="shared" ca="1" si="150"/>
        <v>6.8489715009352886E-2</v>
      </c>
      <c r="C9671" s="10">
        <f ca="1">NPV(B9671,Project_FCF!C18:J18)+Project_FCF!B18</f>
        <v>1039.7971376765129</v>
      </c>
      <c r="D9671" s="4"/>
      <c r="E9671" s="4"/>
    </row>
    <row r="9672" spans="1:5" x14ac:dyDescent="0.3">
      <c r="A9672" s="9">
        <v>9664</v>
      </c>
      <c r="B9672" s="10">
        <f t="shared" ca="1" si="150"/>
        <v>0.10118073828457173</v>
      </c>
      <c r="C9672" s="10">
        <f ca="1">NPV(B9672,Project_FCF!C18:J18)+Project_FCF!B18</f>
        <v>774.18255256172415</v>
      </c>
      <c r="D9672" s="4"/>
      <c r="E9672" s="4"/>
    </row>
    <row r="9673" spans="1:5" x14ac:dyDescent="0.3">
      <c r="A9673" s="9">
        <v>9665</v>
      </c>
      <c r="B9673" s="10">
        <f t="shared" ref="B9673:B9736" ca="1" si="151">$B$4+RAND()*($B$5-$B$4)</f>
        <v>7.8899030616197019E-2</v>
      </c>
      <c r="C9673" s="10">
        <f ca="1">NPV(B9673,Project_FCF!C18:J18)+Project_FCF!B18</f>
        <v>947.65172217270901</v>
      </c>
      <c r="D9673" s="4"/>
      <c r="E9673" s="4"/>
    </row>
    <row r="9674" spans="1:5" x14ac:dyDescent="0.3">
      <c r="A9674" s="9">
        <v>9666</v>
      </c>
      <c r="B9674" s="10">
        <f t="shared" ca="1" si="151"/>
        <v>7.4555610031602465E-2</v>
      </c>
      <c r="C9674" s="10">
        <f ca="1">NPV(B9674,Project_FCF!C18:J18)+Project_FCF!B18</f>
        <v>985.17057378272193</v>
      </c>
      <c r="D9674" s="4"/>
      <c r="E9674" s="4"/>
    </row>
    <row r="9675" spans="1:5" x14ac:dyDescent="0.3">
      <c r="A9675" s="9">
        <v>9667</v>
      </c>
      <c r="B9675" s="10">
        <f t="shared" ca="1" si="151"/>
        <v>8.0681313225526449E-2</v>
      </c>
      <c r="C9675" s="10">
        <f ca="1">NPV(B9675,Project_FCF!C18:J18)+Project_FCF!B18</f>
        <v>932.62759887154743</v>
      </c>
      <c r="D9675" s="4"/>
      <c r="E9675" s="4"/>
    </row>
    <row r="9676" spans="1:5" x14ac:dyDescent="0.3">
      <c r="A9676" s="9">
        <v>9668</v>
      </c>
      <c r="B9676" s="10">
        <f t="shared" ca="1" si="151"/>
        <v>0.1009401191809936</v>
      </c>
      <c r="C9676" s="10">
        <f ca="1">NPV(B9676,Project_FCF!C18:J18)+Project_FCF!B18</f>
        <v>775.8988645708348</v>
      </c>
      <c r="D9676" s="4"/>
      <c r="E9676" s="4"/>
    </row>
    <row r="9677" spans="1:5" x14ac:dyDescent="0.3">
      <c r="A9677" s="9">
        <v>9669</v>
      </c>
      <c r="B9677" s="10">
        <f t="shared" ca="1" si="151"/>
        <v>7.7646041905236843E-2</v>
      </c>
      <c r="C9677" s="10">
        <f ca="1">NPV(B9677,Project_FCF!C18:J18)+Project_FCF!B18</f>
        <v>958.34221825532859</v>
      </c>
      <c r="D9677" s="4"/>
      <c r="E9677" s="4"/>
    </row>
    <row r="9678" spans="1:5" x14ac:dyDescent="0.3">
      <c r="A9678" s="9">
        <v>9670</v>
      </c>
      <c r="B9678" s="10">
        <f t="shared" ca="1" si="151"/>
        <v>7.2110287652626781E-2</v>
      </c>
      <c r="C9678" s="10">
        <f ca="1">NPV(B9678,Project_FCF!C18:J18)+Project_FCF!B18</f>
        <v>1006.8730124812676</v>
      </c>
      <c r="D9678" s="4"/>
      <c r="E9678" s="4"/>
    </row>
    <row r="9679" spans="1:5" x14ac:dyDescent="0.3">
      <c r="A9679" s="9">
        <v>9671</v>
      </c>
      <c r="B9679" s="10">
        <f t="shared" ca="1" si="151"/>
        <v>8.57962836100047E-2</v>
      </c>
      <c r="C9679" s="10">
        <f ca="1">NPV(B9679,Project_FCF!C18:J18)+Project_FCF!B18</f>
        <v>890.67008711560288</v>
      </c>
      <c r="D9679" s="4"/>
      <c r="E9679" s="4"/>
    </row>
    <row r="9680" spans="1:5" x14ac:dyDescent="0.3">
      <c r="A9680" s="9">
        <v>9672</v>
      </c>
      <c r="B9680" s="10">
        <f t="shared" ca="1" si="151"/>
        <v>9.8423899190220376E-2</v>
      </c>
      <c r="C9680" s="10">
        <f ca="1">NPV(B9680,Project_FCF!C18:J18)+Project_FCF!B18</f>
        <v>794.04036516501469</v>
      </c>
      <c r="D9680" s="4"/>
      <c r="E9680" s="4"/>
    </row>
    <row r="9681" spans="1:5" x14ac:dyDescent="0.3">
      <c r="A9681" s="9">
        <v>9673</v>
      </c>
      <c r="B9681" s="10">
        <f t="shared" ca="1" si="151"/>
        <v>8.6384984760537811E-2</v>
      </c>
      <c r="C9681" s="10">
        <f ca="1">NPV(B9681,Project_FCF!C18:J18)+Project_FCF!B18</f>
        <v>885.94900787749202</v>
      </c>
      <c r="D9681" s="4"/>
      <c r="E9681" s="4"/>
    </row>
    <row r="9682" spans="1:5" x14ac:dyDescent="0.3">
      <c r="A9682" s="9">
        <v>9674</v>
      </c>
      <c r="B9682" s="10">
        <f t="shared" ca="1" si="151"/>
        <v>0.1034748262091503</v>
      </c>
      <c r="C9682" s="10">
        <f ca="1">NPV(B9682,Project_FCF!C18:J18)+Project_FCF!B18</f>
        <v>757.97890348147371</v>
      </c>
      <c r="D9682" s="4"/>
      <c r="E9682" s="4"/>
    </row>
    <row r="9683" spans="1:5" x14ac:dyDescent="0.3">
      <c r="A9683" s="9">
        <v>9675</v>
      </c>
      <c r="B9683" s="10">
        <f t="shared" ca="1" si="151"/>
        <v>7.9892687002544038E-2</v>
      </c>
      <c r="C9683" s="10">
        <f ca="1">NPV(B9683,Project_FCF!C18:J18)+Project_FCF!B18</f>
        <v>939.24925858140796</v>
      </c>
      <c r="D9683" s="4"/>
      <c r="E9683" s="4"/>
    </row>
    <row r="9684" spans="1:5" x14ac:dyDescent="0.3">
      <c r="A9684" s="9">
        <v>9676</v>
      </c>
      <c r="B9684" s="10">
        <f t="shared" ca="1" si="151"/>
        <v>8.0708192777690563E-2</v>
      </c>
      <c r="C9684" s="10">
        <f ca="1">NPV(B9684,Project_FCF!C18:J18)+Project_FCF!B18</f>
        <v>932.40263582697162</v>
      </c>
      <c r="D9684" s="4"/>
      <c r="E9684" s="4"/>
    </row>
    <row r="9685" spans="1:5" x14ac:dyDescent="0.3">
      <c r="A9685" s="9">
        <v>9677</v>
      </c>
      <c r="B9685" s="10">
        <f t="shared" ca="1" si="151"/>
        <v>7.6294523844391671E-2</v>
      </c>
      <c r="C9685" s="10">
        <f ca="1">NPV(B9685,Project_FCF!C18:J18)+Project_FCF!B18</f>
        <v>969.99357027593874</v>
      </c>
      <c r="D9685" s="4"/>
      <c r="E9685" s="4"/>
    </row>
    <row r="9686" spans="1:5" x14ac:dyDescent="0.3">
      <c r="A9686" s="9">
        <v>9678</v>
      </c>
      <c r="B9686" s="10">
        <f t="shared" ca="1" si="151"/>
        <v>9.253975344537381E-2</v>
      </c>
      <c r="C9686" s="10">
        <f ca="1">NPV(B9686,Project_FCF!C18:J18)+Project_FCF!B18</f>
        <v>837.87904171971809</v>
      </c>
      <c r="D9686" s="4"/>
      <c r="E9686" s="4"/>
    </row>
    <row r="9687" spans="1:5" x14ac:dyDescent="0.3">
      <c r="A9687" s="9">
        <v>9679</v>
      </c>
      <c r="B9687" s="10">
        <f t="shared" ca="1" si="151"/>
        <v>8.9827546612195164E-2</v>
      </c>
      <c r="C9687" s="10">
        <f ca="1">NPV(B9687,Project_FCF!C18:J18)+Project_FCF!B18</f>
        <v>858.77561566177701</v>
      </c>
      <c r="D9687" s="4"/>
      <c r="E9687" s="4"/>
    </row>
    <row r="9688" spans="1:5" x14ac:dyDescent="0.3">
      <c r="A9688" s="9">
        <v>9680</v>
      </c>
      <c r="B9688" s="10">
        <f t="shared" ca="1" si="151"/>
        <v>6.5929341277863263E-2</v>
      </c>
      <c r="C9688" s="10">
        <f ca="1">NPV(B9688,Project_FCF!C18:J18)+Project_FCF!B18</f>
        <v>1063.6655210908275</v>
      </c>
      <c r="D9688" s="4"/>
      <c r="E9688" s="4"/>
    </row>
    <row r="9689" spans="1:5" x14ac:dyDescent="0.3">
      <c r="A9689" s="9">
        <v>9681</v>
      </c>
      <c r="B9689" s="10">
        <f t="shared" ca="1" si="151"/>
        <v>8.7679735112565438E-2</v>
      </c>
      <c r="C9689" s="10">
        <f ca="1">NPV(B9689,Project_FCF!C18:J18)+Project_FCF!B18</f>
        <v>875.64256064866959</v>
      </c>
      <c r="D9689" s="4"/>
      <c r="E9689" s="4"/>
    </row>
    <row r="9690" spans="1:5" x14ac:dyDescent="0.3">
      <c r="A9690" s="9">
        <v>9682</v>
      </c>
      <c r="B9690" s="10">
        <f t="shared" ca="1" si="151"/>
        <v>7.6435316380052284E-2</v>
      </c>
      <c r="C9690" s="10">
        <f ca="1">NPV(B9690,Project_FCF!C18:J18)+Project_FCF!B18</f>
        <v>968.77394231884728</v>
      </c>
      <c r="D9690" s="4"/>
      <c r="E9690" s="4"/>
    </row>
    <row r="9691" spans="1:5" x14ac:dyDescent="0.3">
      <c r="A9691" s="9">
        <v>9683</v>
      </c>
      <c r="B9691" s="10">
        <f t="shared" ca="1" si="151"/>
        <v>8.4383172045478294E-2</v>
      </c>
      <c r="C9691" s="10">
        <f ca="1">NPV(B9691,Project_FCF!C18:J18)+Project_FCF!B18</f>
        <v>902.09246250220258</v>
      </c>
      <c r="D9691" s="4"/>
      <c r="E9691" s="4"/>
    </row>
    <row r="9692" spans="1:5" x14ac:dyDescent="0.3">
      <c r="A9692" s="9">
        <v>9684</v>
      </c>
      <c r="B9692" s="10">
        <f t="shared" ca="1" si="151"/>
        <v>6.88104220193759E-2</v>
      </c>
      <c r="C9692" s="10">
        <f ca="1">NPV(B9692,Project_FCF!C18:J18)+Project_FCF!B18</f>
        <v>1036.8419511811267</v>
      </c>
      <c r="D9692" s="4"/>
      <c r="E9692" s="4"/>
    </row>
    <row r="9693" spans="1:5" x14ac:dyDescent="0.3">
      <c r="A9693" s="9">
        <v>9685</v>
      </c>
      <c r="B9693" s="10">
        <f t="shared" ca="1" si="151"/>
        <v>7.2787777276296498E-2</v>
      </c>
      <c r="C9693" s="10">
        <f ca="1">NPV(B9693,Project_FCF!C18:J18)+Project_FCF!B18</f>
        <v>1000.8176472469952</v>
      </c>
      <c r="D9693" s="4"/>
      <c r="E9693" s="4"/>
    </row>
    <row r="9694" spans="1:5" x14ac:dyDescent="0.3">
      <c r="A9694" s="9">
        <v>9686</v>
      </c>
      <c r="B9694" s="10">
        <f t="shared" ca="1" si="151"/>
        <v>8.5498310921051479E-2</v>
      </c>
      <c r="C9694" s="10">
        <f ca="1">NPV(B9694,Project_FCF!C18:J18)+Project_FCF!B18</f>
        <v>893.06804740661983</v>
      </c>
      <c r="D9694" s="4"/>
      <c r="E9694" s="4"/>
    </row>
    <row r="9695" spans="1:5" x14ac:dyDescent="0.3">
      <c r="A9695" s="9">
        <v>9687</v>
      </c>
      <c r="B9695" s="10">
        <f t="shared" ca="1" si="151"/>
        <v>9.8123941060546643E-2</v>
      </c>
      <c r="C9695" s="10">
        <f ca="1">NPV(B9695,Project_FCF!C18:J18)+Project_FCF!B18</f>
        <v>796.22679410918568</v>
      </c>
      <c r="D9695" s="4"/>
      <c r="E9695" s="4"/>
    </row>
    <row r="9696" spans="1:5" x14ac:dyDescent="0.3">
      <c r="A9696" s="9">
        <v>9688</v>
      </c>
      <c r="B9696" s="10">
        <f t="shared" ca="1" si="151"/>
        <v>8.1721259981728633E-2</v>
      </c>
      <c r="C9696" s="10">
        <f ca="1">NPV(B9696,Project_FCF!C18:J18)+Project_FCF!B18</f>
        <v>923.95885241169481</v>
      </c>
      <c r="D9696" s="4"/>
      <c r="E9696" s="4"/>
    </row>
    <row r="9697" spans="1:5" x14ac:dyDescent="0.3">
      <c r="A9697" s="9">
        <v>9689</v>
      </c>
      <c r="B9697" s="10">
        <f t="shared" ca="1" si="151"/>
        <v>9.7702422314251705E-2</v>
      </c>
      <c r="C9697" s="10">
        <f ca="1">NPV(B9697,Project_FCF!C18:J18)+Project_FCF!B18</f>
        <v>799.30793692490465</v>
      </c>
      <c r="D9697" s="4"/>
      <c r="E9697" s="4"/>
    </row>
    <row r="9698" spans="1:5" x14ac:dyDescent="0.3">
      <c r="A9698" s="9">
        <v>9690</v>
      </c>
      <c r="B9698" s="10">
        <f t="shared" ca="1" si="151"/>
        <v>8.7027413886271471E-2</v>
      </c>
      <c r="C9698" s="10">
        <f ca="1">NPV(B9698,Project_FCF!C18:J18)+Project_FCF!B18</f>
        <v>880.82200935404944</v>
      </c>
      <c r="D9698" s="4"/>
      <c r="E9698" s="4"/>
    </row>
    <row r="9699" spans="1:5" x14ac:dyDescent="0.3">
      <c r="A9699" s="9">
        <v>9691</v>
      </c>
      <c r="B9699" s="10">
        <f t="shared" ca="1" si="151"/>
        <v>9.6288490061458565E-2</v>
      </c>
      <c r="C9699" s="10">
        <f ca="1">NPV(B9699,Project_FCF!C18:J18)+Project_FCF!B18</f>
        <v>809.71748579972632</v>
      </c>
      <c r="D9699" s="4"/>
      <c r="E9699" s="4"/>
    </row>
    <row r="9700" spans="1:5" x14ac:dyDescent="0.3">
      <c r="A9700" s="9">
        <v>9692</v>
      </c>
      <c r="B9700" s="10">
        <f t="shared" ca="1" si="151"/>
        <v>7.5870250508104808E-2</v>
      </c>
      <c r="C9700" s="10">
        <f ca="1">NPV(B9700,Project_FCF!C18:J18)+Project_FCF!B18</f>
        <v>973.67716827069785</v>
      </c>
      <c r="D9700" s="4"/>
      <c r="E9700" s="4"/>
    </row>
    <row r="9701" spans="1:5" x14ac:dyDescent="0.3">
      <c r="A9701" s="9">
        <v>9693</v>
      </c>
      <c r="B9701" s="10">
        <f t="shared" ca="1" si="151"/>
        <v>9.654870648948452E-2</v>
      </c>
      <c r="C9701" s="10">
        <f ca="1">NPV(B9701,Project_FCF!C18:J18)+Project_FCF!B18</f>
        <v>807.79311134380532</v>
      </c>
      <c r="D9701" s="4"/>
      <c r="E9701" s="4"/>
    </row>
    <row r="9702" spans="1:5" x14ac:dyDescent="0.3">
      <c r="A9702" s="9">
        <v>9694</v>
      </c>
      <c r="B9702" s="10">
        <f t="shared" ca="1" si="151"/>
        <v>7.2662195155960715E-2</v>
      </c>
      <c r="C9702" s="10">
        <f ca="1">NPV(B9702,Project_FCF!C18:J18)+Project_FCF!B18</f>
        <v>1001.9376146256079</v>
      </c>
      <c r="D9702" s="4"/>
      <c r="E9702" s="4"/>
    </row>
    <row r="9703" spans="1:5" x14ac:dyDescent="0.3">
      <c r="A9703" s="9">
        <v>9695</v>
      </c>
      <c r="B9703" s="10">
        <f t="shared" ca="1" si="151"/>
        <v>9.2386365334150594E-2</v>
      </c>
      <c r="C9703" s="10">
        <f ca="1">NPV(B9703,Project_FCF!C18:J18)+Project_FCF!B18</f>
        <v>839.04902049060274</v>
      </c>
      <c r="D9703" s="4"/>
      <c r="E9703" s="4"/>
    </row>
    <row r="9704" spans="1:5" x14ac:dyDescent="0.3">
      <c r="A9704" s="9">
        <v>9696</v>
      </c>
      <c r="B9704" s="10">
        <f t="shared" ca="1" si="151"/>
        <v>9.9584862900100407E-2</v>
      </c>
      <c r="C9704" s="10">
        <f ca="1">NPV(B9704,Project_FCF!C18:J18)+Project_FCF!B18</f>
        <v>785.62591337406275</v>
      </c>
      <c r="D9704" s="4"/>
      <c r="E9704" s="4"/>
    </row>
    <row r="9705" spans="1:5" x14ac:dyDescent="0.3">
      <c r="A9705" s="9">
        <v>9697</v>
      </c>
      <c r="B9705" s="10">
        <f t="shared" ca="1" si="151"/>
        <v>8.506109333640155E-2</v>
      </c>
      <c r="C9705" s="10">
        <f ca="1">NPV(B9705,Project_FCF!C18:J18)+Project_FCF!B18</f>
        <v>896.59682019466936</v>
      </c>
      <c r="D9705" s="4"/>
      <c r="E9705" s="4"/>
    </row>
    <row r="9706" spans="1:5" x14ac:dyDescent="0.3">
      <c r="A9706" s="9">
        <v>9698</v>
      </c>
      <c r="B9706" s="10">
        <f t="shared" ca="1" si="151"/>
        <v>7.7898367487165679E-2</v>
      </c>
      <c r="C9706" s="10">
        <f ca="1">NPV(B9706,Project_FCF!C18:J18)+Project_FCF!B18</f>
        <v>956.18079657082285</v>
      </c>
      <c r="D9706" s="4"/>
      <c r="E9706" s="4"/>
    </row>
    <row r="9707" spans="1:5" x14ac:dyDescent="0.3">
      <c r="A9707" s="9">
        <v>9699</v>
      </c>
      <c r="B9707" s="10">
        <f t="shared" ca="1" si="151"/>
        <v>8.0054353230086167E-2</v>
      </c>
      <c r="C9707" s="10">
        <f ca="1">NPV(B9707,Project_FCF!C18:J18)+Project_FCF!B18</f>
        <v>937.88845548013228</v>
      </c>
      <c r="D9707" s="4"/>
      <c r="E9707" s="4"/>
    </row>
    <row r="9708" spans="1:5" x14ac:dyDescent="0.3">
      <c r="A9708" s="9">
        <v>9700</v>
      </c>
      <c r="B9708" s="10">
        <f t="shared" ca="1" si="151"/>
        <v>7.9823254326943288E-2</v>
      </c>
      <c r="C9708" s="10">
        <f ca="1">NPV(B9708,Project_FCF!C18:J18)+Project_FCF!B18</f>
        <v>939.83423512750142</v>
      </c>
      <c r="D9708" s="4"/>
      <c r="E9708" s="4"/>
    </row>
    <row r="9709" spans="1:5" x14ac:dyDescent="0.3">
      <c r="A9709" s="9">
        <v>9701</v>
      </c>
      <c r="B9709" s="10">
        <f t="shared" ca="1" si="151"/>
        <v>7.8787375279070898E-2</v>
      </c>
      <c r="C9709" s="10">
        <f ca="1">NPV(B9709,Project_FCF!C18:J18)+Project_FCF!B18</f>
        <v>948.60004608435838</v>
      </c>
      <c r="D9709" s="4"/>
      <c r="E9709" s="4"/>
    </row>
    <row r="9710" spans="1:5" x14ac:dyDescent="0.3">
      <c r="A9710" s="9">
        <v>9702</v>
      </c>
      <c r="B9710" s="10">
        <f t="shared" ca="1" si="151"/>
        <v>6.7099902299648934E-2</v>
      </c>
      <c r="C9710" s="10">
        <f ca="1">NPV(B9710,Project_FCF!C18:J18)+Project_FCF!B18</f>
        <v>1052.6921950598287</v>
      </c>
      <c r="D9710" s="4"/>
      <c r="E9710" s="4"/>
    </row>
    <row r="9711" spans="1:5" x14ac:dyDescent="0.3">
      <c r="A9711" s="9">
        <v>9703</v>
      </c>
      <c r="B9711" s="10">
        <f t="shared" ca="1" si="151"/>
        <v>9.8400034433934316E-2</v>
      </c>
      <c r="C9711" s="10">
        <f ca="1">NPV(B9711,Project_FCF!C18:J18)+Project_FCF!B18</f>
        <v>794.21413118156215</v>
      </c>
      <c r="D9711" s="4"/>
      <c r="E9711" s="4"/>
    </row>
    <row r="9712" spans="1:5" x14ac:dyDescent="0.3">
      <c r="A9712" s="9">
        <v>9704</v>
      </c>
      <c r="B9712" s="10">
        <f t="shared" ca="1" si="151"/>
        <v>8.1478675589522057E-2</v>
      </c>
      <c r="C9712" s="10">
        <f ca="1">NPV(B9712,Project_FCF!C18:J18)+Project_FCF!B18</f>
        <v>925.97458851369902</v>
      </c>
      <c r="D9712" s="4"/>
      <c r="E9712" s="4"/>
    </row>
    <row r="9713" spans="1:5" x14ac:dyDescent="0.3">
      <c r="A9713" s="9">
        <v>9705</v>
      </c>
      <c r="B9713" s="10">
        <f t="shared" ca="1" si="151"/>
        <v>6.8948495011917313E-2</v>
      </c>
      <c r="C9713" s="10">
        <f ca="1">NPV(B9713,Project_FCF!C18:J18)+Project_FCF!B18</f>
        <v>1035.5720085738676</v>
      </c>
      <c r="D9713" s="4"/>
      <c r="E9713" s="4"/>
    </row>
    <row r="9714" spans="1:5" x14ac:dyDescent="0.3">
      <c r="A9714" s="9">
        <v>9706</v>
      </c>
      <c r="B9714" s="10">
        <f t="shared" ca="1" si="151"/>
        <v>8.9888202635386424E-2</v>
      </c>
      <c r="C9714" s="10">
        <f ca="1">NPV(B9714,Project_FCF!C18:J18)+Project_FCF!B18</f>
        <v>858.30340274581249</v>
      </c>
      <c r="D9714" s="4"/>
      <c r="E9714" s="4"/>
    </row>
    <row r="9715" spans="1:5" x14ac:dyDescent="0.3">
      <c r="A9715" s="9">
        <v>9707</v>
      </c>
      <c r="B9715" s="10">
        <f t="shared" ca="1" si="151"/>
        <v>8.2859192270401602E-2</v>
      </c>
      <c r="C9715" s="10">
        <f ca="1">NPV(B9715,Project_FCF!C18:J18)+Project_FCF!B18</f>
        <v>914.55484416985792</v>
      </c>
      <c r="D9715" s="4"/>
      <c r="E9715" s="4"/>
    </row>
    <row r="9716" spans="1:5" x14ac:dyDescent="0.3">
      <c r="A9716" s="9">
        <v>9708</v>
      </c>
      <c r="B9716" s="10">
        <f t="shared" ca="1" si="151"/>
        <v>9.9543277384071288E-2</v>
      </c>
      <c r="C9716" s="10">
        <f ca="1">NPV(B9716,Project_FCF!C18:J18)+Project_FCF!B18</f>
        <v>785.92600718909921</v>
      </c>
      <c r="D9716" s="4"/>
      <c r="E9716" s="4"/>
    </row>
    <row r="9717" spans="1:5" x14ac:dyDescent="0.3">
      <c r="A9717" s="9">
        <v>9709</v>
      </c>
      <c r="B9717" s="10">
        <f t="shared" ca="1" si="151"/>
        <v>0.10107351890235713</v>
      </c>
      <c r="C9717" s="10">
        <f ca="1">NPV(B9717,Project_FCF!C18:J18)+Project_FCF!B18</f>
        <v>774.94694171678771</v>
      </c>
      <c r="D9717" s="4"/>
      <c r="E9717" s="4"/>
    </row>
    <row r="9718" spans="1:5" x14ac:dyDescent="0.3">
      <c r="A9718" s="9">
        <v>9710</v>
      </c>
      <c r="B9718" s="10">
        <f t="shared" ca="1" si="151"/>
        <v>8.1527843636368502E-2</v>
      </c>
      <c r="C9718" s="10">
        <f ca="1">NPV(B9718,Project_FCF!C18:J18)+Project_FCF!B18</f>
        <v>925.56571713570429</v>
      </c>
      <c r="D9718" s="4"/>
      <c r="E9718" s="4"/>
    </row>
    <row r="9719" spans="1:5" x14ac:dyDescent="0.3">
      <c r="A9719" s="9">
        <v>9711</v>
      </c>
      <c r="B9719" s="10">
        <f t="shared" ca="1" si="151"/>
        <v>9.8154618554975856E-2</v>
      </c>
      <c r="C9719" s="10">
        <f ca="1">NPV(B9719,Project_FCF!C18:J18)+Project_FCF!B18</f>
        <v>796.00294785451661</v>
      </c>
      <c r="D9719" s="4"/>
      <c r="E9719" s="4"/>
    </row>
    <row r="9720" spans="1:5" x14ac:dyDescent="0.3">
      <c r="A9720" s="9">
        <v>9712</v>
      </c>
      <c r="B9720" s="10">
        <f t="shared" ca="1" si="151"/>
        <v>8.6884859192745717E-2</v>
      </c>
      <c r="C9720" s="10">
        <f ca="1">NPV(B9720,Project_FCF!C18:J18)+Project_FCF!B18</f>
        <v>881.95744695230405</v>
      </c>
      <c r="D9720" s="4"/>
      <c r="E9720" s="4"/>
    </row>
    <row r="9721" spans="1:5" x14ac:dyDescent="0.3">
      <c r="A9721" s="9">
        <v>9713</v>
      </c>
      <c r="B9721" s="10">
        <f t="shared" ca="1" si="151"/>
        <v>8.6889464279302539E-2</v>
      </c>
      <c r="C9721" s="10">
        <f ca="1">NPV(B9721,Project_FCF!C18:J18)+Project_FCF!B18</f>
        <v>881.92074783235967</v>
      </c>
      <c r="D9721" s="4"/>
      <c r="E9721" s="4"/>
    </row>
    <row r="9722" spans="1:5" x14ac:dyDescent="0.3">
      <c r="A9722" s="9">
        <v>9714</v>
      </c>
      <c r="B9722" s="10">
        <f t="shared" ca="1" si="151"/>
        <v>7.6384857028711006E-2</v>
      </c>
      <c r="C9722" s="10">
        <f ca="1">NPV(B9722,Project_FCF!C18:J18)+Project_FCF!B18</f>
        <v>969.21089355949675</v>
      </c>
      <c r="D9722" s="4"/>
      <c r="E9722" s="4"/>
    </row>
    <row r="9723" spans="1:5" x14ac:dyDescent="0.3">
      <c r="A9723" s="9">
        <v>9715</v>
      </c>
      <c r="B9723" s="10">
        <f t="shared" ca="1" si="151"/>
        <v>7.3129417500430297E-2</v>
      </c>
      <c r="C9723" s="10">
        <f ca="1">NPV(B9723,Project_FCF!C18:J18)+Project_FCF!B18</f>
        <v>997.77651992152801</v>
      </c>
      <c r="D9723" s="4"/>
      <c r="E9723" s="4"/>
    </row>
    <row r="9724" spans="1:5" x14ac:dyDescent="0.3">
      <c r="A9724" s="9">
        <v>9716</v>
      </c>
      <c r="B9724" s="10">
        <f t="shared" ca="1" si="151"/>
        <v>7.8827182393894274E-2</v>
      </c>
      <c r="C9724" s="10">
        <f ca="1">NPV(B9724,Project_FCF!C18:J18)+Project_FCF!B18</f>
        <v>948.26185514280178</v>
      </c>
      <c r="D9724" s="4"/>
      <c r="E9724" s="4"/>
    </row>
    <row r="9725" spans="1:5" x14ac:dyDescent="0.3">
      <c r="A9725" s="9">
        <v>9717</v>
      </c>
      <c r="B9725" s="10">
        <f t="shared" ca="1" si="151"/>
        <v>9.9417869324248981E-2</v>
      </c>
      <c r="C9725" s="10">
        <f ca="1">NPV(B9725,Project_FCF!C18:J18)+Project_FCF!B18</f>
        <v>786.83157793476516</v>
      </c>
      <c r="D9725" s="4"/>
      <c r="E9725" s="4"/>
    </row>
    <row r="9726" spans="1:5" x14ac:dyDescent="0.3">
      <c r="A9726" s="9">
        <v>9718</v>
      </c>
      <c r="B9726" s="10">
        <f t="shared" ca="1" si="151"/>
        <v>9.9129429009362946E-2</v>
      </c>
      <c r="C9726" s="10">
        <f ca="1">NPV(B9726,Project_FCF!C18:J18)+Project_FCF!B18</f>
        <v>788.91775838739909</v>
      </c>
      <c r="D9726" s="4"/>
      <c r="E9726" s="4"/>
    </row>
    <row r="9727" spans="1:5" x14ac:dyDescent="0.3">
      <c r="A9727" s="9">
        <v>9719</v>
      </c>
      <c r="B9727" s="10">
        <f t="shared" ca="1" si="151"/>
        <v>7.0597743909558142E-2</v>
      </c>
      <c r="C9727" s="10">
        <f ca="1">NPV(B9727,Project_FCF!C18:J18)+Project_FCF!B18</f>
        <v>1020.5112581227661</v>
      </c>
      <c r="D9727" s="4"/>
      <c r="E9727" s="4"/>
    </row>
    <row r="9728" spans="1:5" x14ac:dyDescent="0.3">
      <c r="A9728" s="9">
        <v>9720</v>
      </c>
      <c r="B9728" s="10">
        <f t="shared" ca="1" si="151"/>
        <v>9.8784245011279942E-2</v>
      </c>
      <c r="C9728" s="10">
        <f ca="1">NPV(B9728,Project_FCF!C18:J18)+Project_FCF!B18</f>
        <v>791.4205054125805</v>
      </c>
      <c r="D9728" s="4"/>
      <c r="E9728" s="4"/>
    </row>
    <row r="9729" spans="1:5" x14ac:dyDescent="0.3">
      <c r="A9729" s="9">
        <v>9721</v>
      </c>
      <c r="B9729" s="10">
        <f t="shared" ca="1" si="151"/>
        <v>7.5032449833999426E-2</v>
      </c>
      <c r="C9729" s="10">
        <f ca="1">NPV(B9729,Project_FCF!C18:J18)+Project_FCF!B18</f>
        <v>980.98779368211967</v>
      </c>
      <c r="D9729" s="4"/>
      <c r="E9729" s="4"/>
    </row>
    <row r="9730" spans="1:5" x14ac:dyDescent="0.3">
      <c r="A9730" s="9">
        <v>9722</v>
      </c>
      <c r="B9730" s="10">
        <f t="shared" ca="1" si="151"/>
        <v>6.8579849487876432E-2</v>
      </c>
      <c r="C9730" s="10">
        <f ca="1">NPV(B9730,Project_FCF!C18:J18)+Project_FCF!B18</f>
        <v>1038.9658144933742</v>
      </c>
      <c r="D9730" s="4"/>
      <c r="E9730" s="4"/>
    </row>
    <row r="9731" spans="1:5" x14ac:dyDescent="0.3">
      <c r="A9731" s="9">
        <v>9723</v>
      </c>
      <c r="B9731" s="10">
        <f t="shared" ca="1" si="151"/>
        <v>7.808696419888736E-2</v>
      </c>
      <c r="C9731" s="10">
        <f ca="1">NPV(B9731,Project_FCF!C18:J18)+Project_FCF!B18</f>
        <v>954.56810943215055</v>
      </c>
      <c r="D9731" s="4"/>
      <c r="E9731" s="4"/>
    </row>
    <row r="9732" spans="1:5" x14ac:dyDescent="0.3">
      <c r="A9732" s="9">
        <v>9724</v>
      </c>
      <c r="B9732" s="10">
        <f t="shared" ca="1" si="151"/>
        <v>9.5913722664650203E-2</v>
      </c>
      <c r="C9732" s="10">
        <f ca="1">NPV(B9732,Project_FCF!C18:J18)+Project_FCF!B18</f>
        <v>812.49587270249617</v>
      </c>
      <c r="D9732" s="4"/>
      <c r="E9732" s="4"/>
    </row>
    <row r="9733" spans="1:5" x14ac:dyDescent="0.3">
      <c r="A9733" s="9">
        <v>9725</v>
      </c>
      <c r="B9733" s="10">
        <f t="shared" ca="1" si="151"/>
        <v>8.6720252479283583E-2</v>
      </c>
      <c r="C9733" s="10">
        <f ca="1">NPV(B9733,Project_FCF!C18:J18)+Project_FCF!B18</f>
        <v>883.27011554490446</v>
      </c>
      <c r="D9733" s="4"/>
      <c r="E9733" s="4"/>
    </row>
    <row r="9734" spans="1:5" x14ac:dyDescent="0.3">
      <c r="A9734" s="9">
        <v>9726</v>
      </c>
      <c r="B9734" s="10">
        <f t="shared" ca="1" si="151"/>
        <v>0.10387338618732153</v>
      </c>
      <c r="C9734" s="10">
        <f ca="1">NPV(B9734,Project_FCF!C18:J18)+Project_FCF!B18</f>
        <v>755.19303470772525</v>
      </c>
      <c r="D9734" s="4"/>
      <c r="E9734" s="4"/>
    </row>
    <row r="9735" spans="1:5" x14ac:dyDescent="0.3">
      <c r="A9735" s="9">
        <v>9727</v>
      </c>
      <c r="B9735" s="10">
        <f t="shared" ca="1" si="151"/>
        <v>0.10253405995363865</v>
      </c>
      <c r="C9735" s="10">
        <f ca="1">NPV(B9735,Project_FCF!C18:J18)+Project_FCF!B18</f>
        <v>764.5889078011428</v>
      </c>
      <c r="D9735" s="4"/>
      <c r="E9735" s="4"/>
    </row>
    <row r="9736" spans="1:5" x14ac:dyDescent="0.3">
      <c r="A9736" s="9">
        <v>9728</v>
      </c>
      <c r="B9736" s="10">
        <f t="shared" ca="1" si="151"/>
        <v>8.9054010153278504E-2</v>
      </c>
      <c r="C9736" s="10">
        <f ca="1">NPV(B9736,Project_FCF!C18:J18)+Project_FCF!B18</f>
        <v>864.81745453615508</v>
      </c>
      <c r="D9736" s="4"/>
      <c r="E9736" s="4"/>
    </row>
    <row r="9737" spans="1:5" x14ac:dyDescent="0.3">
      <c r="A9737" s="9">
        <v>9729</v>
      </c>
      <c r="B9737" s="10">
        <f t="shared" ref="B9737:B9800" ca="1" si="152">$B$4+RAND()*($B$5-$B$4)</f>
        <v>9.4168448321227394E-2</v>
      </c>
      <c r="C9737" s="10">
        <f ca="1">NPV(B9737,Project_FCF!C18:J18)+Project_FCF!B18</f>
        <v>825.54235090904444</v>
      </c>
      <c r="D9737" s="4"/>
      <c r="E9737" s="4"/>
    </row>
    <row r="9738" spans="1:5" x14ac:dyDescent="0.3">
      <c r="A9738" s="9">
        <v>9730</v>
      </c>
      <c r="B9738" s="10">
        <f t="shared" ca="1" si="152"/>
        <v>9.8067928878602439E-2</v>
      </c>
      <c r="C9738" s="10">
        <f ca="1">NPV(B9738,Project_FCF!C18:J18)+Project_FCF!B18</f>
        <v>796.63563943564327</v>
      </c>
      <c r="D9738" s="4"/>
      <c r="E9738" s="4"/>
    </row>
    <row r="9739" spans="1:5" x14ac:dyDescent="0.3">
      <c r="A9739" s="9">
        <v>9731</v>
      </c>
      <c r="B9739" s="10">
        <f t="shared" ca="1" si="152"/>
        <v>8.5629579876228462E-2</v>
      </c>
      <c r="C9739" s="10">
        <f ca="1">NPV(B9739,Project_FCF!C18:J18)+Project_FCF!B18</f>
        <v>892.01095435546836</v>
      </c>
      <c r="D9739" s="4"/>
      <c r="E9739" s="4"/>
    </row>
    <row r="9740" spans="1:5" x14ac:dyDescent="0.3">
      <c r="A9740" s="9">
        <v>9732</v>
      </c>
      <c r="B9740" s="10">
        <f t="shared" ca="1" si="152"/>
        <v>6.9863076145918884E-2</v>
      </c>
      <c r="C9740" s="10">
        <f ca="1">NPV(B9740,Project_FCF!C18:J18)+Project_FCF!B18</f>
        <v>1027.1955270420465</v>
      </c>
      <c r="D9740" s="4"/>
      <c r="E9740" s="4"/>
    </row>
    <row r="9741" spans="1:5" x14ac:dyDescent="0.3">
      <c r="A9741" s="9">
        <v>9733</v>
      </c>
      <c r="B9741" s="10">
        <f t="shared" ca="1" si="152"/>
        <v>9.8899900905964858E-2</v>
      </c>
      <c r="C9741" s="10">
        <f ca="1">NPV(B9741,Project_FCF!C18:J18)+Project_FCF!B18</f>
        <v>790.58119664809146</v>
      </c>
      <c r="D9741" s="4"/>
      <c r="E9741" s="4"/>
    </row>
    <row r="9742" spans="1:5" x14ac:dyDescent="0.3">
      <c r="A9742" s="9">
        <v>9734</v>
      </c>
      <c r="B9742" s="10">
        <f t="shared" ca="1" si="152"/>
        <v>0.10320159270990431</v>
      </c>
      <c r="C9742" s="10">
        <f ca="1">NPV(B9742,Project_FCF!C18:J18)+Project_FCF!B18</f>
        <v>759.89373364493645</v>
      </c>
      <c r="D9742" s="4"/>
      <c r="E9742" s="4"/>
    </row>
    <row r="9743" spans="1:5" x14ac:dyDescent="0.3">
      <c r="A9743" s="9">
        <v>9735</v>
      </c>
      <c r="B9743" s="10">
        <f t="shared" ca="1" si="152"/>
        <v>9.9916646553843358E-2</v>
      </c>
      <c r="C9743" s="10">
        <f ca="1">NPV(B9743,Project_FCF!C18:J18)+Project_FCF!B18</f>
        <v>783.23513273875983</v>
      </c>
      <c r="D9743" s="4"/>
      <c r="E9743" s="4"/>
    </row>
    <row r="9744" spans="1:5" x14ac:dyDescent="0.3">
      <c r="A9744" s="9">
        <v>9736</v>
      </c>
      <c r="B9744" s="10">
        <f t="shared" ca="1" si="152"/>
        <v>9.5977017666617745E-2</v>
      </c>
      <c r="C9744" s="10">
        <f ca="1">NPV(B9744,Project_FCF!C18:J18)+Project_FCF!B18</f>
        <v>812.0260564013638</v>
      </c>
      <c r="D9744" s="4"/>
      <c r="E9744" s="4"/>
    </row>
    <row r="9745" spans="1:5" x14ac:dyDescent="0.3">
      <c r="A9745" s="9">
        <v>9737</v>
      </c>
      <c r="B9745" s="10">
        <f t="shared" ca="1" si="152"/>
        <v>9.055504772239055E-2</v>
      </c>
      <c r="C9745" s="10">
        <f ca="1">NPV(B9745,Project_FCF!C18:J18)+Project_FCF!B18</f>
        <v>853.12675768909753</v>
      </c>
      <c r="D9745" s="4"/>
      <c r="E9745" s="4"/>
    </row>
    <row r="9746" spans="1:5" x14ac:dyDescent="0.3">
      <c r="A9746" s="9">
        <v>9738</v>
      </c>
      <c r="B9746" s="10">
        <f t="shared" ca="1" si="152"/>
        <v>6.6025971414749501E-2</v>
      </c>
      <c r="C9746" s="10">
        <f ca="1">NPV(B9746,Project_FCF!C18:J18)+Project_FCF!B18</f>
        <v>1062.7557437396865</v>
      </c>
      <c r="D9746" s="4"/>
      <c r="E9746" s="4"/>
    </row>
    <row r="9747" spans="1:5" x14ac:dyDescent="0.3">
      <c r="A9747" s="9">
        <v>9739</v>
      </c>
      <c r="B9747" s="10">
        <f t="shared" ca="1" si="152"/>
        <v>9.5211269974687762E-2</v>
      </c>
      <c r="C9747" s="10">
        <f ca="1">NPV(B9747,Project_FCF!C18:J18)+Project_FCF!B18</f>
        <v>817.72554650497364</v>
      </c>
      <c r="D9747" s="4"/>
      <c r="E9747" s="4"/>
    </row>
    <row r="9748" spans="1:5" x14ac:dyDescent="0.3">
      <c r="A9748" s="9">
        <v>9740</v>
      </c>
      <c r="B9748" s="10">
        <f t="shared" ca="1" si="152"/>
        <v>6.6683224359191134E-2</v>
      </c>
      <c r="C9748" s="10">
        <f ca="1">NPV(B9748,Project_FCF!C18:J18)+Project_FCF!B18</f>
        <v>1056.5864464203253</v>
      </c>
      <c r="D9748" s="4"/>
      <c r="E9748" s="4"/>
    </row>
    <row r="9749" spans="1:5" x14ac:dyDescent="0.3">
      <c r="A9749" s="9">
        <v>9741</v>
      </c>
      <c r="B9749" s="10">
        <f t="shared" ca="1" si="152"/>
        <v>8.2473005350417294E-2</v>
      </c>
      <c r="C9749" s="10">
        <f ca="1">NPV(B9749,Project_FCF!C18:J18)+Project_FCF!B18</f>
        <v>917.73684050493512</v>
      </c>
      <c r="D9749" s="4"/>
      <c r="E9749" s="4"/>
    </row>
    <row r="9750" spans="1:5" x14ac:dyDescent="0.3">
      <c r="A9750" s="9">
        <v>9742</v>
      </c>
      <c r="B9750" s="10">
        <f t="shared" ca="1" si="152"/>
        <v>8.2684461162913336E-2</v>
      </c>
      <c r="C9750" s="10">
        <f ca="1">NPV(B9750,Project_FCF!C18:J18)+Project_FCF!B18</f>
        <v>915.99333993312757</v>
      </c>
      <c r="D9750" s="4"/>
      <c r="E9750" s="4"/>
    </row>
    <row r="9751" spans="1:5" x14ac:dyDescent="0.3">
      <c r="A9751" s="9">
        <v>9743</v>
      </c>
      <c r="B9751" s="10">
        <f t="shared" ca="1" si="152"/>
        <v>7.4286421813864079E-2</v>
      </c>
      <c r="C9751" s="10">
        <f ca="1">NPV(B9751,Project_FCF!C18:J18)+Project_FCF!B18</f>
        <v>987.53890571551915</v>
      </c>
      <c r="D9751" s="4"/>
      <c r="E9751" s="4"/>
    </row>
    <row r="9752" spans="1:5" x14ac:dyDescent="0.3">
      <c r="A9752" s="9">
        <v>9744</v>
      </c>
      <c r="B9752" s="10">
        <f t="shared" ca="1" si="152"/>
        <v>8.7031691375770159E-2</v>
      </c>
      <c r="C9752" s="10">
        <f ca="1">NPV(B9752,Project_FCF!C18:J18)+Project_FCF!B18</f>
        <v>880.78795917784851</v>
      </c>
      <c r="D9752" s="4"/>
      <c r="E9752" s="4"/>
    </row>
    <row r="9753" spans="1:5" x14ac:dyDescent="0.3">
      <c r="A9753" s="9">
        <v>9745</v>
      </c>
      <c r="B9753" s="10">
        <f t="shared" ca="1" si="152"/>
        <v>9.3331928671299608E-2</v>
      </c>
      <c r="C9753" s="10">
        <f ca="1">NPV(B9753,Project_FCF!C18:J18)+Project_FCF!B18</f>
        <v>831.85899459390339</v>
      </c>
      <c r="D9753" s="4"/>
      <c r="E9753" s="4"/>
    </row>
    <row r="9754" spans="1:5" x14ac:dyDescent="0.3">
      <c r="A9754" s="9">
        <v>9746</v>
      </c>
      <c r="B9754" s="10">
        <f t="shared" ca="1" si="152"/>
        <v>9.5269065532002137E-2</v>
      </c>
      <c r="C9754" s="10">
        <f ca="1">NPV(B9754,Project_FCF!C18:J18)+Project_FCF!B18</f>
        <v>817.294181683646</v>
      </c>
      <c r="D9754" s="4"/>
      <c r="E9754" s="4"/>
    </row>
    <row r="9755" spans="1:5" x14ac:dyDescent="0.3">
      <c r="A9755" s="9">
        <v>9747</v>
      </c>
      <c r="B9755" s="10">
        <f t="shared" ca="1" si="152"/>
        <v>8.7553819191843463E-2</v>
      </c>
      <c r="C9755" s="10">
        <f ca="1">NPV(B9755,Project_FCF!C18:J18)+Project_FCF!B18</f>
        <v>876.64026450825691</v>
      </c>
      <c r="D9755" s="4"/>
      <c r="E9755" s="4"/>
    </row>
    <row r="9756" spans="1:5" x14ac:dyDescent="0.3">
      <c r="A9756" s="9">
        <v>9748</v>
      </c>
      <c r="B9756" s="10">
        <f t="shared" ca="1" si="152"/>
        <v>7.2237315070916713E-2</v>
      </c>
      <c r="C9756" s="10">
        <f ca="1">NPV(B9756,Project_FCF!C18:J18)+Project_FCF!B18</f>
        <v>1005.7351444216347</v>
      </c>
      <c r="D9756" s="4"/>
      <c r="E9756" s="4"/>
    </row>
    <row r="9757" spans="1:5" x14ac:dyDescent="0.3">
      <c r="A9757" s="9">
        <v>9749</v>
      </c>
      <c r="B9757" s="10">
        <f t="shared" ca="1" si="152"/>
        <v>7.1209138187150689E-2</v>
      </c>
      <c r="C9757" s="10">
        <f ca="1">NPV(B9757,Project_FCF!C18:J18)+Project_FCF!B18</f>
        <v>1014.9785387369025</v>
      </c>
      <c r="D9757" s="4"/>
      <c r="E9757" s="4"/>
    </row>
    <row r="9758" spans="1:5" x14ac:dyDescent="0.3">
      <c r="A9758" s="9">
        <v>9750</v>
      </c>
      <c r="B9758" s="10">
        <f t="shared" ca="1" si="152"/>
        <v>8.8679299132388908E-2</v>
      </c>
      <c r="C9758" s="10">
        <f ca="1">NPV(B9758,Project_FCF!C18:J18)+Project_FCF!B18</f>
        <v>867.75743830826127</v>
      </c>
      <c r="D9758" s="4"/>
      <c r="E9758" s="4"/>
    </row>
    <row r="9759" spans="1:5" x14ac:dyDescent="0.3">
      <c r="A9759" s="9">
        <v>9751</v>
      </c>
      <c r="B9759" s="10">
        <f t="shared" ca="1" si="152"/>
        <v>8.9036951034870637E-2</v>
      </c>
      <c r="C9759" s="10">
        <f ca="1">NPV(B9759,Project_FCF!C18:J18)+Project_FCF!B18</f>
        <v>864.95111225043479</v>
      </c>
      <c r="D9759" s="4"/>
      <c r="E9759" s="4"/>
    </row>
    <row r="9760" spans="1:5" x14ac:dyDescent="0.3">
      <c r="A9760" s="9">
        <v>9752</v>
      </c>
      <c r="B9760" s="10">
        <f t="shared" ca="1" si="152"/>
        <v>9.2009995627493693E-2</v>
      </c>
      <c r="C9760" s="10">
        <f ca="1">NPV(B9760,Project_FCF!C18:J18)+Project_FCF!B18</f>
        <v>841.92577348639384</v>
      </c>
      <c r="D9760" s="4"/>
      <c r="E9760" s="4"/>
    </row>
    <row r="9761" spans="1:5" x14ac:dyDescent="0.3">
      <c r="A9761" s="9">
        <v>9753</v>
      </c>
      <c r="B9761" s="10">
        <f t="shared" ca="1" si="152"/>
        <v>9.3248346600026066E-2</v>
      </c>
      <c r="C9761" s="10">
        <f ca="1">NPV(B9761,Project_FCF!C18:J18)+Project_FCF!B18</f>
        <v>832.49240646357339</v>
      </c>
      <c r="D9761" s="4"/>
      <c r="E9761" s="4"/>
    </row>
    <row r="9762" spans="1:5" x14ac:dyDescent="0.3">
      <c r="A9762" s="9">
        <v>9754</v>
      </c>
      <c r="B9762" s="10">
        <f t="shared" ca="1" si="152"/>
        <v>9.6273150794394899E-2</v>
      </c>
      <c r="C9762" s="10">
        <f ca="1">NPV(B9762,Project_FCF!C18:J18)+Project_FCF!B18</f>
        <v>809.83104603153652</v>
      </c>
      <c r="D9762" s="4"/>
      <c r="E9762" s="4"/>
    </row>
    <row r="9763" spans="1:5" x14ac:dyDescent="0.3">
      <c r="A9763" s="9">
        <v>9755</v>
      </c>
      <c r="B9763" s="10">
        <f t="shared" ca="1" si="152"/>
        <v>7.480609166739062E-2</v>
      </c>
      <c r="C9763" s="10">
        <f ca="1">NPV(B9763,Project_FCF!C18:J18)+Project_FCF!B18</f>
        <v>982.97139349410986</v>
      </c>
      <c r="D9763" s="4"/>
      <c r="E9763" s="4"/>
    </row>
    <row r="9764" spans="1:5" x14ac:dyDescent="0.3">
      <c r="A9764" s="9">
        <v>9756</v>
      </c>
      <c r="B9764" s="10">
        <f t="shared" ca="1" si="152"/>
        <v>7.6788310677221E-2</v>
      </c>
      <c r="C9764" s="10">
        <f ca="1">NPV(B9764,Project_FCF!C18:J18)+Project_FCF!B18</f>
        <v>965.72210970411243</v>
      </c>
      <c r="D9764" s="4"/>
      <c r="E9764" s="4"/>
    </row>
    <row r="9765" spans="1:5" x14ac:dyDescent="0.3">
      <c r="A9765" s="9">
        <v>9757</v>
      </c>
      <c r="B9765" s="10">
        <f t="shared" ca="1" si="152"/>
        <v>7.6412276857471373E-2</v>
      </c>
      <c r="C9765" s="10">
        <f ca="1">NPV(B9765,Project_FCF!C18:J18)+Project_FCF!B18</f>
        <v>968.97343056526552</v>
      </c>
      <c r="D9765" s="4"/>
      <c r="E9765" s="4"/>
    </row>
    <row r="9766" spans="1:5" x14ac:dyDescent="0.3">
      <c r="A9766" s="9">
        <v>9758</v>
      </c>
      <c r="B9766" s="10">
        <f t="shared" ca="1" si="152"/>
        <v>7.4628900755255606E-2</v>
      </c>
      <c r="C9766" s="10">
        <f ca="1">NPV(B9766,Project_FCF!C18:J18)+Project_FCF!B18</f>
        <v>984.52663993323699</v>
      </c>
      <c r="D9766" s="4"/>
      <c r="E9766" s="4"/>
    </row>
    <row r="9767" spans="1:5" x14ac:dyDescent="0.3">
      <c r="A9767" s="9">
        <v>9759</v>
      </c>
      <c r="B9767" s="10">
        <f t="shared" ca="1" si="152"/>
        <v>7.2867418506467843E-2</v>
      </c>
      <c r="C9767" s="10">
        <f ca="1">NPV(B9767,Project_FCF!C18:J18)+Project_FCF!B18</f>
        <v>1000.1079734335058</v>
      </c>
      <c r="D9767" s="4"/>
      <c r="E9767" s="4"/>
    </row>
    <row r="9768" spans="1:5" x14ac:dyDescent="0.3">
      <c r="A9768" s="9">
        <v>9760</v>
      </c>
      <c r="B9768" s="10">
        <f t="shared" ca="1" si="152"/>
        <v>6.5135658890253009E-2</v>
      </c>
      <c r="C9768" s="10">
        <f ca="1">NPV(B9768,Project_FCF!C18:J18)+Project_FCF!B18</f>
        <v>1071.164974249695</v>
      </c>
      <c r="D9768" s="4"/>
      <c r="E9768" s="4"/>
    </row>
    <row r="9769" spans="1:5" x14ac:dyDescent="0.3">
      <c r="A9769" s="9">
        <v>9761</v>
      </c>
      <c r="B9769" s="10">
        <f t="shared" ca="1" si="152"/>
        <v>0.10245269592370515</v>
      </c>
      <c r="C9769" s="10">
        <f ca="1">NPV(B9769,Project_FCF!C18:J18)+Project_FCF!B18</f>
        <v>765.16285406775205</v>
      </c>
      <c r="D9769" s="4"/>
      <c r="E9769" s="4"/>
    </row>
    <row r="9770" spans="1:5" x14ac:dyDescent="0.3">
      <c r="A9770" s="9">
        <v>9762</v>
      </c>
      <c r="B9770" s="10">
        <f t="shared" ca="1" si="152"/>
        <v>7.105459694455514E-2</v>
      </c>
      <c r="C9770" s="10">
        <f ca="1">NPV(B9770,Project_FCF!C18:J18)+Project_FCF!B18</f>
        <v>1016.3744749148025</v>
      </c>
      <c r="D9770" s="4"/>
      <c r="E9770" s="4"/>
    </row>
    <row r="9771" spans="1:5" x14ac:dyDescent="0.3">
      <c r="A9771" s="9">
        <v>9763</v>
      </c>
      <c r="B9771" s="10">
        <f t="shared" ca="1" si="152"/>
        <v>6.7684843202550346E-2</v>
      </c>
      <c r="C9771" s="10">
        <f ca="1">NPV(B9771,Project_FCF!C18:J18)+Project_FCF!B18</f>
        <v>1047.2473706218204</v>
      </c>
      <c r="D9771" s="4"/>
      <c r="E9771" s="4"/>
    </row>
    <row r="9772" spans="1:5" x14ac:dyDescent="0.3">
      <c r="A9772" s="9">
        <v>9764</v>
      </c>
      <c r="B9772" s="10">
        <f t="shared" ca="1" si="152"/>
        <v>8.1983515413234911E-2</v>
      </c>
      <c r="C9772" s="10">
        <f ca="1">NPV(B9772,Project_FCF!C18:J18)+Project_FCF!B18</f>
        <v>921.78401748088118</v>
      </c>
      <c r="D9772" s="4"/>
      <c r="E9772" s="4"/>
    </row>
    <row r="9773" spans="1:5" x14ac:dyDescent="0.3">
      <c r="A9773" s="9">
        <v>9765</v>
      </c>
      <c r="B9773" s="10">
        <f t="shared" ca="1" si="152"/>
        <v>7.5401899343087983E-2</v>
      </c>
      <c r="C9773" s="10">
        <f ca="1">NPV(B9773,Project_FCF!C18:J18)+Project_FCF!B18</f>
        <v>977.75796102640516</v>
      </c>
      <c r="D9773" s="4"/>
      <c r="E9773" s="4"/>
    </row>
    <row r="9774" spans="1:5" x14ac:dyDescent="0.3">
      <c r="A9774" s="9">
        <v>9766</v>
      </c>
      <c r="B9774" s="10">
        <f t="shared" ca="1" si="152"/>
        <v>8.936691560934909E-2</v>
      </c>
      <c r="C9774" s="10">
        <f ca="1">NPV(B9774,Project_FCF!C18:J18)+Project_FCF!B18</f>
        <v>862.36902698741028</v>
      </c>
      <c r="D9774" s="4"/>
      <c r="E9774" s="4"/>
    </row>
    <row r="9775" spans="1:5" x14ac:dyDescent="0.3">
      <c r="A9775" s="9">
        <v>9767</v>
      </c>
      <c r="B9775" s="10">
        <f t="shared" ca="1" si="152"/>
        <v>7.6471043988812548E-2</v>
      </c>
      <c r="C9775" s="10">
        <f ca="1">NPV(B9775,Project_FCF!C18:J18)+Project_FCF!B18</f>
        <v>968.46466644443262</v>
      </c>
      <c r="D9775" s="4"/>
      <c r="E9775" s="4"/>
    </row>
    <row r="9776" spans="1:5" x14ac:dyDescent="0.3">
      <c r="A9776" s="9">
        <v>9768</v>
      </c>
      <c r="B9776" s="10">
        <f t="shared" ca="1" si="152"/>
        <v>7.4515566827926857E-2</v>
      </c>
      <c r="C9776" s="10">
        <f ca="1">NPV(B9776,Project_FCF!C18:J18)+Project_FCF!B18</f>
        <v>985.52255352991824</v>
      </c>
      <c r="D9776" s="4"/>
      <c r="E9776" s="4"/>
    </row>
    <row r="9777" spans="1:5" x14ac:dyDescent="0.3">
      <c r="A9777" s="9">
        <v>9769</v>
      </c>
      <c r="B9777" s="10">
        <f t="shared" ca="1" si="152"/>
        <v>7.1296184627023917E-2</v>
      </c>
      <c r="C9777" s="10">
        <f ca="1">NPV(B9777,Project_FCF!C18:J18)+Project_FCF!B18</f>
        <v>1014.1930291503791</v>
      </c>
      <c r="D9777" s="4"/>
      <c r="E9777" s="4"/>
    </row>
    <row r="9778" spans="1:5" x14ac:dyDescent="0.3">
      <c r="A9778" s="9">
        <v>9770</v>
      </c>
      <c r="B9778" s="10">
        <f t="shared" ca="1" si="152"/>
        <v>6.87328267775036E-2</v>
      </c>
      <c r="C9778" s="10">
        <f ca="1">NPV(B9778,Project_FCF!C18:J18)+Project_FCF!B18</f>
        <v>1037.5562615186391</v>
      </c>
      <c r="D9778" s="4"/>
      <c r="E9778" s="4"/>
    </row>
    <row r="9779" spans="1:5" x14ac:dyDescent="0.3">
      <c r="A9779" s="9">
        <v>9771</v>
      </c>
      <c r="B9779" s="10">
        <f t="shared" ca="1" si="152"/>
        <v>6.9758922256256697E-2</v>
      </c>
      <c r="C9779" s="10">
        <f ca="1">NPV(B9779,Project_FCF!C18:J18)+Project_FCF!B18</f>
        <v>1028.1463511687273</v>
      </c>
      <c r="D9779" s="4"/>
      <c r="E9779" s="4"/>
    </row>
    <row r="9780" spans="1:5" x14ac:dyDescent="0.3">
      <c r="A9780" s="9">
        <v>9772</v>
      </c>
      <c r="B9780" s="10">
        <f t="shared" ca="1" si="152"/>
        <v>6.8781183127863285E-2</v>
      </c>
      <c r="C9780" s="10">
        <f ca="1">NPV(B9780,Project_FCF!C18:J18)+Project_FCF!B18</f>
        <v>1037.1110602407812</v>
      </c>
      <c r="D9780" s="4"/>
      <c r="E9780" s="4"/>
    </row>
    <row r="9781" spans="1:5" x14ac:dyDescent="0.3">
      <c r="A9781" s="9">
        <v>9773</v>
      </c>
      <c r="B9781" s="10">
        <f t="shared" ca="1" si="152"/>
        <v>7.9548323329934514E-2</v>
      </c>
      <c r="C9781" s="10">
        <f ca="1">NPV(B9781,Project_FCF!C18:J18)+Project_FCF!B18</f>
        <v>942.15372454520821</v>
      </c>
      <c r="D9781" s="4"/>
      <c r="E9781" s="4"/>
    </row>
    <row r="9782" spans="1:5" x14ac:dyDescent="0.3">
      <c r="A9782" s="9">
        <v>9774</v>
      </c>
      <c r="B9782" s="10">
        <f t="shared" ca="1" si="152"/>
        <v>8.6004180662878682E-2</v>
      </c>
      <c r="C9782" s="10">
        <f ca="1">NPV(B9782,Project_FCF!C18:J18)+Project_FCF!B18</f>
        <v>889.0003549014275</v>
      </c>
      <c r="D9782" s="4"/>
      <c r="E9782" s="4"/>
    </row>
    <row r="9783" spans="1:5" x14ac:dyDescent="0.3">
      <c r="A9783" s="9">
        <v>9775</v>
      </c>
      <c r="B9783" s="10">
        <f t="shared" ca="1" si="152"/>
        <v>7.0235475999952016E-2</v>
      </c>
      <c r="C9783" s="10">
        <f ca="1">NPV(B9783,Project_FCF!C18:J18)+Project_FCF!B18</f>
        <v>1023.802374171044</v>
      </c>
      <c r="D9783" s="4"/>
      <c r="E9783" s="4"/>
    </row>
    <row r="9784" spans="1:5" x14ac:dyDescent="0.3">
      <c r="A9784" s="9">
        <v>9776</v>
      </c>
      <c r="B9784" s="10">
        <f t="shared" ca="1" si="152"/>
        <v>8.5240468284281223E-2</v>
      </c>
      <c r="C9784" s="10">
        <f ca="1">NPV(B9784,Project_FCF!C18:J18)+Project_FCF!B18</f>
        <v>895.14761518825549</v>
      </c>
      <c r="D9784" s="4"/>
      <c r="E9784" s="4"/>
    </row>
    <row r="9785" spans="1:5" x14ac:dyDescent="0.3">
      <c r="A9785" s="9">
        <v>9777</v>
      </c>
      <c r="B9785" s="10">
        <f t="shared" ca="1" si="152"/>
        <v>8.988482190977462E-2</v>
      </c>
      <c r="C9785" s="10">
        <f ca="1">NPV(B9785,Project_FCF!C18:J18)+Project_FCF!B18</f>
        <v>858.3297160946388</v>
      </c>
      <c r="D9785" s="4"/>
      <c r="E9785" s="4"/>
    </row>
    <row r="9786" spans="1:5" x14ac:dyDescent="0.3">
      <c r="A9786" s="9">
        <v>9778</v>
      </c>
      <c r="B9786" s="10">
        <f t="shared" ca="1" si="152"/>
        <v>9.0180500337709815E-2</v>
      </c>
      <c r="C9786" s="10">
        <f ca="1">NPV(B9786,Project_FCF!C18:J18)+Project_FCF!B18</f>
        <v>856.03098975670355</v>
      </c>
      <c r="D9786" s="4"/>
      <c r="E9786" s="4"/>
    </row>
    <row r="9787" spans="1:5" x14ac:dyDescent="0.3">
      <c r="A9787" s="9">
        <v>9779</v>
      </c>
      <c r="B9787" s="10">
        <f t="shared" ca="1" si="152"/>
        <v>9.3790708145766094E-2</v>
      </c>
      <c r="C9787" s="10">
        <f ca="1">NPV(B9787,Project_FCF!C18:J18)+Project_FCF!B18</f>
        <v>828.3895858491876</v>
      </c>
      <c r="D9787" s="4"/>
      <c r="E9787" s="4"/>
    </row>
    <row r="9788" spans="1:5" x14ac:dyDescent="0.3">
      <c r="A9788" s="9">
        <v>9780</v>
      </c>
      <c r="B9788" s="10">
        <f t="shared" ca="1" si="152"/>
        <v>9.9728151952602165E-2</v>
      </c>
      <c r="C9788" s="10">
        <f ca="1">NPV(B9788,Project_FCF!C18:J18)+Project_FCF!B18</f>
        <v>784.59263853633206</v>
      </c>
      <c r="D9788" s="4"/>
      <c r="E9788" s="4"/>
    </row>
    <row r="9789" spans="1:5" x14ac:dyDescent="0.3">
      <c r="A9789" s="9">
        <v>9781</v>
      </c>
      <c r="B9789" s="10">
        <f t="shared" ca="1" si="152"/>
        <v>8.329728481606187E-2</v>
      </c>
      <c r="C9789" s="10">
        <f ca="1">NPV(B9789,Project_FCF!C18:J18)+Project_FCF!B18</f>
        <v>910.95692918063583</v>
      </c>
      <c r="D9789" s="4"/>
      <c r="E9789" s="4"/>
    </row>
    <row r="9790" spans="1:5" x14ac:dyDescent="0.3">
      <c r="A9790" s="9">
        <v>9782</v>
      </c>
      <c r="B9790" s="10">
        <f t="shared" ca="1" si="152"/>
        <v>7.8771211871586755E-2</v>
      </c>
      <c r="C9790" s="10">
        <f ca="1">NPV(B9790,Project_FCF!C18:J18)+Project_FCF!B18</f>
        <v>948.73739677390336</v>
      </c>
      <c r="D9790" s="4"/>
      <c r="E9790" s="4"/>
    </row>
    <row r="9791" spans="1:5" x14ac:dyDescent="0.3">
      <c r="A9791" s="9">
        <v>9783</v>
      </c>
      <c r="B9791" s="10">
        <f t="shared" ca="1" si="152"/>
        <v>7.1307086033784675E-2</v>
      </c>
      <c r="C9791" s="10">
        <f ca="1">NPV(B9791,Project_FCF!C18:J18)+Project_FCF!B18</f>
        <v>1014.0946931648432</v>
      </c>
      <c r="D9791" s="4"/>
      <c r="E9791" s="4"/>
    </row>
    <row r="9792" spans="1:5" x14ac:dyDescent="0.3">
      <c r="A9792" s="9">
        <v>9784</v>
      </c>
      <c r="B9792" s="10">
        <f t="shared" ca="1" si="152"/>
        <v>8.6447347111681352E-2</v>
      </c>
      <c r="C9792" s="10">
        <f ca="1">NPV(B9792,Project_FCF!C18:J18)+Project_FCF!B18</f>
        <v>885.4501771310679</v>
      </c>
      <c r="D9792" s="4"/>
      <c r="E9792" s="4"/>
    </row>
    <row r="9793" spans="1:5" x14ac:dyDescent="0.3">
      <c r="A9793" s="9">
        <v>9785</v>
      </c>
      <c r="B9793" s="10">
        <f t="shared" ca="1" si="152"/>
        <v>7.1976503588428303E-2</v>
      </c>
      <c r="C9793" s="10">
        <f ca="1">NPV(B9793,Project_FCF!C18:J18)+Project_FCF!B18</f>
        <v>1008.0726568164041</v>
      </c>
      <c r="D9793" s="4"/>
      <c r="E9793" s="4"/>
    </row>
    <row r="9794" spans="1:5" x14ac:dyDescent="0.3">
      <c r="A9794" s="9">
        <v>9786</v>
      </c>
      <c r="B9794" s="10">
        <f t="shared" ca="1" si="152"/>
        <v>0.10204688195586194</v>
      </c>
      <c r="C9794" s="10">
        <f ca="1">NPV(B9794,Project_FCF!C18:J18)+Project_FCF!B18</f>
        <v>768.03089960017132</v>
      </c>
      <c r="D9794" s="4"/>
      <c r="E9794" s="4"/>
    </row>
    <row r="9795" spans="1:5" x14ac:dyDescent="0.3">
      <c r="A9795" s="9">
        <v>9787</v>
      </c>
      <c r="B9795" s="10">
        <f t="shared" ca="1" si="152"/>
        <v>9.7617862865284094E-2</v>
      </c>
      <c r="C9795" s="10">
        <f ca="1">NPV(B9795,Project_FCF!C18:J18)+Project_FCF!B18</f>
        <v>799.92725389790667</v>
      </c>
      <c r="D9795" s="4"/>
      <c r="E9795" s="4"/>
    </row>
    <row r="9796" spans="1:5" x14ac:dyDescent="0.3">
      <c r="A9796" s="9">
        <v>9788</v>
      </c>
      <c r="B9796" s="10">
        <f t="shared" ca="1" si="152"/>
        <v>9.088387063710146E-2</v>
      </c>
      <c r="C9796" s="10">
        <f ca="1">NPV(B9796,Project_FCF!C18:J18)+Project_FCF!B18</f>
        <v>850.58410322763666</v>
      </c>
      <c r="D9796" s="4"/>
      <c r="E9796" s="4"/>
    </row>
    <row r="9797" spans="1:5" x14ac:dyDescent="0.3">
      <c r="A9797" s="9">
        <v>9789</v>
      </c>
      <c r="B9797" s="10">
        <f t="shared" ca="1" si="152"/>
        <v>8.4187704507073871E-2</v>
      </c>
      <c r="C9797" s="10">
        <f ca="1">NPV(B9797,Project_FCF!C18:J18)+Project_FCF!B18</f>
        <v>903.68251767389393</v>
      </c>
      <c r="D9797" s="4"/>
      <c r="E9797" s="4"/>
    </row>
    <row r="9798" spans="1:5" x14ac:dyDescent="0.3">
      <c r="A9798" s="9">
        <v>9790</v>
      </c>
      <c r="B9798" s="10">
        <f t="shared" ca="1" si="152"/>
        <v>7.3497206062623235E-2</v>
      </c>
      <c r="C9798" s="10">
        <f ca="1">NPV(B9798,Project_FCF!C18:J18)+Project_FCF!B18</f>
        <v>994.51191094197361</v>
      </c>
      <c r="D9798" s="4"/>
      <c r="E9798" s="4"/>
    </row>
    <row r="9799" spans="1:5" x14ac:dyDescent="0.3">
      <c r="A9799" s="9">
        <v>9791</v>
      </c>
      <c r="B9799" s="10">
        <f t="shared" ca="1" si="152"/>
        <v>6.4772624591654851E-2</v>
      </c>
      <c r="C9799" s="10">
        <f ca="1">NPV(B9799,Project_FCF!C18:J18)+Project_FCF!B18</f>
        <v>1074.6113063015457</v>
      </c>
      <c r="D9799" s="4"/>
      <c r="E9799" s="4"/>
    </row>
    <row r="9800" spans="1:5" x14ac:dyDescent="0.3">
      <c r="A9800" s="9">
        <v>9792</v>
      </c>
      <c r="B9800" s="10">
        <f t="shared" ca="1" si="152"/>
        <v>7.5217020244347024E-2</v>
      </c>
      <c r="C9800" s="10">
        <f ca="1">NPV(B9800,Project_FCF!C18:J18)+Project_FCF!B18</f>
        <v>979.37303585566087</v>
      </c>
      <c r="D9800" s="4"/>
      <c r="E9800" s="4"/>
    </row>
    <row r="9801" spans="1:5" x14ac:dyDescent="0.3">
      <c r="A9801" s="9">
        <v>9793</v>
      </c>
      <c r="B9801" s="10">
        <f t="shared" ref="B9801:B9864" ca="1" si="153">$B$4+RAND()*($B$5-$B$4)</f>
        <v>7.8487590816129646E-2</v>
      </c>
      <c r="C9801" s="10">
        <f ca="1">NPV(B9801,Project_FCF!C18:J18)+Project_FCF!B18</f>
        <v>951.15037964614385</v>
      </c>
      <c r="D9801" s="4"/>
      <c r="E9801" s="4"/>
    </row>
    <row r="9802" spans="1:5" x14ac:dyDescent="0.3">
      <c r="A9802" s="9">
        <v>9794</v>
      </c>
      <c r="B9802" s="10">
        <f t="shared" ca="1" si="153"/>
        <v>7.16786681191936E-2</v>
      </c>
      <c r="C9802" s="10">
        <f ca="1">NPV(B9802,Project_FCF!C18:J18)+Project_FCF!B18</f>
        <v>1010.7479758660634</v>
      </c>
      <c r="D9802" s="4"/>
      <c r="E9802" s="4"/>
    </row>
    <row r="9803" spans="1:5" x14ac:dyDescent="0.3">
      <c r="A9803" s="9">
        <v>9795</v>
      </c>
      <c r="B9803" s="10">
        <f t="shared" ca="1" si="153"/>
        <v>6.89491064779989E-2</v>
      </c>
      <c r="C9803" s="10">
        <f ca="1">NPV(B9803,Project_FCF!C18:J18)+Project_FCF!B18</f>
        <v>1035.5663876770063</v>
      </c>
      <c r="D9803" s="4"/>
      <c r="E9803" s="4"/>
    </row>
    <row r="9804" spans="1:5" x14ac:dyDescent="0.3">
      <c r="A9804" s="9">
        <v>9796</v>
      </c>
      <c r="B9804" s="10">
        <f t="shared" ca="1" si="153"/>
        <v>7.3640576302968802E-2</v>
      </c>
      <c r="C9804" s="10">
        <f ca="1">NPV(B9804,Project_FCF!C18:J18)+Project_FCF!B18</f>
        <v>993.24191030563134</v>
      </c>
      <c r="D9804" s="4"/>
      <c r="E9804" s="4"/>
    </row>
    <row r="9805" spans="1:5" x14ac:dyDescent="0.3">
      <c r="A9805" s="9">
        <v>9797</v>
      </c>
      <c r="B9805" s="10">
        <f t="shared" ca="1" si="153"/>
        <v>7.6443730032914672E-2</v>
      </c>
      <c r="C9805" s="10">
        <f ca="1">NPV(B9805,Project_FCF!C18:J18)+Project_FCF!B18</f>
        <v>968.70110164240327</v>
      </c>
      <c r="D9805" s="4"/>
      <c r="E9805" s="4"/>
    </row>
    <row r="9806" spans="1:5" x14ac:dyDescent="0.3">
      <c r="A9806" s="9">
        <v>9798</v>
      </c>
      <c r="B9806" s="10">
        <f t="shared" ca="1" si="153"/>
        <v>8.8923479257307828E-2</v>
      </c>
      <c r="C9806" s="10">
        <f ca="1">NPV(B9806,Project_FCF!C18:J18)+Project_FCF!B18</f>
        <v>865.84061694282536</v>
      </c>
      <c r="D9806" s="4"/>
      <c r="E9806" s="4"/>
    </row>
    <row r="9807" spans="1:5" x14ac:dyDescent="0.3">
      <c r="A9807" s="9">
        <v>9799</v>
      </c>
      <c r="B9807" s="10">
        <f t="shared" ca="1" si="153"/>
        <v>9.5081549610623678E-2</v>
      </c>
      <c r="C9807" s="10">
        <f ca="1">NPV(B9807,Project_FCF!C18:J18)+Project_FCF!B18</f>
        <v>818.69444113838586</v>
      </c>
      <c r="D9807" s="4"/>
      <c r="E9807" s="4"/>
    </row>
    <row r="9808" spans="1:5" x14ac:dyDescent="0.3">
      <c r="A9808" s="9">
        <v>9800</v>
      </c>
      <c r="B9808" s="10">
        <f t="shared" ca="1" si="153"/>
        <v>7.1758284205054201E-2</v>
      </c>
      <c r="C9808" s="10">
        <f ca="1">NPV(B9808,Project_FCF!C18:J18)+Project_FCF!B18</f>
        <v>1010.03219577657</v>
      </c>
      <c r="D9808" s="4"/>
      <c r="E9808" s="4"/>
    </row>
    <row r="9809" spans="1:5" x14ac:dyDescent="0.3">
      <c r="A9809" s="9">
        <v>9801</v>
      </c>
      <c r="B9809" s="10">
        <f t="shared" ca="1" si="153"/>
        <v>9.8570770595026488E-2</v>
      </c>
      <c r="C9809" s="10">
        <f ca="1">NPV(B9809,Project_FCF!C18:J18)+Project_FCF!B18</f>
        <v>792.97166347418943</v>
      </c>
      <c r="D9809" s="4"/>
      <c r="E9809" s="4"/>
    </row>
    <row r="9810" spans="1:5" x14ac:dyDescent="0.3">
      <c r="A9810" s="9">
        <v>9802</v>
      </c>
      <c r="B9810" s="10">
        <f t="shared" ca="1" si="153"/>
        <v>7.5584598547734236E-2</v>
      </c>
      <c r="C9810" s="10">
        <f ca="1">NPV(B9810,Project_FCF!C18:J18)+Project_FCF!B18</f>
        <v>976.16426909510051</v>
      </c>
      <c r="D9810" s="4"/>
      <c r="E9810" s="4"/>
    </row>
    <row r="9811" spans="1:5" x14ac:dyDescent="0.3">
      <c r="A9811" s="9">
        <v>9803</v>
      </c>
      <c r="B9811" s="10">
        <f t="shared" ca="1" si="153"/>
        <v>8.5721327137832481E-2</v>
      </c>
      <c r="C9811" s="10">
        <f ca="1">NPV(B9811,Project_FCF!C18:J18)+Project_FCF!B18</f>
        <v>891.27277480022735</v>
      </c>
      <c r="D9811" s="4"/>
      <c r="E9811" s="4"/>
    </row>
    <row r="9812" spans="1:5" x14ac:dyDescent="0.3">
      <c r="A9812" s="9">
        <v>9804</v>
      </c>
      <c r="B9812" s="10">
        <f t="shared" ca="1" si="153"/>
        <v>7.6899922235215093E-2</v>
      </c>
      <c r="C9812" s="10">
        <f ca="1">NPV(B9812,Project_FCF!C18:J18)+Project_FCF!B18</f>
        <v>964.75895085958405</v>
      </c>
      <c r="D9812" s="4"/>
      <c r="E9812" s="4"/>
    </row>
    <row r="9813" spans="1:5" x14ac:dyDescent="0.3">
      <c r="A9813" s="9">
        <v>9805</v>
      </c>
      <c r="B9813" s="10">
        <f t="shared" ca="1" si="153"/>
        <v>9.675364722116217E-2</v>
      </c>
      <c r="C9813" s="10">
        <f ca="1">NPV(B9813,Project_FCF!C18:J18)+Project_FCF!B18</f>
        <v>806.28026379837888</v>
      </c>
      <c r="D9813" s="4"/>
      <c r="E9813" s="4"/>
    </row>
    <row r="9814" spans="1:5" x14ac:dyDescent="0.3">
      <c r="A9814" s="9">
        <v>9806</v>
      </c>
      <c r="B9814" s="10">
        <f t="shared" ca="1" si="153"/>
        <v>9.7234915042883036E-2</v>
      </c>
      <c r="C9814" s="10">
        <f ca="1">NPV(B9814,Project_FCF!C18:J18)+Project_FCF!B18</f>
        <v>802.73709455598828</v>
      </c>
      <c r="D9814" s="4"/>
      <c r="E9814" s="4"/>
    </row>
    <row r="9815" spans="1:5" x14ac:dyDescent="0.3">
      <c r="A9815" s="9">
        <v>9807</v>
      </c>
      <c r="B9815" s="10">
        <f t="shared" ca="1" si="153"/>
        <v>8.0182649315618512E-2</v>
      </c>
      <c r="C9815" s="10">
        <f ca="1">NPV(B9815,Project_FCF!C18:J18)+Project_FCF!B18</f>
        <v>936.8097836687416</v>
      </c>
      <c r="D9815" s="4"/>
      <c r="E9815" s="4"/>
    </row>
    <row r="9816" spans="1:5" x14ac:dyDescent="0.3">
      <c r="A9816" s="9">
        <v>9808</v>
      </c>
      <c r="B9816" s="10">
        <f t="shared" ca="1" si="153"/>
        <v>7.6055786148346086E-2</v>
      </c>
      <c r="C9816" s="10">
        <f ca="1">NPV(B9816,Project_FCF!C18:J18)+Project_FCF!B18</f>
        <v>972.06478915586786</v>
      </c>
      <c r="D9816" s="4"/>
      <c r="E9816" s="4"/>
    </row>
    <row r="9817" spans="1:5" x14ac:dyDescent="0.3">
      <c r="A9817" s="9">
        <v>9809</v>
      </c>
      <c r="B9817" s="10">
        <f t="shared" ca="1" si="153"/>
        <v>8.9961080696912443E-2</v>
      </c>
      <c r="C9817" s="10">
        <f ca="1">NPV(B9817,Project_FCF!C18:J18)+Project_FCF!B18</f>
        <v>857.7363376604294</v>
      </c>
      <c r="D9817" s="4"/>
      <c r="E9817" s="4"/>
    </row>
    <row r="9818" spans="1:5" x14ac:dyDescent="0.3">
      <c r="A9818" s="9">
        <v>9810</v>
      </c>
      <c r="B9818" s="10">
        <f t="shared" ca="1" si="153"/>
        <v>9.9179037568536979E-2</v>
      </c>
      <c r="C9818" s="10">
        <f ca="1">NPV(B9818,Project_FCF!C18:J18)+Project_FCF!B18</f>
        <v>788.55862496447912</v>
      </c>
      <c r="D9818" s="4"/>
      <c r="E9818" s="4"/>
    </row>
    <row r="9819" spans="1:5" x14ac:dyDescent="0.3">
      <c r="A9819" s="9">
        <v>9811</v>
      </c>
      <c r="B9819" s="10">
        <f t="shared" ca="1" si="153"/>
        <v>9.3938947526223129E-2</v>
      </c>
      <c r="C9819" s="10">
        <f ca="1">NPV(B9819,Project_FCF!C18:J18)+Project_FCF!B18</f>
        <v>827.2712211973635</v>
      </c>
      <c r="D9819" s="4"/>
      <c r="E9819" s="4"/>
    </row>
    <row r="9820" spans="1:5" x14ac:dyDescent="0.3">
      <c r="A9820" s="9">
        <v>9812</v>
      </c>
      <c r="B9820" s="10">
        <f t="shared" ca="1" si="153"/>
        <v>6.6188617588413073E-2</v>
      </c>
      <c r="C9820" s="10">
        <f ca="1">NPV(B9820,Project_FCF!C18:J18)+Project_FCF!B18</f>
        <v>1061.2260221838771</v>
      </c>
      <c r="D9820" s="4"/>
      <c r="E9820" s="4"/>
    </row>
    <row r="9821" spans="1:5" x14ac:dyDescent="0.3">
      <c r="A9821" s="9">
        <v>9813</v>
      </c>
      <c r="B9821" s="10">
        <f t="shared" ca="1" si="153"/>
        <v>9.8948799891517863E-2</v>
      </c>
      <c r="C9821" s="10">
        <f ca="1">NPV(B9821,Project_FCF!C18:J18)+Project_FCF!B18</f>
        <v>790.22656639740921</v>
      </c>
      <c r="D9821" s="4"/>
      <c r="E9821" s="4"/>
    </row>
    <row r="9822" spans="1:5" x14ac:dyDescent="0.3">
      <c r="A9822" s="9">
        <v>9814</v>
      </c>
      <c r="B9822" s="10">
        <f t="shared" ca="1" si="153"/>
        <v>8.1246814158491554E-2</v>
      </c>
      <c r="C9822" s="10">
        <f ca="1">NPV(B9822,Project_FCF!C18:J18)+Project_FCF!B18</f>
        <v>927.90485044582397</v>
      </c>
      <c r="D9822" s="4"/>
      <c r="E9822" s="4"/>
    </row>
    <row r="9823" spans="1:5" x14ac:dyDescent="0.3">
      <c r="A9823" s="9">
        <v>9815</v>
      </c>
      <c r="B9823" s="10">
        <f t="shared" ca="1" si="153"/>
        <v>9.9868496016604191E-2</v>
      </c>
      <c r="C9823" s="10">
        <f ca="1">NPV(B9823,Project_FCF!C18:J18)+Project_FCF!B18</f>
        <v>783.5817155245461</v>
      </c>
      <c r="D9823" s="4"/>
      <c r="E9823" s="4"/>
    </row>
    <row r="9824" spans="1:5" x14ac:dyDescent="0.3">
      <c r="A9824" s="9">
        <v>9816</v>
      </c>
      <c r="B9824" s="10">
        <f t="shared" ca="1" si="153"/>
        <v>9.9127384371474003E-2</v>
      </c>
      <c r="C9824" s="10">
        <f ca="1">NPV(B9824,Project_FCF!C18:J18)+Project_FCF!B18</f>
        <v>788.93256319830448</v>
      </c>
      <c r="D9824" s="4"/>
      <c r="E9824" s="4"/>
    </row>
    <row r="9825" spans="1:5" x14ac:dyDescent="0.3">
      <c r="A9825" s="9">
        <v>9817</v>
      </c>
      <c r="B9825" s="10">
        <f t="shared" ca="1" si="153"/>
        <v>7.7160058361986902E-2</v>
      </c>
      <c r="C9825" s="10">
        <f ca="1">NPV(B9825,Project_FCF!C18:J18)+Project_FCF!B18</f>
        <v>962.51741225127034</v>
      </c>
      <c r="D9825" s="4"/>
      <c r="E9825" s="4"/>
    </row>
    <row r="9826" spans="1:5" x14ac:dyDescent="0.3">
      <c r="A9826" s="9">
        <v>9818</v>
      </c>
      <c r="B9826" s="10">
        <f t="shared" ca="1" si="153"/>
        <v>8.819676204055743E-2</v>
      </c>
      <c r="C9826" s="10">
        <f ca="1">NPV(B9826,Project_FCF!C18:J18)+Project_FCF!B18</f>
        <v>871.55621603775489</v>
      </c>
      <c r="D9826" s="4"/>
      <c r="E9826" s="4"/>
    </row>
    <row r="9827" spans="1:5" x14ac:dyDescent="0.3">
      <c r="A9827" s="9">
        <v>9819</v>
      </c>
      <c r="B9827" s="10">
        <f t="shared" ca="1" si="153"/>
        <v>8.6502496076466776E-2</v>
      </c>
      <c r="C9827" s="10">
        <f ca="1">NPV(B9827,Project_FCF!C18:J18)+Project_FCF!B18</f>
        <v>885.00924997245806</v>
      </c>
      <c r="D9827" s="4"/>
      <c r="E9827" s="4"/>
    </row>
    <row r="9828" spans="1:5" x14ac:dyDescent="0.3">
      <c r="A9828" s="9">
        <v>9820</v>
      </c>
      <c r="B9828" s="10">
        <f t="shared" ca="1" si="153"/>
        <v>0.10003206875062556</v>
      </c>
      <c r="C9828" s="10">
        <f ca="1">NPV(B9828,Project_FCF!C18:J18)+Project_FCF!B18</f>
        <v>782.40486314923464</v>
      </c>
      <c r="D9828" s="4"/>
      <c r="E9828" s="4"/>
    </row>
    <row r="9829" spans="1:5" x14ac:dyDescent="0.3">
      <c r="A9829" s="9">
        <v>9821</v>
      </c>
      <c r="B9829" s="10">
        <f t="shared" ca="1" si="153"/>
        <v>6.6342508492823041E-2</v>
      </c>
      <c r="C9829" s="10">
        <f ca="1">NPV(B9829,Project_FCF!C18:J18)+Project_FCF!B18</f>
        <v>1059.7804915823842</v>
      </c>
      <c r="D9829" s="4"/>
      <c r="E9829" s="4"/>
    </row>
    <row r="9830" spans="1:5" x14ac:dyDescent="0.3">
      <c r="A9830" s="9">
        <v>9822</v>
      </c>
      <c r="B9830" s="10">
        <f t="shared" ca="1" si="153"/>
        <v>8.9605135418917792E-2</v>
      </c>
      <c r="C9830" s="10">
        <f ca="1">NPV(B9830,Project_FCF!C18:J18)+Project_FCF!B18</f>
        <v>860.50903504483153</v>
      </c>
      <c r="D9830" s="4"/>
      <c r="E9830" s="4"/>
    </row>
    <row r="9831" spans="1:5" x14ac:dyDescent="0.3">
      <c r="A9831" s="9">
        <v>9823</v>
      </c>
      <c r="B9831" s="10">
        <f t="shared" ca="1" si="153"/>
        <v>7.671215356824336E-2</v>
      </c>
      <c r="C9831" s="10">
        <f ca="1">NPV(B9831,Project_FCF!C18:J18)+Project_FCF!B18</f>
        <v>966.37980410974342</v>
      </c>
      <c r="D9831" s="4"/>
      <c r="E9831" s="4"/>
    </row>
    <row r="9832" spans="1:5" x14ac:dyDescent="0.3">
      <c r="A9832" s="9">
        <v>9824</v>
      </c>
      <c r="B9832" s="10">
        <f t="shared" ca="1" si="153"/>
        <v>8.7917350259919508E-2</v>
      </c>
      <c r="C9832" s="10">
        <f ca="1">NPV(B9832,Project_FCF!C18:J18)+Project_FCF!B18</f>
        <v>873.76249308583283</v>
      </c>
      <c r="D9832" s="4"/>
      <c r="E9832" s="4"/>
    </row>
    <row r="9833" spans="1:5" x14ac:dyDescent="0.3">
      <c r="A9833" s="9">
        <v>9825</v>
      </c>
      <c r="B9833" s="10">
        <f t="shared" ca="1" si="153"/>
        <v>8.0102302484967303E-2</v>
      </c>
      <c r="C9833" s="10">
        <f ca="1">NPV(B9833,Project_FCF!C18:J18)+Project_FCF!B18</f>
        <v>937.48518510324539</v>
      </c>
      <c r="D9833" s="4"/>
      <c r="E9833" s="4"/>
    </row>
    <row r="9834" spans="1:5" x14ac:dyDescent="0.3">
      <c r="A9834" s="9">
        <v>9826</v>
      </c>
      <c r="B9834" s="10">
        <f t="shared" ca="1" si="153"/>
        <v>6.6149807658453949E-2</v>
      </c>
      <c r="C9834" s="10">
        <f ca="1">NPV(B9834,Project_FCF!C18:J18)+Project_FCF!B18</f>
        <v>1061.5908555390024</v>
      </c>
      <c r="D9834" s="4"/>
      <c r="E9834" s="4"/>
    </row>
    <row r="9835" spans="1:5" x14ac:dyDescent="0.3">
      <c r="A9835" s="9">
        <v>9827</v>
      </c>
      <c r="B9835" s="10">
        <f t="shared" ca="1" si="153"/>
        <v>7.6232011448019082E-2</v>
      </c>
      <c r="C9835" s="10">
        <f ca="1">NPV(B9835,Project_FCF!C18:J18)+Project_FCF!B18</f>
        <v>970.53552861204616</v>
      </c>
      <c r="D9835" s="4"/>
      <c r="E9835" s="4"/>
    </row>
    <row r="9836" spans="1:5" x14ac:dyDescent="0.3">
      <c r="A9836" s="9">
        <v>9828</v>
      </c>
      <c r="B9836" s="10">
        <f t="shared" ca="1" si="153"/>
        <v>0.10167187541743988</v>
      </c>
      <c r="C9836" s="10">
        <f ca="1">NPV(B9836,Project_FCF!C18:J18)+Project_FCF!B18</f>
        <v>770.68925273649893</v>
      </c>
      <c r="D9836" s="4"/>
      <c r="E9836" s="4"/>
    </row>
    <row r="9837" spans="1:5" x14ac:dyDescent="0.3">
      <c r="A9837" s="9">
        <v>9829</v>
      </c>
      <c r="B9837" s="10">
        <f t="shared" ca="1" si="153"/>
        <v>8.0566879628704735E-2</v>
      </c>
      <c r="C9837" s="10">
        <f ca="1">NPV(B9837,Project_FCF!C18:J18)+Project_FCF!B18</f>
        <v>933.58586525620217</v>
      </c>
      <c r="D9837" s="4"/>
      <c r="E9837" s="4"/>
    </row>
    <row r="9838" spans="1:5" x14ac:dyDescent="0.3">
      <c r="A9838" s="9">
        <v>9830</v>
      </c>
      <c r="B9838" s="10">
        <f t="shared" ca="1" si="153"/>
        <v>8.2233121172680002E-2</v>
      </c>
      <c r="C9838" s="10">
        <f ca="1">NPV(B9838,Project_FCF!C18:J18)+Project_FCF!B18</f>
        <v>919.71827806965257</v>
      </c>
      <c r="D9838" s="4"/>
      <c r="E9838" s="4"/>
    </row>
    <row r="9839" spans="1:5" x14ac:dyDescent="0.3">
      <c r="A9839" s="9">
        <v>9831</v>
      </c>
      <c r="B9839" s="10">
        <f t="shared" ca="1" si="153"/>
        <v>7.3599364457252542E-2</v>
      </c>
      <c r="C9839" s="10">
        <f ca="1">NPV(B9839,Project_FCF!C18:J18)+Project_FCF!B18</f>
        <v>993.60682348411024</v>
      </c>
      <c r="D9839" s="4"/>
      <c r="E9839" s="4"/>
    </row>
    <row r="9840" spans="1:5" x14ac:dyDescent="0.3">
      <c r="A9840" s="9">
        <v>9832</v>
      </c>
      <c r="B9840" s="10">
        <f t="shared" ca="1" si="153"/>
        <v>6.7445371064317125E-2</v>
      </c>
      <c r="C9840" s="10">
        <f ca="1">NPV(B9840,Project_FCF!C18:J18)+Project_FCF!B18</f>
        <v>1049.4733570322212</v>
      </c>
      <c r="D9840" s="4"/>
      <c r="E9840" s="4"/>
    </row>
    <row r="9841" spans="1:5" x14ac:dyDescent="0.3">
      <c r="A9841" s="9">
        <v>9833</v>
      </c>
      <c r="B9841" s="10">
        <f t="shared" ca="1" si="153"/>
        <v>0.10059520985629461</v>
      </c>
      <c r="C9841" s="10">
        <f ca="1">NPV(B9841,Project_FCF!C18:J18)+Project_FCF!B18</f>
        <v>778.3646672823013</v>
      </c>
      <c r="D9841" s="4"/>
      <c r="E9841" s="4"/>
    </row>
    <row r="9842" spans="1:5" x14ac:dyDescent="0.3">
      <c r="A9842" s="9">
        <v>9834</v>
      </c>
      <c r="B9842" s="10">
        <f t="shared" ca="1" si="153"/>
        <v>8.6041466633035954E-2</v>
      </c>
      <c r="C9842" s="10">
        <f ca="1">NPV(B9842,Project_FCF!C18:J18)+Project_FCF!B18</f>
        <v>888.70118095477824</v>
      </c>
      <c r="D9842" s="4"/>
      <c r="E9842" s="4"/>
    </row>
    <row r="9843" spans="1:5" x14ac:dyDescent="0.3">
      <c r="A9843" s="9">
        <v>9835</v>
      </c>
      <c r="B9843" s="10">
        <f t="shared" ca="1" si="153"/>
        <v>9.3206955079152526E-2</v>
      </c>
      <c r="C9843" s="10">
        <f ca="1">NPV(B9843,Project_FCF!C18:J18)+Project_FCF!B18</f>
        <v>832.80623822760322</v>
      </c>
      <c r="D9843" s="4"/>
      <c r="E9843" s="4"/>
    </row>
    <row r="9844" spans="1:5" x14ac:dyDescent="0.3">
      <c r="A9844" s="9">
        <v>9836</v>
      </c>
      <c r="B9844" s="10">
        <f t="shared" ca="1" si="153"/>
        <v>9.4553224674832292E-2</v>
      </c>
      <c r="C9844" s="10">
        <f ca="1">NPV(B9844,Project_FCF!C18:J18)+Project_FCF!B18</f>
        <v>822.65071555512077</v>
      </c>
      <c r="D9844" s="4"/>
      <c r="E9844" s="4"/>
    </row>
    <row r="9845" spans="1:5" x14ac:dyDescent="0.3">
      <c r="A9845" s="9">
        <v>9837</v>
      </c>
      <c r="B9845" s="10">
        <f t="shared" ca="1" si="153"/>
        <v>8.653595600445467E-2</v>
      </c>
      <c r="C9845" s="10">
        <f ca="1">NPV(B9845,Project_FCF!C18:J18)+Project_FCF!B18</f>
        <v>884.74182451762249</v>
      </c>
      <c r="D9845" s="4"/>
      <c r="E9845" s="4"/>
    </row>
    <row r="9846" spans="1:5" x14ac:dyDescent="0.3">
      <c r="A9846" s="9">
        <v>9838</v>
      </c>
      <c r="B9846" s="10">
        <f t="shared" ca="1" si="153"/>
        <v>8.6113286020008215E-2</v>
      </c>
      <c r="C9846" s="10">
        <f ca="1">NPV(B9846,Project_FCF!C18:J18)+Project_FCF!B18</f>
        <v>888.12516688783307</v>
      </c>
      <c r="D9846" s="4"/>
      <c r="E9846" s="4"/>
    </row>
    <row r="9847" spans="1:5" x14ac:dyDescent="0.3">
      <c r="A9847" s="9">
        <v>9839</v>
      </c>
      <c r="B9847" s="10">
        <f t="shared" ca="1" si="153"/>
        <v>9.3438360418196142E-2</v>
      </c>
      <c r="C9847" s="10">
        <f ca="1">NPV(B9847,Project_FCF!C18:J18)+Project_FCF!B18</f>
        <v>831.05302014783865</v>
      </c>
      <c r="D9847" s="4"/>
      <c r="E9847" s="4"/>
    </row>
    <row r="9848" spans="1:5" x14ac:dyDescent="0.3">
      <c r="A9848" s="9">
        <v>9840</v>
      </c>
      <c r="B9848" s="10">
        <f t="shared" ca="1" si="153"/>
        <v>0.10286462675178873</v>
      </c>
      <c r="C9848" s="10">
        <f ca="1">NPV(B9848,Project_FCF!C18:J18)+Project_FCF!B18</f>
        <v>762.26079025177</v>
      </c>
      <c r="D9848" s="4"/>
      <c r="E9848" s="4"/>
    </row>
    <row r="9849" spans="1:5" x14ac:dyDescent="0.3">
      <c r="A9849" s="9">
        <v>9841</v>
      </c>
      <c r="B9849" s="10">
        <f t="shared" ca="1" si="153"/>
        <v>6.5774794599702091E-2</v>
      </c>
      <c r="C9849" s="10">
        <f ca="1">NPV(B9849,Project_FCF!C18:J18)+Project_FCF!B18</f>
        <v>1065.122060071948</v>
      </c>
      <c r="D9849" s="4"/>
      <c r="E9849" s="4"/>
    </row>
    <row r="9850" spans="1:5" x14ac:dyDescent="0.3">
      <c r="A9850" s="9">
        <v>9842</v>
      </c>
      <c r="B9850" s="10">
        <f t="shared" ca="1" si="153"/>
        <v>7.4115560722442686E-2</v>
      </c>
      <c r="C9850" s="10">
        <f ca="1">NPV(B9850,Project_FCF!C18:J18)+Project_FCF!B18</f>
        <v>989.04479581392093</v>
      </c>
      <c r="D9850" s="4"/>
      <c r="E9850" s="4"/>
    </row>
    <row r="9851" spans="1:5" x14ac:dyDescent="0.3">
      <c r="A9851" s="9">
        <v>9843</v>
      </c>
      <c r="B9851" s="10">
        <f t="shared" ca="1" si="153"/>
        <v>6.5354267981380415E-2</v>
      </c>
      <c r="C9851" s="10">
        <f ca="1">NPV(B9851,Project_FCF!C18:J18)+Project_FCF!B18</f>
        <v>1069.0945563547225</v>
      </c>
      <c r="D9851" s="4"/>
      <c r="E9851" s="4"/>
    </row>
    <row r="9852" spans="1:5" x14ac:dyDescent="0.3">
      <c r="A9852" s="9">
        <v>9844</v>
      </c>
      <c r="B9852" s="10">
        <f t="shared" ca="1" si="153"/>
        <v>6.4952941354861238E-2</v>
      </c>
      <c r="C9852" s="10">
        <f ca="1">NPV(B9852,Project_FCF!C18:J18)+Project_FCF!B18</f>
        <v>1072.8982730978253</v>
      </c>
      <c r="D9852" s="4"/>
      <c r="E9852" s="4"/>
    </row>
    <row r="9853" spans="1:5" x14ac:dyDescent="0.3">
      <c r="A9853" s="9">
        <v>9845</v>
      </c>
      <c r="B9853" s="10">
        <f t="shared" ca="1" si="153"/>
        <v>9.3340390688270727E-2</v>
      </c>
      <c r="C9853" s="10">
        <f ca="1">NPV(B9853,Project_FCF!C18:J18)+Project_FCF!B18</f>
        <v>831.79488980302654</v>
      </c>
      <c r="D9853" s="4"/>
      <c r="E9853" s="4"/>
    </row>
    <row r="9854" spans="1:5" x14ac:dyDescent="0.3">
      <c r="A9854" s="9">
        <v>9846</v>
      </c>
      <c r="B9854" s="10">
        <f t="shared" ca="1" si="153"/>
        <v>6.9087641270558886E-2</v>
      </c>
      <c r="C9854" s="10">
        <f ca="1">NPV(B9854,Project_FCF!C18:J18)+Project_FCF!B18</f>
        <v>1034.293619654896</v>
      </c>
      <c r="D9854" s="4"/>
      <c r="E9854" s="4"/>
    </row>
    <row r="9855" spans="1:5" x14ac:dyDescent="0.3">
      <c r="A9855" s="9">
        <v>9847</v>
      </c>
      <c r="B9855" s="10">
        <f t="shared" ca="1" si="153"/>
        <v>7.5857365066764479E-2</v>
      </c>
      <c r="C9855" s="10">
        <f ca="1">NPV(B9855,Project_FCF!C18:J18)+Project_FCF!B18</f>
        <v>973.78923657408791</v>
      </c>
      <c r="D9855" s="4"/>
      <c r="E9855" s="4"/>
    </row>
    <row r="9856" spans="1:5" x14ac:dyDescent="0.3">
      <c r="A9856" s="9">
        <v>9848</v>
      </c>
      <c r="B9856" s="10">
        <f t="shared" ca="1" si="153"/>
        <v>0.10304470437051177</v>
      </c>
      <c r="C9856" s="10">
        <f ca="1">NPV(B9856,Project_FCF!C18:J18)+Project_FCF!B18</f>
        <v>760.99504540456223</v>
      </c>
      <c r="D9856" s="4"/>
      <c r="E9856" s="4"/>
    </row>
    <row r="9857" spans="1:5" x14ac:dyDescent="0.3">
      <c r="A9857" s="9">
        <v>9849</v>
      </c>
      <c r="B9857" s="10">
        <f t="shared" ca="1" si="153"/>
        <v>8.700583934962991E-2</v>
      </c>
      <c r="C9857" s="10">
        <f ca="1">NPV(B9857,Project_FCF!C18:J18)+Project_FCF!B18</f>
        <v>880.9937670221741</v>
      </c>
      <c r="D9857" s="4"/>
      <c r="E9857" s="4"/>
    </row>
    <row r="9858" spans="1:5" x14ac:dyDescent="0.3">
      <c r="A9858" s="9">
        <v>9850</v>
      </c>
      <c r="B9858" s="10">
        <f t="shared" ca="1" si="153"/>
        <v>8.3633093416666512E-2</v>
      </c>
      <c r="C9858" s="10">
        <f ca="1">NPV(B9858,Project_FCF!C18:J18)+Project_FCF!B18</f>
        <v>908.20747300695302</v>
      </c>
      <c r="D9858" s="4"/>
      <c r="E9858" s="4"/>
    </row>
    <row r="9859" spans="1:5" x14ac:dyDescent="0.3">
      <c r="A9859" s="9">
        <v>9851</v>
      </c>
      <c r="B9859" s="10">
        <f t="shared" ca="1" si="153"/>
        <v>7.9915673797044423E-2</v>
      </c>
      <c r="C9859" s="10">
        <f ca="1">NPV(B9859,Project_FCF!C18:J18)+Project_FCF!B18</f>
        <v>939.05566384225153</v>
      </c>
      <c r="D9859" s="4"/>
      <c r="E9859" s="4"/>
    </row>
    <row r="9860" spans="1:5" x14ac:dyDescent="0.3">
      <c r="A9860" s="9">
        <v>9852</v>
      </c>
      <c r="B9860" s="10">
        <f t="shared" ca="1" si="153"/>
        <v>7.0078949906138582E-2</v>
      </c>
      <c r="C9860" s="10">
        <f ca="1">NPV(B9860,Project_FCF!C18:J18)+Project_FCF!B18</f>
        <v>1025.2273391213078</v>
      </c>
      <c r="D9860" s="4"/>
      <c r="E9860" s="4"/>
    </row>
    <row r="9861" spans="1:5" x14ac:dyDescent="0.3">
      <c r="A9861" s="9">
        <v>9853</v>
      </c>
      <c r="B9861" s="10">
        <f t="shared" ca="1" si="153"/>
        <v>8.1972609880854308E-2</v>
      </c>
      <c r="C9861" s="10">
        <f ca="1">NPV(B9861,Project_FCF!C18:J18)+Project_FCF!B18</f>
        <v>921.87436495390943</v>
      </c>
      <c r="D9861" s="4"/>
      <c r="E9861" s="4"/>
    </row>
    <row r="9862" spans="1:5" x14ac:dyDescent="0.3">
      <c r="A9862" s="9">
        <v>9854</v>
      </c>
      <c r="B9862" s="10">
        <f t="shared" ca="1" si="153"/>
        <v>6.9628797100206655E-2</v>
      </c>
      <c r="C9862" s="10">
        <f ca="1">NPV(B9862,Project_FCF!C18:J18)+Project_FCF!B18</f>
        <v>1029.3353859320184</v>
      </c>
      <c r="D9862" s="4"/>
      <c r="E9862" s="4"/>
    </row>
    <row r="9863" spans="1:5" x14ac:dyDescent="0.3">
      <c r="A9863" s="9">
        <v>9855</v>
      </c>
      <c r="B9863" s="10">
        <f t="shared" ca="1" si="153"/>
        <v>9.1104425202558251E-2</v>
      </c>
      <c r="C9863" s="10">
        <f ca="1">NPV(B9863,Project_FCF!C18:J18)+Project_FCF!B18</f>
        <v>848.88231747250143</v>
      </c>
      <c r="D9863" s="4"/>
      <c r="E9863" s="4"/>
    </row>
    <row r="9864" spans="1:5" x14ac:dyDescent="0.3">
      <c r="A9864" s="9">
        <v>9856</v>
      </c>
      <c r="B9864" s="10">
        <f t="shared" ca="1" si="153"/>
        <v>6.7572817048039746E-2</v>
      </c>
      <c r="C9864" s="10">
        <f ca="1">NPV(B9864,Project_FCF!C18:J18)+Project_FCF!B18</f>
        <v>1048.2881629836272</v>
      </c>
      <c r="D9864" s="4"/>
      <c r="E9864" s="4"/>
    </row>
    <row r="9865" spans="1:5" x14ac:dyDescent="0.3">
      <c r="A9865" s="9">
        <v>9857</v>
      </c>
      <c r="B9865" s="10">
        <f t="shared" ref="B9865:B9928" ca="1" si="154">$B$4+RAND()*($B$5-$B$4)</f>
        <v>7.4588638131103044E-2</v>
      </c>
      <c r="C9865" s="10">
        <f ca="1">NPV(B9865,Project_FCF!C18:J18)+Project_FCF!B18</f>
        <v>984.88034153009653</v>
      </c>
      <c r="D9865" s="4"/>
      <c r="E9865" s="4"/>
    </row>
    <row r="9866" spans="1:5" x14ac:dyDescent="0.3">
      <c r="A9866" s="9">
        <v>9858</v>
      </c>
      <c r="B9866" s="10">
        <f t="shared" ca="1" si="154"/>
        <v>9.1366607715964568E-2</v>
      </c>
      <c r="C9866" s="10">
        <f ca="1">NPV(B9866,Project_FCF!C18:J18)+Project_FCF!B18</f>
        <v>846.86316074846354</v>
      </c>
      <c r="D9866" s="4"/>
      <c r="E9866" s="4"/>
    </row>
    <row r="9867" spans="1:5" x14ac:dyDescent="0.3">
      <c r="A9867" s="9">
        <v>9859</v>
      </c>
      <c r="B9867" s="10">
        <f t="shared" ca="1" si="154"/>
        <v>7.5568638026256157E-2</v>
      </c>
      <c r="C9867" s="10">
        <f ca="1">NPV(B9867,Project_FCF!C18:J18)+Project_FCF!B18</f>
        <v>976.30340069793488</v>
      </c>
      <c r="D9867" s="4"/>
      <c r="E9867" s="4"/>
    </row>
    <row r="9868" spans="1:5" x14ac:dyDescent="0.3">
      <c r="A9868" s="9">
        <v>9860</v>
      </c>
      <c r="B9868" s="10">
        <f t="shared" ca="1" si="154"/>
        <v>9.3476097589720711E-2</v>
      </c>
      <c r="C9868" s="10">
        <f ca="1">NPV(B9868,Project_FCF!C18:J18)+Project_FCF!B18</f>
        <v>830.76740951299962</v>
      </c>
      <c r="D9868" s="4"/>
      <c r="E9868" s="4"/>
    </row>
    <row r="9869" spans="1:5" x14ac:dyDescent="0.3">
      <c r="A9869" s="9">
        <v>9861</v>
      </c>
      <c r="B9869" s="10">
        <f t="shared" ca="1" si="154"/>
        <v>9.4683169672447734E-2</v>
      </c>
      <c r="C9869" s="10">
        <f ca="1">NPV(B9869,Project_FCF!C18:J18)+Project_FCF!B18</f>
        <v>821.67612835743103</v>
      </c>
      <c r="D9869" s="4"/>
      <c r="E9869" s="4"/>
    </row>
    <row r="9870" spans="1:5" x14ac:dyDescent="0.3">
      <c r="A9870" s="9">
        <v>9862</v>
      </c>
      <c r="B9870" s="10">
        <f t="shared" ca="1" si="154"/>
        <v>6.5000551959212102E-2</v>
      </c>
      <c r="C9870" s="10">
        <f ca="1">NPV(B9870,Project_FCF!C18:J18)+Project_FCF!B18</f>
        <v>1072.4463820659166</v>
      </c>
      <c r="D9870" s="4"/>
      <c r="E9870" s="4"/>
    </row>
    <row r="9871" spans="1:5" x14ac:dyDescent="0.3">
      <c r="A9871" s="9">
        <v>9863</v>
      </c>
      <c r="B9871" s="10">
        <f t="shared" ca="1" si="154"/>
        <v>9.5794038645592869E-2</v>
      </c>
      <c r="C9871" s="10">
        <f ca="1">NPV(B9871,Project_FCF!C18:J18)+Project_FCF!B18</f>
        <v>813.38487936033448</v>
      </c>
      <c r="D9871" s="4"/>
      <c r="E9871" s="4"/>
    </row>
    <row r="9872" spans="1:5" x14ac:dyDescent="0.3">
      <c r="A9872" s="9">
        <v>9864</v>
      </c>
      <c r="B9872" s="10">
        <f t="shared" ca="1" si="154"/>
        <v>7.1878755624364188E-2</v>
      </c>
      <c r="C9872" s="10">
        <f ca="1">NPV(B9872,Project_FCF!C18:J18)+Project_FCF!B18</f>
        <v>1008.9499780464475</v>
      </c>
      <c r="D9872" s="4"/>
      <c r="E9872" s="4"/>
    </row>
    <row r="9873" spans="1:5" x14ac:dyDescent="0.3">
      <c r="A9873" s="9">
        <v>9865</v>
      </c>
      <c r="B9873" s="10">
        <f t="shared" ca="1" si="154"/>
        <v>0.10037550704968062</v>
      </c>
      <c r="C9873" s="10">
        <f ca="1">NPV(B9873,Project_FCF!C18:J18)+Project_FCF!B18</f>
        <v>779.93879916806191</v>
      </c>
      <c r="D9873" s="4"/>
      <c r="E9873" s="4"/>
    </row>
    <row r="9874" spans="1:5" x14ac:dyDescent="0.3">
      <c r="A9874" s="9">
        <v>9866</v>
      </c>
      <c r="B9874" s="10">
        <f t="shared" ca="1" si="154"/>
        <v>8.4900291902764644E-2</v>
      </c>
      <c r="C9874" s="10">
        <f ca="1">NPV(B9874,Project_FCF!C18:J18)+Project_FCF!B18</f>
        <v>897.89771266324578</v>
      </c>
      <c r="D9874" s="4"/>
      <c r="E9874" s="4"/>
    </row>
    <row r="9875" spans="1:5" x14ac:dyDescent="0.3">
      <c r="A9875" s="9">
        <v>9867</v>
      </c>
      <c r="B9875" s="10">
        <f t="shared" ca="1" si="154"/>
        <v>8.3250764767131988E-2</v>
      </c>
      <c r="C9875" s="10">
        <f ca="1">NPV(B9875,Project_FCF!C18:J18)+Project_FCF!B18</f>
        <v>911.33839178273456</v>
      </c>
      <c r="D9875" s="4"/>
      <c r="E9875" s="4"/>
    </row>
    <row r="9876" spans="1:5" x14ac:dyDescent="0.3">
      <c r="A9876" s="9">
        <v>9868</v>
      </c>
      <c r="B9876" s="10">
        <f t="shared" ca="1" si="154"/>
        <v>8.9331768525627159E-2</v>
      </c>
      <c r="C9876" s="10">
        <f ca="1">NPV(B9876,Project_FCF!C18:J18)+Project_FCF!B18</f>
        <v>862.64374622397622</v>
      </c>
      <c r="D9876" s="4"/>
      <c r="E9876" s="4"/>
    </row>
    <row r="9877" spans="1:5" x14ac:dyDescent="0.3">
      <c r="A9877" s="9">
        <v>9869</v>
      </c>
      <c r="B9877" s="10">
        <f t="shared" ca="1" si="154"/>
        <v>9.2953047623315244E-2</v>
      </c>
      <c r="C9877" s="10">
        <f ca="1">NPV(B9877,Project_FCF!C18:J18)+Project_FCF!B18</f>
        <v>834.73359939909892</v>
      </c>
      <c r="D9877" s="4"/>
      <c r="E9877" s="4"/>
    </row>
    <row r="9878" spans="1:5" x14ac:dyDescent="0.3">
      <c r="A9878" s="9">
        <v>9870</v>
      </c>
      <c r="B9878" s="10">
        <f t="shared" ca="1" si="154"/>
        <v>6.8908254693783519E-2</v>
      </c>
      <c r="C9878" s="10">
        <f ca="1">NPV(B9878,Project_FCF!C18:J18)+Project_FCF!B18</f>
        <v>1035.9419781067465</v>
      </c>
      <c r="D9878" s="4"/>
      <c r="E9878" s="4"/>
    </row>
    <row r="9879" spans="1:5" x14ac:dyDescent="0.3">
      <c r="A9879" s="9">
        <v>9871</v>
      </c>
      <c r="B9879" s="10">
        <f t="shared" ca="1" si="154"/>
        <v>8.5792809900957306E-2</v>
      </c>
      <c r="C9879" s="10">
        <f ca="1">NPV(B9879,Project_FCF!C18:J18)+Project_FCF!B18</f>
        <v>890.69800960292878</v>
      </c>
      <c r="D9879" s="4"/>
      <c r="E9879" s="4"/>
    </row>
    <row r="9880" spans="1:5" x14ac:dyDescent="0.3">
      <c r="A9880" s="9">
        <v>9872</v>
      </c>
      <c r="B9880" s="10">
        <f t="shared" ca="1" si="154"/>
        <v>7.7998168431798826E-2</v>
      </c>
      <c r="C9880" s="10">
        <f ca="1">NPV(B9880,Project_FCF!C18:J18)+Project_FCF!B18</f>
        <v>955.32709888866134</v>
      </c>
      <c r="D9880" s="4"/>
      <c r="E9880" s="4"/>
    </row>
    <row r="9881" spans="1:5" x14ac:dyDescent="0.3">
      <c r="A9881" s="9">
        <v>9873</v>
      </c>
      <c r="B9881" s="10">
        <f t="shared" ca="1" si="154"/>
        <v>8.3771521991571701E-2</v>
      </c>
      <c r="C9881" s="10">
        <f ca="1">NPV(B9881,Project_FCF!C18:J18)+Project_FCF!B18</f>
        <v>907.07620393047955</v>
      </c>
      <c r="D9881" s="4"/>
      <c r="E9881" s="4"/>
    </row>
    <row r="9882" spans="1:5" x14ac:dyDescent="0.3">
      <c r="A9882" s="9">
        <v>9874</v>
      </c>
      <c r="B9882" s="10">
        <f t="shared" ca="1" si="154"/>
        <v>9.5791907927899989E-2</v>
      </c>
      <c r="C9882" s="10">
        <f ca="1">NPV(B9882,Project_FCF!C18:J18)+Project_FCF!B18</f>
        <v>813.40071374719196</v>
      </c>
      <c r="D9882" s="4"/>
      <c r="E9882" s="4"/>
    </row>
    <row r="9883" spans="1:5" x14ac:dyDescent="0.3">
      <c r="A9883" s="9">
        <v>9875</v>
      </c>
      <c r="B9883" s="10">
        <f t="shared" ca="1" si="154"/>
        <v>9.1821445433468499E-2</v>
      </c>
      <c r="C9883" s="10">
        <f ca="1">NPV(B9883,Project_FCF!C18:J18)+Project_FCF!B18</f>
        <v>843.37013652058681</v>
      </c>
      <c r="D9883" s="4"/>
      <c r="E9883" s="4"/>
    </row>
    <row r="9884" spans="1:5" x14ac:dyDescent="0.3">
      <c r="A9884" s="9">
        <v>9876</v>
      </c>
      <c r="B9884" s="10">
        <f t="shared" ca="1" si="154"/>
        <v>7.9435648254835386E-2</v>
      </c>
      <c r="C9884" s="10">
        <f ca="1">NPV(B9884,Project_FCF!C18:J18)+Project_FCF!B18</f>
        <v>943.10578655361564</v>
      </c>
      <c r="D9884" s="4"/>
      <c r="E9884" s="4"/>
    </row>
    <row r="9885" spans="1:5" x14ac:dyDescent="0.3">
      <c r="A9885" s="9">
        <v>9877</v>
      </c>
      <c r="B9885" s="10">
        <f t="shared" ca="1" si="154"/>
        <v>7.5151349986435634E-2</v>
      </c>
      <c r="C9885" s="10">
        <f ca="1">NPV(B9885,Project_FCF!C18:J18)+Project_FCF!B18</f>
        <v>979.94729492250553</v>
      </c>
      <c r="D9885" s="4"/>
      <c r="E9885" s="4"/>
    </row>
    <row r="9886" spans="1:5" x14ac:dyDescent="0.3">
      <c r="A9886" s="9">
        <v>9878</v>
      </c>
      <c r="B9886" s="10">
        <f t="shared" ca="1" si="154"/>
        <v>8.590847901574028E-2</v>
      </c>
      <c r="C9886" s="10">
        <f ca="1">NPV(B9886,Project_FCF!C18:J18)+Project_FCF!B18</f>
        <v>889.76864566198856</v>
      </c>
      <c r="D9886" s="4"/>
      <c r="E9886" s="4"/>
    </row>
    <row r="9887" spans="1:5" x14ac:dyDescent="0.3">
      <c r="A9887" s="9">
        <v>9879</v>
      </c>
      <c r="B9887" s="10">
        <f t="shared" ca="1" si="154"/>
        <v>6.4566989858029222E-2</v>
      </c>
      <c r="C9887" s="10">
        <f ca="1">NPV(B9887,Project_FCF!C18:J18)+Project_FCF!B18</f>
        <v>1076.5679103137147</v>
      </c>
      <c r="D9887" s="4"/>
      <c r="E9887" s="4"/>
    </row>
    <row r="9888" spans="1:5" x14ac:dyDescent="0.3">
      <c r="A9888" s="9">
        <v>9880</v>
      </c>
      <c r="B9888" s="10">
        <f t="shared" ca="1" si="154"/>
        <v>8.7972761095643115E-2</v>
      </c>
      <c r="C9888" s="10">
        <f ca="1">NPV(B9888,Project_FCF!C18:J18)+Project_FCF!B18</f>
        <v>873.32457496990969</v>
      </c>
      <c r="D9888" s="4"/>
      <c r="E9888" s="4"/>
    </row>
    <row r="9889" spans="1:5" x14ac:dyDescent="0.3">
      <c r="A9889" s="9">
        <v>9881</v>
      </c>
      <c r="B9889" s="10">
        <f t="shared" ca="1" si="154"/>
        <v>9.0879513732415512E-2</v>
      </c>
      <c r="C9889" s="10">
        <f ca="1">NPV(B9889,Project_FCF!C18:J18)+Project_FCF!B18</f>
        <v>850.61775052113717</v>
      </c>
      <c r="D9889" s="4"/>
      <c r="E9889" s="4"/>
    </row>
    <row r="9890" spans="1:5" x14ac:dyDescent="0.3">
      <c r="A9890" s="9">
        <v>9882</v>
      </c>
      <c r="B9890" s="10">
        <f t="shared" ca="1" si="154"/>
        <v>7.4700617753189619E-2</v>
      </c>
      <c r="C9890" s="10">
        <f ca="1">NPV(B9890,Project_FCF!C18:J18)+Project_FCF!B18</f>
        <v>983.89689773426585</v>
      </c>
      <c r="D9890" s="4"/>
      <c r="E9890" s="4"/>
    </row>
    <row r="9891" spans="1:5" x14ac:dyDescent="0.3">
      <c r="A9891" s="9">
        <v>9883</v>
      </c>
      <c r="B9891" s="10">
        <f t="shared" ca="1" si="154"/>
        <v>6.8722501347801251E-2</v>
      </c>
      <c r="C9891" s="10">
        <f ca="1">NPV(B9891,Project_FCF!C18:J18)+Project_FCF!B18</f>
        <v>1037.6513468384537</v>
      </c>
      <c r="D9891" s="4"/>
      <c r="E9891" s="4"/>
    </row>
    <row r="9892" spans="1:5" x14ac:dyDescent="0.3">
      <c r="A9892" s="9">
        <v>9884</v>
      </c>
      <c r="B9892" s="10">
        <f t="shared" ca="1" si="154"/>
        <v>8.7941072208939777E-2</v>
      </c>
      <c r="C9892" s="10">
        <f ca="1">NPV(B9892,Project_FCF!C18:J18)+Project_FCF!B18</f>
        <v>873.5749924441775</v>
      </c>
      <c r="D9892" s="4"/>
      <c r="E9892" s="4"/>
    </row>
    <row r="9893" spans="1:5" x14ac:dyDescent="0.3">
      <c r="A9893" s="9">
        <v>9885</v>
      </c>
      <c r="B9893" s="10">
        <f t="shared" ca="1" si="154"/>
        <v>7.2720712741630708E-2</v>
      </c>
      <c r="C9893" s="10">
        <f ca="1">NPV(B9893,Project_FCF!C18:J18)+Project_FCF!B18</f>
        <v>1001.4156025755292</v>
      </c>
      <c r="D9893" s="4"/>
      <c r="E9893" s="4"/>
    </row>
    <row r="9894" spans="1:5" x14ac:dyDescent="0.3">
      <c r="A9894" s="9">
        <v>9886</v>
      </c>
      <c r="B9894" s="10">
        <f t="shared" ca="1" si="154"/>
        <v>6.4923406330240616E-2</v>
      </c>
      <c r="C9894" s="10">
        <f ca="1">NPV(B9894,Project_FCF!C18:J18)+Project_FCF!B18</f>
        <v>1073.1786889829696</v>
      </c>
      <c r="D9894" s="4"/>
      <c r="E9894" s="4"/>
    </row>
    <row r="9895" spans="1:5" x14ac:dyDescent="0.3">
      <c r="A9895" s="9">
        <v>9887</v>
      </c>
      <c r="B9895" s="10">
        <f t="shared" ca="1" si="154"/>
        <v>6.7824927146272848E-2</v>
      </c>
      <c r="C9895" s="10">
        <f ca="1">NPV(B9895,Project_FCF!C18:J18)+Project_FCF!B18</f>
        <v>1045.9472238918311</v>
      </c>
      <c r="D9895" s="4"/>
      <c r="E9895" s="4"/>
    </row>
    <row r="9896" spans="1:5" x14ac:dyDescent="0.3">
      <c r="A9896" s="9">
        <v>9888</v>
      </c>
      <c r="B9896" s="10">
        <f t="shared" ca="1" si="154"/>
        <v>9.7755869170118581E-2</v>
      </c>
      <c r="C9896" s="10">
        <f ca="1">NPV(B9896,Project_FCF!C18:J18)+Project_FCF!B18</f>
        <v>798.9167002936988</v>
      </c>
      <c r="D9896" s="4"/>
      <c r="E9896" s="4"/>
    </row>
    <row r="9897" spans="1:5" x14ac:dyDescent="0.3">
      <c r="A9897" s="9">
        <v>9889</v>
      </c>
      <c r="B9897" s="10">
        <f t="shared" ca="1" si="154"/>
        <v>7.3751453305006792E-2</v>
      </c>
      <c r="C9897" s="10">
        <f ca="1">NPV(B9897,Project_FCF!C18:J18)+Project_FCF!B18</f>
        <v>992.26073895786772</v>
      </c>
      <c r="D9897" s="4"/>
      <c r="E9897" s="4"/>
    </row>
    <row r="9898" spans="1:5" x14ac:dyDescent="0.3">
      <c r="A9898" s="9">
        <v>9890</v>
      </c>
      <c r="B9898" s="10">
        <f t="shared" ca="1" si="154"/>
        <v>8.702868737496669E-2</v>
      </c>
      <c r="C9898" s="10">
        <f ca="1">NPV(B9898,Project_FCF!C18:J18)+Project_FCF!B18</f>
        <v>880.81187185918998</v>
      </c>
      <c r="D9898" s="4"/>
      <c r="E9898" s="4"/>
    </row>
    <row r="9899" spans="1:5" x14ac:dyDescent="0.3">
      <c r="A9899" s="9">
        <v>9891</v>
      </c>
      <c r="B9899" s="10">
        <f t="shared" ca="1" si="154"/>
        <v>7.248975050208839E-2</v>
      </c>
      <c r="C9899" s="10">
        <f ca="1">NPV(B9899,Project_FCF!C18:J18)+Project_FCF!B18</f>
        <v>1003.4773476685425</v>
      </c>
      <c r="D9899" s="4"/>
      <c r="E9899" s="4"/>
    </row>
    <row r="9900" spans="1:5" x14ac:dyDescent="0.3">
      <c r="A9900" s="9">
        <v>9892</v>
      </c>
      <c r="B9900" s="10">
        <f t="shared" ca="1" si="154"/>
        <v>6.7880629283904759E-2</v>
      </c>
      <c r="C9900" s="10">
        <f ca="1">NPV(B9900,Project_FCF!C18:J18)+Project_FCF!B18</f>
        <v>1045.4306485507907</v>
      </c>
      <c r="D9900" s="4"/>
      <c r="E9900" s="4"/>
    </row>
    <row r="9901" spans="1:5" x14ac:dyDescent="0.3">
      <c r="A9901" s="9">
        <v>9893</v>
      </c>
      <c r="B9901" s="10">
        <f t="shared" ca="1" si="154"/>
        <v>7.7728688958422609E-2</v>
      </c>
      <c r="C9901" s="10">
        <f ca="1">NPV(B9901,Project_FCF!C18:J18)+Project_FCF!B18</f>
        <v>957.63378510590314</v>
      </c>
      <c r="D9901" s="4"/>
      <c r="E9901" s="4"/>
    </row>
    <row r="9902" spans="1:5" x14ac:dyDescent="0.3">
      <c r="A9902" s="9">
        <v>9894</v>
      </c>
      <c r="B9902" s="10">
        <f t="shared" ca="1" si="154"/>
        <v>7.9513838058263633E-2</v>
      </c>
      <c r="C9902" s="10">
        <f ca="1">NPV(B9902,Project_FCF!C18:J18)+Project_FCF!B18</f>
        <v>942.44502160179445</v>
      </c>
      <c r="D9902" s="4"/>
      <c r="E9902" s="4"/>
    </row>
    <row r="9903" spans="1:5" x14ac:dyDescent="0.3">
      <c r="A9903" s="9">
        <v>9895</v>
      </c>
      <c r="B9903" s="10">
        <f t="shared" ca="1" si="154"/>
        <v>8.2888079744471543E-2</v>
      </c>
      <c r="C9903" s="10">
        <f ca="1">NPV(B9903,Project_FCF!C18:J18)+Project_FCF!B18</f>
        <v>914.31721606768542</v>
      </c>
      <c r="D9903" s="4"/>
      <c r="E9903" s="4"/>
    </row>
    <row r="9904" spans="1:5" x14ac:dyDescent="0.3">
      <c r="A9904" s="9">
        <v>9896</v>
      </c>
      <c r="B9904" s="10">
        <f t="shared" ca="1" si="154"/>
        <v>6.9272399896937745E-2</v>
      </c>
      <c r="C9904" s="10">
        <f ca="1">NPV(B9904,Project_FCF!C18:J18)+Project_FCF!B18</f>
        <v>1032.5983807240711</v>
      </c>
      <c r="D9904" s="4"/>
      <c r="E9904" s="4"/>
    </row>
    <row r="9905" spans="1:5" x14ac:dyDescent="0.3">
      <c r="A9905" s="9">
        <v>9897</v>
      </c>
      <c r="B9905" s="10">
        <f t="shared" ca="1" si="154"/>
        <v>9.623481025933836E-2</v>
      </c>
      <c r="C9905" s="10">
        <f ca="1">NPV(B9905,Project_FCF!C18:J18)+Project_FCF!B18</f>
        <v>810.11494956005413</v>
      </c>
      <c r="D9905" s="4"/>
      <c r="E9905" s="4"/>
    </row>
    <row r="9906" spans="1:5" x14ac:dyDescent="0.3">
      <c r="A9906" s="9">
        <v>9898</v>
      </c>
      <c r="B9906" s="10">
        <f t="shared" ca="1" si="154"/>
        <v>9.4402266239113922E-2</v>
      </c>
      <c r="C9906" s="10">
        <f ca="1">NPV(B9906,Project_FCF!C18:J18)+Project_FCF!B18</f>
        <v>823.78414735804608</v>
      </c>
      <c r="D9906" s="4"/>
      <c r="E9906" s="4"/>
    </row>
    <row r="9907" spans="1:5" x14ac:dyDescent="0.3">
      <c r="A9907" s="9">
        <v>9899</v>
      </c>
      <c r="B9907" s="10">
        <f t="shared" ca="1" si="154"/>
        <v>7.987730369691548E-2</v>
      </c>
      <c r="C9907" s="10">
        <f ca="1">NPV(B9907,Project_FCF!C18:J18)+Project_FCF!B18</f>
        <v>939.37883649643118</v>
      </c>
      <c r="D9907" s="4"/>
      <c r="E9907" s="4"/>
    </row>
    <row r="9908" spans="1:5" x14ac:dyDescent="0.3">
      <c r="A9908" s="9">
        <v>9900</v>
      </c>
      <c r="B9908" s="10">
        <f t="shared" ca="1" si="154"/>
        <v>8.9020601890783757E-2</v>
      </c>
      <c r="C9908" s="10">
        <f ca="1">NPV(B9908,Project_FCF!C18:J18)+Project_FCF!B18</f>
        <v>865.07922416490328</v>
      </c>
      <c r="D9908" s="4"/>
      <c r="E9908" s="4"/>
    </row>
    <row r="9909" spans="1:5" x14ac:dyDescent="0.3">
      <c r="A9909" s="9">
        <v>9901</v>
      </c>
      <c r="B9909" s="10">
        <f t="shared" ca="1" si="154"/>
        <v>9.7591530506256755E-2</v>
      </c>
      <c r="C9909" s="10">
        <f ca="1">NPV(B9909,Project_FCF!C18:J18)+Project_FCF!B18</f>
        <v>800.12019654003461</v>
      </c>
      <c r="D9909" s="4"/>
      <c r="E9909" s="4"/>
    </row>
    <row r="9910" spans="1:5" x14ac:dyDescent="0.3">
      <c r="A9910" s="9">
        <v>9902</v>
      </c>
      <c r="B9910" s="10">
        <f t="shared" ca="1" si="154"/>
        <v>8.1304541225107302E-2</v>
      </c>
      <c r="C9910" s="10">
        <f ca="1">NPV(B9910,Project_FCF!C18:J18)+Project_FCF!B18</f>
        <v>927.42393686341688</v>
      </c>
      <c r="D9910" s="4"/>
      <c r="E9910" s="4"/>
    </row>
    <row r="9911" spans="1:5" x14ac:dyDescent="0.3">
      <c r="A9911" s="9">
        <v>9903</v>
      </c>
      <c r="B9911" s="10">
        <f t="shared" ca="1" si="154"/>
        <v>7.5598273927433304E-2</v>
      </c>
      <c r="C9911" s="10">
        <f ca="1">NPV(B9911,Project_FCF!C18:J18)+Project_FCF!B18</f>
        <v>976.04507170462625</v>
      </c>
      <c r="D9911" s="4"/>
      <c r="E9911" s="4"/>
    </row>
    <row r="9912" spans="1:5" x14ac:dyDescent="0.3">
      <c r="A9912" s="9">
        <v>9904</v>
      </c>
      <c r="B9912" s="10">
        <f t="shared" ca="1" si="154"/>
        <v>8.7513171512030252E-2</v>
      </c>
      <c r="C9912" s="10">
        <f ca="1">NPV(B9912,Project_FCF!C18:J18)+Project_FCF!B18</f>
        <v>876.96255066673666</v>
      </c>
      <c r="D9912" s="4"/>
      <c r="E9912" s="4"/>
    </row>
    <row r="9913" spans="1:5" x14ac:dyDescent="0.3">
      <c r="A9913" s="9">
        <v>9905</v>
      </c>
      <c r="B9913" s="10">
        <f t="shared" ca="1" si="154"/>
        <v>8.164871514387799E-2</v>
      </c>
      <c r="C9913" s="10">
        <f ca="1">NPV(B9913,Project_FCF!C18:J18)+Project_FCF!B18</f>
        <v>924.56125181624952</v>
      </c>
      <c r="D9913" s="4"/>
      <c r="E9913" s="4"/>
    </row>
    <row r="9914" spans="1:5" x14ac:dyDescent="0.3">
      <c r="A9914" s="9">
        <v>9906</v>
      </c>
      <c r="B9914" s="10">
        <f t="shared" ca="1" si="154"/>
        <v>9.2653666266325679E-2</v>
      </c>
      <c r="C9914" s="10">
        <f ca="1">NPV(B9914,Project_FCF!C18:J18)+Project_FCF!B18</f>
        <v>837.01107292620441</v>
      </c>
      <c r="D9914" s="4"/>
      <c r="E9914" s="4"/>
    </row>
    <row r="9915" spans="1:5" x14ac:dyDescent="0.3">
      <c r="A9915" s="9">
        <v>9907</v>
      </c>
      <c r="B9915" s="10">
        <f t="shared" ca="1" si="154"/>
        <v>0.10370635358066237</v>
      </c>
      <c r="C9915" s="10">
        <f ca="1">NPV(B9915,Project_FCF!C18:J18)+Project_FCF!B18</f>
        <v>756.35951902947295</v>
      </c>
      <c r="D9915" s="4"/>
      <c r="E9915" s="4"/>
    </row>
    <row r="9916" spans="1:5" x14ac:dyDescent="0.3">
      <c r="A9916" s="9">
        <v>9908</v>
      </c>
      <c r="B9916" s="10">
        <f t="shared" ca="1" si="154"/>
        <v>9.595349524557488E-2</v>
      </c>
      <c r="C9916" s="10">
        <f ca="1">NPV(B9916,Project_FCF!C18:J18)+Project_FCF!B18</f>
        <v>812.20062786909352</v>
      </c>
      <c r="D9916" s="4"/>
      <c r="E9916" s="4"/>
    </row>
    <row r="9917" spans="1:5" x14ac:dyDescent="0.3">
      <c r="A9917" s="9">
        <v>9909</v>
      </c>
      <c r="B9917" s="10">
        <f t="shared" ca="1" si="154"/>
        <v>7.5174560034506122E-2</v>
      </c>
      <c r="C9917" s="10">
        <f ca="1">NPV(B9917,Project_FCF!C18:J18)+Project_FCF!B18</f>
        <v>979.74429831147563</v>
      </c>
      <c r="D9917" s="4"/>
      <c r="E9917" s="4"/>
    </row>
    <row r="9918" spans="1:5" x14ac:dyDescent="0.3">
      <c r="A9918" s="9">
        <v>9910</v>
      </c>
      <c r="B9918" s="10">
        <f t="shared" ca="1" si="154"/>
        <v>9.6019201253435271E-2</v>
      </c>
      <c r="C9918" s="10">
        <f ca="1">NPV(B9918,Project_FCF!C18:J18)+Project_FCF!B18</f>
        <v>811.71307150533653</v>
      </c>
      <c r="D9918" s="4"/>
      <c r="E9918" s="4"/>
    </row>
    <row r="9919" spans="1:5" x14ac:dyDescent="0.3">
      <c r="A9919" s="9">
        <v>9911</v>
      </c>
      <c r="B9919" s="10">
        <f t="shared" ca="1" si="154"/>
        <v>7.4413643050527722E-2</v>
      </c>
      <c r="C9919" s="10">
        <f ca="1">NPV(B9919,Project_FCF!C18:J18)+Project_FCF!B18</f>
        <v>986.41897178296495</v>
      </c>
      <c r="D9919" s="4"/>
      <c r="E9919" s="4"/>
    </row>
    <row r="9920" spans="1:5" x14ac:dyDescent="0.3">
      <c r="A9920" s="9">
        <v>9912</v>
      </c>
      <c r="B9920" s="10">
        <f t="shared" ca="1" si="154"/>
        <v>9.5574823184892799E-2</v>
      </c>
      <c r="C9920" s="10">
        <f ca="1">NPV(B9920,Project_FCF!C18:J18)+Project_FCF!B18</f>
        <v>815.01535618312482</v>
      </c>
      <c r="D9920" s="4"/>
      <c r="E9920" s="4"/>
    </row>
    <row r="9921" spans="1:5" x14ac:dyDescent="0.3">
      <c r="A9921" s="9">
        <v>9913</v>
      </c>
      <c r="B9921" s="10">
        <f t="shared" ca="1" si="154"/>
        <v>9.1019515688568725E-2</v>
      </c>
      <c r="C9921" s="10">
        <f ca="1">NPV(B9921,Project_FCF!C18:J18)+Project_FCF!B18</f>
        <v>849.53712548205544</v>
      </c>
      <c r="D9921" s="4"/>
      <c r="E9921" s="4"/>
    </row>
    <row r="9922" spans="1:5" x14ac:dyDescent="0.3">
      <c r="A9922" s="9">
        <v>9914</v>
      </c>
      <c r="B9922" s="10">
        <f t="shared" ca="1" si="154"/>
        <v>9.5481281672372215E-2</v>
      </c>
      <c r="C9922" s="10">
        <f ca="1">NPV(B9922,Project_FCF!C18:J18)+Project_FCF!B18</f>
        <v>815.71194759860009</v>
      </c>
      <c r="D9922" s="4"/>
      <c r="E9922" s="4"/>
    </row>
    <row r="9923" spans="1:5" x14ac:dyDescent="0.3">
      <c r="A9923" s="9">
        <v>9915</v>
      </c>
      <c r="B9923" s="10">
        <f t="shared" ca="1" si="154"/>
        <v>7.9397353616025887E-2</v>
      </c>
      <c r="C9923" s="10">
        <f ca="1">NPV(B9923,Project_FCF!C18:J18)+Project_FCF!B18</f>
        <v>943.42955599955553</v>
      </c>
      <c r="D9923" s="4"/>
      <c r="E9923" s="4"/>
    </row>
    <row r="9924" spans="1:5" x14ac:dyDescent="0.3">
      <c r="A9924" s="9">
        <v>9916</v>
      </c>
      <c r="B9924" s="10">
        <f t="shared" ca="1" si="154"/>
        <v>7.8174739707903007E-2</v>
      </c>
      <c r="C9924" s="10">
        <f ca="1">NPV(B9924,Project_FCF!C18:J18)+Project_FCF!B18</f>
        <v>953.81836770404857</v>
      </c>
      <c r="D9924" s="4"/>
      <c r="E9924" s="4"/>
    </row>
    <row r="9925" spans="1:5" x14ac:dyDescent="0.3">
      <c r="A9925" s="9">
        <v>9917</v>
      </c>
      <c r="B9925" s="10">
        <f t="shared" ca="1" si="154"/>
        <v>9.5275278960816112E-2</v>
      </c>
      <c r="C9925" s="10">
        <f ca="1">NPV(B9925,Project_FCF!C18:J18)+Project_FCF!B18</f>
        <v>817.24781852534443</v>
      </c>
      <c r="D9925" s="4"/>
      <c r="E9925" s="4"/>
    </row>
    <row r="9926" spans="1:5" x14ac:dyDescent="0.3">
      <c r="A9926" s="9">
        <v>9918</v>
      </c>
      <c r="B9926" s="10">
        <f t="shared" ca="1" si="154"/>
        <v>7.6796568285551911E-2</v>
      </c>
      <c r="C9926" s="10">
        <f ca="1">NPV(B9926,Project_FCF!C18:J18)+Project_FCF!B18</f>
        <v>965.65082081044693</v>
      </c>
      <c r="D9926" s="4"/>
      <c r="E9926" s="4"/>
    </row>
    <row r="9927" spans="1:5" x14ac:dyDescent="0.3">
      <c r="A9927" s="9">
        <v>9919</v>
      </c>
      <c r="B9927" s="10">
        <f t="shared" ca="1" si="154"/>
        <v>6.6225878389289949E-2</v>
      </c>
      <c r="C9927" s="10">
        <f ca="1">NPV(B9927,Project_FCF!C18:J18)+Project_FCF!B18</f>
        <v>1060.8758588417702</v>
      </c>
      <c r="D9927" s="4"/>
      <c r="E9927" s="4"/>
    </row>
    <row r="9928" spans="1:5" x14ac:dyDescent="0.3">
      <c r="A9928" s="9">
        <v>9920</v>
      </c>
      <c r="B9928" s="10">
        <f t="shared" ca="1" si="154"/>
        <v>7.4567382531799009E-2</v>
      </c>
      <c r="C9928" s="10">
        <f ca="1">NPV(B9928,Project_FCF!C18:J18)+Project_FCF!B18</f>
        <v>985.06711492744989</v>
      </c>
      <c r="D9928" s="4"/>
      <c r="E9928" s="4"/>
    </row>
    <row r="9929" spans="1:5" x14ac:dyDescent="0.3">
      <c r="A9929" s="9">
        <v>9921</v>
      </c>
      <c r="B9929" s="10">
        <f t="shared" ref="B9929:B9992" ca="1" si="155">$B$4+RAND()*($B$5-$B$4)</f>
        <v>7.8631020990536954E-2</v>
      </c>
      <c r="C9929" s="10">
        <f ca="1">NPV(B9929,Project_FCF!C18:J18)+Project_FCF!B18</f>
        <v>949.92942828024866</v>
      </c>
      <c r="D9929" s="4"/>
      <c r="E9929" s="4"/>
    </row>
    <row r="9930" spans="1:5" x14ac:dyDescent="0.3">
      <c r="A9930" s="9">
        <v>9922</v>
      </c>
      <c r="B9930" s="10">
        <f t="shared" ca="1" si="155"/>
        <v>9.1387678041668766E-2</v>
      </c>
      <c r="C9930" s="10">
        <f ca="1">NPV(B9930,Project_FCF!C18:J18)+Project_FCF!B18</f>
        <v>846.70107123208254</v>
      </c>
      <c r="D9930" s="4"/>
      <c r="E9930" s="4"/>
    </row>
    <row r="9931" spans="1:5" x14ac:dyDescent="0.3">
      <c r="A9931" s="9">
        <v>9923</v>
      </c>
      <c r="B9931" s="10">
        <f t="shared" ca="1" si="155"/>
        <v>9.7372405983407448E-2</v>
      </c>
      <c r="C9931" s="10">
        <f ca="1">NPV(B9931,Project_FCF!C18:J18)+Project_FCF!B18</f>
        <v>801.72730370395561</v>
      </c>
      <c r="D9931" s="4"/>
      <c r="E9931" s="4"/>
    </row>
    <row r="9932" spans="1:5" x14ac:dyDescent="0.3">
      <c r="A9932" s="9">
        <v>9924</v>
      </c>
      <c r="B9932" s="10">
        <f t="shared" ca="1" si="155"/>
        <v>7.5389331778098367E-2</v>
      </c>
      <c r="C9932" s="10">
        <f ca="1">NPV(B9932,Project_FCF!C18:J18)+Project_FCF!B18</f>
        <v>977.86767381378945</v>
      </c>
      <c r="D9932" s="4"/>
      <c r="E9932" s="4"/>
    </row>
    <row r="9933" spans="1:5" x14ac:dyDescent="0.3">
      <c r="A9933" s="9">
        <v>9925</v>
      </c>
      <c r="B9933" s="10">
        <f t="shared" ca="1" si="155"/>
        <v>6.9880263265900605E-2</v>
      </c>
      <c r="C9933" s="10">
        <f ca="1">NPV(B9933,Project_FCF!C18:J18)+Project_FCF!B18</f>
        <v>1027.0387017166909</v>
      </c>
      <c r="D9933" s="4"/>
      <c r="E9933" s="4"/>
    </row>
    <row r="9934" spans="1:5" x14ac:dyDescent="0.3">
      <c r="A9934" s="9">
        <v>9926</v>
      </c>
      <c r="B9934" s="10">
        <f t="shared" ca="1" si="155"/>
        <v>7.3245909095680226E-2</v>
      </c>
      <c r="C9934" s="10">
        <f ca="1">NPV(B9934,Project_FCF!C18:J18)+Project_FCF!B18</f>
        <v>996.74146361880594</v>
      </c>
      <c r="D9934" s="4"/>
      <c r="E9934" s="4"/>
    </row>
    <row r="9935" spans="1:5" x14ac:dyDescent="0.3">
      <c r="A9935" s="9">
        <v>9927</v>
      </c>
      <c r="B9935" s="10">
        <f t="shared" ca="1" si="155"/>
        <v>6.8681413500239805E-2</v>
      </c>
      <c r="C9935" s="10">
        <f ca="1">NPV(B9935,Project_FCF!C18:J18)+Project_FCF!B18</f>
        <v>1038.0297968268453</v>
      </c>
      <c r="D9935" s="4"/>
      <c r="E9935" s="4"/>
    </row>
    <row r="9936" spans="1:5" x14ac:dyDescent="0.3">
      <c r="A9936" s="9">
        <v>9928</v>
      </c>
      <c r="B9936" s="10">
        <f t="shared" ca="1" si="155"/>
        <v>6.6419831659950704E-2</v>
      </c>
      <c r="C9936" s="10">
        <f ca="1">NPV(B9936,Project_FCF!C18:J18)+Project_FCF!B18</f>
        <v>1059.0548549502907</v>
      </c>
      <c r="D9936" s="4"/>
      <c r="E9936" s="4"/>
    </row>
    <row r="9937" spans="1:5" x14ac:dyDescent="0.3">
      <c r="A9937" s="9">
        <v>9929</v>
      </c>
      <c r="B9937" s="10">
        <f t="shared" ca="1" si="155"/>
        <v>9.6977315559727578E-2</v>
      </c>
      <c r="C9937" s="10">
        <f ca="1">NPV(B9937,Project_FCF!C18:J18)+Project_FCF!B18</f>
        <v>804.63192859746982</v>
      </c>
      <c r="D9937" s="4"/>
      <c r="E9937" s="4"/>
    </row>
    <row r="9938" spans="1:5" x14ac:dyDescent="0.3">
      <c r="A9938" s="9">
        <v>9930</v>
      </c>
      <c r="B9938" s="10">
        <f t="shared" ca="1" si="155"/>
        <v>9.7048330780290959E-2</v>
      </c>
      <c r="C9938" s="10">
        <f ca="1">NPV(B9938,Project_FCF!C18:J18)+Project_FCF!B18</f>
        <v>804.10917931967106</v>
      </c>
      <c r="D9938" s="4"/>
      <c r="E9938" s="4"/>
    </row>
    <row r="9939" spans="1:5" x14ac:dyDescent="0.3">
      <c r="A9939" s="9">
        <v>9931</v>
      </c>
      <c r="B9939" s="10">
        <f t="shared" ca="1" si="155"/>
        <v>8.9826142687609481E-2</v>
      </c>
      <c r="C9939" s="10">
        <f ca="1">NPV(B9939,Project_FCF!C18:J18)+Project_FCF!B18</f>
        <v>858.78654801348921</v>
      </c>
      <c r="D9939" s="4"/>
      <c r="E9939" s="4"/>
    </row>
    <row r="9940" spans="1:5" x14ac:dyDescent="0.3">
      <c r="A9940" s="9">
        <v>9932</v>
      </c>
      <c r="B9940" s="10">
        <f t="shared" ca="1" si="155"/>
        <v>9.4919606159374142E-2</v>
      </c>
      <c r="C9940" s="10">
        <f ca="1">NPV(B9940,Project_FCF!C18:J18)+Project_FCF!B18</f>
        <v>819.90539234018206</v>
      </c>
      <c r="D9940" s="4"/>
      <c r="E9940" s="4"/>
    </row>
    <row r="9941" spans="1:5" x14ac:dyDescent="0.3">
      <c r="A9941" s="9">
        <v>9933</v>
      </c>
      <c r="B9941" s="10">
        <f t="shared" ca="1" si="155"/>
        <v>8.1773570311763952E-2</v>
      </c>
      <c r="C9941" s="10">
        <f ca="1">NPV(B9941,Project_FCF!C18:J18)+Project_FCF!B18</f>
        <v>923.52469167022014</v>
      </c>
      <c r="D9941" s="4"/>
      <c r="E9941" s="4"/>
    </row>
    <row r="9942" spans="1:5" x14ac:dyDescent="0.3">
      <c r="A9942" s="9">
        <v>9934</v>
      </c>
      <c r="B9942" s="10">
        <f t="shared" ca="1" si="155"/>
        <v>6.7301085909212799E-2</v>
      </c>
      <c r="C9942" s="10">
        <f ca="1">NPV(B9942,Project_FCF!C18:J18)+Project_FCF!B18</f>
        <v>1050.8166169640431</v>
      </c>
      <c r="D9942" s="4"/>
      <c r="E9942" s="4"/>
    </row>
    <row r="9943" spans="1:5" x14ac:dyDescent="0.3">
      <c r="A9943" s="9">
        <v>9935</v>
      </c>
      <c r="B9943" s="10">
        <f t="shared" ca="1" si="155"/>
        <v>9.428061353730488E-2</v>
      </c>
      <c r="C9943" s="10">
        <f ca="1">NPV(B9943,Project_FCF!C18:J18)+Project_FCF!B18</f>
        <v>824.69851871205287</v>
      </c>
      <c r="D9943" s="4"/>
      <c r="E9943" s="4"/>
    </row>
    <row r="9944" spans="1:5" x14ac:dyDescent="0.3">
      <c r="A9944" s="9">
        <v>9936</v>
      </c>
      <c r="B9944" s="10">
        <f t="shared" ca="1" si="155"/>
        <v>6.7963556127989072E-2</v>
      </c>
      <c r="C9944" s="10">
        <f ca="1">NPV(B9944,Project_FCF!C18:J18)+Project_FCF!B18</f>
        <v>1044.6620232235916</v>
      </c>
      <c r="D9944" s="4"/>
      <c r="E9944" s="4"/>
    </row>
    <row r="9945" spans="1:5" x14ac:dyDescent="0.3">
      <c r="A9945" s="9">
        <v>9937</v>
      </c>
      <c r="B9945" s="10">
        <f t="shared" ca="1" si="155"/>
        <v>8.1981238811540819E-2</v>
      </c>
      <c r="C9945" s="10">
        <f ca="1">NPV(B9945,Project_FCF!C18:J18)+Project_FCF!B18</f>
        <v>921.80287746589897</v>
      </c>
      <c r="D9945" s="4"/>
      <c r="E9945" s="4"/>
    </row>
    <row r="9946" spans="1:5" x14ac:dyDescent="0.3">
      <c r="A9946" s="9">
        <v>9938</v>
      </c>
      <c r="B9946" s="10">
        <f t="shared" ca="1" si="155"/>
        <v>9.832428935550741E-2</v>
      </c>
      <c r="C9946" s="10">
        <f ca="1">NPV(B9946,Project_FCF!C18:J18)+Project_FCF!B18</f>
        <v>794.76586634723117</v>
      </c>
      <c r="D9946" s="4"/>
      <c r="E9946" s="4"/>
    </row>
    <row r="9947" spans="1:5" x14ac:dyDescent="0.3">
      <c r="A9947" s="9">
        <v>9939</v>
      </c>
      <c r="B9947" s="10">
        <f t="shared" ca="1" si="155"/>
        <v>9.9246903818131699E-2</v>
      </c>
      <c r="C9947" s="10">
        <f ca="1">NPV(B9947,Project_FCF!C18:J18)+Project_FCF!B18</f>
        <v>788.06754226396652</v>
      </c>
      <c r="D9947" s="4"/>
      <c r="E9947" s="4"/>
    </row>
    <row r="9948" spans="1:5" x14ac:dyDescent="0.3">
      <c r="A9948" s="9">
        <v>9940</v>
      </c>
      <c r="B9948" s="10">
        <f t="shared" ca="1" si="155"/>
        <v>8.4679582693917191E-2</v>
      </c>
      <c r="C9948" s="10">
        <f ca="1">NPV(B9948,Project_FCF!C18:J18)+Project_FCF!B18</f>
        <v>899.68595528683818</v>
      </c>
      <c r="D9948" s="4"/>
      <c r="E9948" s="4"/>
    </row>
    <row r="9949" spans="1:5" x14ac:dyDescent="0.3">
      <c r="A9949" s="9">
        <v>9941</v>
      </c>
      <c r="B9949" s="10">
        <f t="shared" ca="1" si="155"/>
        <v>7.5040984990450768E-2</v>
      </c>
      <c r="C9949" s="10">
        <f ca="1">NPV(B9949,Project_FCF!C18:J18)+Project_FCF!B18</f>
        <v>980.91306935952775</v>
      </c>
      <c r="D9949" s="4"/>
      <c r="E9949" s="4"/>
    </row>
    <row r="9950" spans="1:5" x14ac:dyDescent="0.3">
      <c r="A9950" s="9">
        <v>9942</v>
      </c>
      <c r="B9950" s="10">
        <f t="shared" ca="1" si="155"/>
        <v>7.9873421823738258E-2</v>
      </c>
      <c r="C9950" s="10">
        <f ca="1">NPV(B9950,Project_FCF!C18:J18)+Project_FCF!B18</f>
        <v>939.41153710920503</v>
      </c>
      <c r="D9950" s="4"/>
      <c r="E9950" s="4"/>
    </row>
    <row r="9951" spans="1:5" x14ac:dyDescent="0.3">
      <c r="A9951" s="9">
        <v>9943</v>
      </c>
      <c r="B9951" s="10">
        <f t="shared" ca="1" si="155"/>
        <v>7.7838641712516712E-2</v>
      </c>
      <c r="C9951" s="10">
        <f ca="1">NPV(B9951,Project_FCF!C18:J18)+Project_FCF!B18</f>
        <v>956.69201556703297</v>
      </c>
      <c r="D9951" s="4"/>
      <c r="E9951" s="4"/>
    </row>
    <row r="9952" spans="1:5" x14ac:dyDescent="0.3">
      <c r="A9952" s="9">
        <v>9944</v>
      </c>
      <c r="B9952" s="10">
        <f t="shared" ca="1" si="155"/>
        <v>6.4875824822732256E-2</v>
      </c>
      <c r="C9952" s="10">
        <f ca="1">NPV(B9952,Project_FCF!C18:J18)+Project_FCF!B18</f>
        <v>1073.6305851706197</v>
      </c>
      <c r="D9952" s="4"/>
      <c r="E9952" s="4"/>
    </row>
    <row r="9953" spans="1:5" x14ac:dyDescent="0.3">
      <c r="A9953" s="9">
        <v>9945</v>
      </c>
      <c r="B9953" s="10">
        <f t="shared" ca="1" si="155"/>
        <v>8.0404566610268208E-2</v>
      </c>
      <c r="C9953" s="10">
        <f ca="1">NPV(B9953,Project_FCF!C18:J18)+Project_FCF!B18</f>
        <v>934.94656740597043</v>
      </c>
      <c r="D9953" s="4"/>
      <c r="E9953" s="4"/>
    </row>
    <row r="9954" spans="1:5" x14ac:dyDescent="0.3">
      <c r="A9954" s="9">
        <v>9946</v>
      </c>
      <c r="B9954" s="10">
        <f t="shared" ca="1" si="155"/>
        <v>8.1891929651379369E-2</v>
      </c>
      <c r="C9954" s="10">
        <f ca="1">NPV(B9954,Project_FCF!C18:J18)+Project_FCF!B18</f>
        <v>922.54300731384546</v>
      </c>
      <c r="D9954" s="4"/>
      <c r="E9954" s="4"/>
    </row>
    <row r="9955" spans="1:5" x14ac:dyDescent="0.3">
      <c r="A9955" s="9">
        <v>9947</v>
      </c>
      <c r="B9955" s="10">
        <f t="shared" ca="1" si="155"/>
        <v>9.9897870405166622E-2</v>
      </c>
      <c r="C9955" s="10">
        <f ca="1">NPV(B9955,Project_FCF!C18:J18)+Project_FCF!B18</f>
        <v>783.37026616425032</v>
      </c>
      <c r="D9955" s="4"/>
      <c r="E9955" s="4"/>
    </row>
    <row r="9956" spans="1:5" x14ac:dyDescent="0.3">
      <c r="A9956" s="9">
        <v>9948</v>
      </c>
      <c r="B9956" s="10">
        <f t="shared" ca="1" si="155"/>
        <v>9.1277257095924227E-2</v>
      </c>
      <c r="C9956" s="10">
        <f ca="1">NPV(B9956,Project_FCF!C18:J18)+Project_FCF!B18</f>
        <v>847.55081377602801</v>
      </c>
      <c r="D9956" s="4"/>
      <c r="E9956" s="4"/>
    </row>
    <row r="9957" spans="1:5" x14ac:dyDescent="0.3">
      <c r="A9957" s="9">
        <v>9949</v>
      </c>
      <c r="B9957" s="10">
        <f t="shared" ca="1" si="155"/>
        <v>8.033984703568528E-2</v>
      </c>
      <c r="C9957" s="10">
        <f ca="1">NPV(B9957,Project_FCF!C18:J18)+Project_FCF!B18</f>
        <v>935.48961351236017</v>
      </c>
      <c r="D9957" s="4"/>
      <c r="E9957" s="4"/>
    </row>
    <row r="9958" spans="1:5" x14ac:dyDescent="0.3">
      <c r="A9958" s="9">
        <v>9950</v>
      </c>
      <c r="B9958" s="10">
        <f t="shared" ca="1" si="155"/>
        <v>6.5875102608901101E-2</v>
      </c>
      <c r="C9958" s="10">
        <f ca="1">NPV(B9958,Project_FCF!C18:J18)+Project_FCF!B18</f>
        <v>1064.1764915037347</v>
      </c>
      <c r="D9958" s="4"/>
      <c r="E9958" s="4"/>
    </row>
    <row r="9959" spans="1:5" x14ac:dyDescent="0.3">
      <c r="A9959" s="9">
        <v>9951</v>
      </c>
      <c r="B9959" s="10">
        <f t="shared" ca="1" si="155"/>
        <v>7.6992322225244492E-2</v>
      </c>
      <c r="C9959" s="10">
        <f ca="1">NPV(B9959,Project_FCF!C18:J18)+Project_FCF!B18</f>
        <v>963.96222735051765</v>
      </c>
      <c r="D9959" s="4"/>
      <c r="E9959" s="4"/>
    </row>
    <row r="9960" spans="1:5" x14ac:dyDescent="0.3">
      <c r="A9960" s="9">
        <v>9952</v>
      </c>
      <c r="B9960" s="10">
        <f t="shared" ca="1" si="155"/>
        <v>8.9520651651761443E-2</v>
      </c>
      <c r="C9960" s="10">
        <f ca="1">NPV(B9960,Project_FCF!C18:J18)+Project_FCF!B18</f>
        <v>861.16827571169574</v>
      </c>
      <c r="D9960" s="4"/>
      <c r="E9960" s="4"/>
    </row>
    <row r="9961" spans="1:5" x14ac:dyDescent="0.3">
      <c r="A9961" s="9">
        <v>9953</v>
      </c>
      <c r="B9961" s="10">
        <f t="shared" ca="1" si="155"/>
        <v>9.3379516595789316E-2</v>
      </c>
      <c r="C9961" s="10">
        <f ca="1">NPV(B9961,Project_FCF!C18:J18)+Project_FCF!B18</f>
        <v>831.49854307872192</v>
      </c>
      <c r="D9961" s="4"/>
      <c r="E9961" s="4"/>
    </row>
    <row r="9962" spans="1:5" x14ac:dyDescent="0.3">
      <c r="A9962" s="9">
        <v>9954</v>
      </c>
      <c r="B9962" s="10">
        <f t="shared" ca="1" si="155"/>
        <v>6.429145991999026E-2</v>
      </c>
      <c r="C9962" s="10">
        <f ca="1">NPV(B9962,Project_FCF!C18:J18)+Project_FCF!B18</f>
        <v>1079.1946633386751</v>
      </c>
      <c r="D9962" s="4"/>
      <c r="E9962" s="4"/>
    </row>
    <row r="9963" spans="1:5" x14ac:dyDescent="0.3">
      <c r="A9963" s="9">
        <v>9955</v>
      </c>
      <c r="B9963" s="10">
        <f t="shared" ca="1" si="155"/>
        <v>8.9865112146695209E-2</v>
      </c>
      <c r="C9963" s="10">
        <f ca="1">NPV(B9963,Project_FCF!C18:J18)+Project_FCF!B18</f>
        <v>858.48313786890139</v>
      </c>
      <c r="D9963" s="4"/>
      <c r="E9963" s="4"/>
    </row>
    <row r="9964" spans="1:5" x14ac:dyDescent="0.3">
      <c r="A9964" s="9">
        <v>9956</v>
      </c>
      <c r="B9964" s="10">
        <f t="shared" ca="1" si="155"/>
        <v>6.5065864467284185E-2</v>
      </c>
      <c r="C9964" s="10">
        <f ca="1">NPV(B9964,Project_FCF!C18:J18)+Project_FCF!B18</f>
        <v>1071.8267577811655</v>
      </c>
      <c r="D9964" s="4"/>
      <c r="E9964" s="4"/>
    </row>
    <row r="9965" spans="1:5" x14ac:dyDescent="0.3">
      <c r="A9965" s="9">
        <v>9957</v>
      </c>
      <c r="B9965" s="10">
        <f t="shared" ca="1" si="155"/>
        <v>8.6291064240226895E-2</v>
      </c>
      <c r="C9965" s="10">
        <f ca="1">NPV(B9965,Project_FCF!C18:J18)+Project_FCF!B18</f>
        <v>886.70073271033425</v>
      </c>
      <c r="D9965" s="4"/>
      <c r="E9965" s="4"/>
    </row>
    <row r="9966" spans="1:5" x14ac:dyDescent="0.3">
      <c r="A9966" s="9">
        <v>9958</v>
      </c>
      <c r="B9966" s="10">
        <f t="shared" ca="1" si="155"/>
        <v>9.7184532789194727E-2</v>
      </c>
      <c r="C9966" s="10">
        <f ca="1">NPV(B9966,Project_FCF!C18:J18)+Project_FCF!B18</f>
        <v>803.10739388092452</v>
      </c>
      <c r="D9966" s="4"/>
      <c r="E9966" s="4"/>
    </row>
    <row r="9967" spans="1:5" x14ac:dyDescent="0.3">
      <c r="A9967" s="9">
        <v>9959</v>
      </c>
      <c r="B9967" s="10">
        <f t="shared" ca="1" si="155"/>
        <v>7.9509442370307409E-2</v>
      </c>
      <c r="C9967" s="10">
        <f ca="1">NPV(B9967,Project_FCF!C18:J18)+Project_FCF!B18</f>
        <v>942.48215770993966</v>
      </c>
      <c r="D9967" s="4"/>
      <c r="E9967" s="4"/>
    </row>
    <row r="9968" spans="1:5" x14ac:dyDescent="0.3">
      <c r="A9968" s="9">
        <v>9960</v>
      </c>
      <c r="B9968" s="10">
        <f t="shared" ca="1" si="155"/>
        <v>9.1763961581126763E-2</v>
      </c>
      <c r="C9968" s="10">
        <f ca="1">NPV(B9968,Project_FCF!C18:J18)+Project_FCF!B18</f>
        <v>843.81090861856751</v>
      </c>
      <c r="D9968" s="4"/>
      <c r="E9968" s="4"/>
    </row>
    <row r="9969" spans="1:5" x14ac:dyDescent="0.3">
      <c r="A9969" s="9">
        <v>9961</v>
      </c>
      <c r="B9969" s="10">
        <f t="shared" ca="1" si="155"/>
        <v>6.7787232789731755E-2</v>
      </c>
      <c r="C9969" s="10">
        <f ca="1">NPV(B9969,Project_FCF!C18:J18)+Project_FCF!B18</f>
        <v>1046.2969285089646</v>
      </c>
      <c r="D9969" s="4"/>
      <c r="E9969" s="4"/>
    </row>
    <row r="9970" spans="1:5" x14ac:dyDescent="0.3">
      <c r="A9970" s="9">
        <v>9962</v>
      </c>
      <c r="B9970" s="10">
        <f t="shared" ca="1" si="155"/>
        <v>9.5464714126055922E-2</v>
      </c>
      <c r="C9970" s="10">
        <f ca="1">NPV(B9970,Project_FCF!C18:J18)+Project_FCF!B18</f>
        <v>815.83537700547345</v>
      </c>
      <c r="D9970" s="4"/>
      <c r="E9970" s="4"/>
    </row>
    <row r="9971" spans="1:5" x14ac:dyDescent="0.3">
      <c r="A9971" s="9">
        <v>9963</v>
      </c>
      <c r="B9971" s="10">
        <f t="shared" ca="1" si="155"/>
        <v>8.4051635341381589E-2</v>
      </c>
      <c r="C9971" s="10">
        <f ca="1">NPV(B9971,Project_FCF!C18:J18)+Project_FCF!B18</f>
        <v>904.79084085009595</v>
      </c>
      <c r="D9971" s="4"/>
      <c r="E9971" s="4"/>
    </row>
    <row r="9972" spans="1:5" x14ac:dyDescent="0.3">
      <c r="A9972" s="9">
        <v>9964</v>
      </c>
      <c r="B9972" s="10">
        <f t="shared" ca="1" si="155"/>
        <v>9.7420685142959679E-2</v>
      </c>
      <c r="C9972" s="10">
        <f ca="1">NPV(B9972,Project_FCF!C18:J18)+Project_FCF!B18</f>
        <v>801.37297803156821</v>
      </c>
      <c r="D9972" s="4"/>
      <c r="E9972" s="4"/>
    </row>
    <row r="9973" spans="1:5" x14ac:dyDescent="0.3">
      <c r="A9973" s="9">
        <v>9965</v>
      </c>
      <c r="B9973" s="10">
        <f t="shared" ca="1" si="155"/>
        <v>0.10058342221332997</v>
      </c>
      <c r="C9973" s="10">
        <f ca="1">NPV(B9973,Project_FCF!C18:J18)+Project_FCF!B18</f>
        <v>778.44905548651082</v>
      </c>
      <c r="D9973" s="4"/>
      <c r="E9973" s="4"/>
    </row>
    <row r="9974" spans="1:5" x14ac:dyDescent="0.3">
      <c r="A9974" s="9">
        <v>9966</v>
      </c>
      <c r="B9974" s="10">
        <f t="shared" ca="1" si="155"/>
        <v>9.0082876232815509E-2</v>
      </c>
      <c r="C9974" s="10">
        <f ca="1">NPV(B9974,Project_FCF!C18:J18)+Project_FCF!B18</f>
        <v>856.78936954234359</v>
      </c>
      <c r="D9974" s="4"/>
      <c r="E9974" s="4"/>
    </row>
    <row r="9975" spans="1:5" x14ac:dyDescent="0.3">
      <c r="A9975" s="9">
        <v>9967</v>
      </c>
      <c r="B9975" s="10">
        <f t="shared" ca="1" si="155"/>
        <v>9.0435237722400641E-2</v>
      </c>
      <c r="C9975" s="10">
        <f ca="1">NPV(B9975,Project_FCF!C18:J18)+Project_FCF!B18</f>
        <v>854.05483270043965</v>
      </c>
      <c r="D9975" s="4"/>
      <c r="E9975" s="4"/>
    </row>
    <row r="9976" spans="1:5" x14ac:dyDescent="0.3">
      <c r="A9976" s="9">
        <v>9968</v>
      </c>
      <c r="B9976" s="10">
        <f t="shared" ca="1" si="155"/>
        <v>9.7913422910864578E-2</v>
      </c>
      <c r="C9976" s="10">
        <f ca="1">NPV(B9976,Project_FCF!C18:J18)+Project_FCF!B18</f>
        <v>797.76433770538119</v>
      </c>
      <c r="D9976" s="4"/>
      <c r="E9976" s="4"/>
    </row>
    <row r="9977" spans="1:5" x14ac:dyDescent="0.3">
      <c r="A9977" s="9">
        <v>9969</v>
      </c>
      <c r="B9977" s="10">
        <f t="shared" ca="1" si="155"/>
        <v>6.4883238384942407E-2</v>
      </c>
      <c r="C9977" s="10">
        <f ca="1">NPV(B9977,Project_FCF!C18:J18)+Project_FCF!B18</f>
        <v>1073.5601648757488</v>
      </c>
      <c r="D9977" s="4"/>
      <c r="E9977" s="4"/>
    </row>
    <row r="9978" spans="1:5" x14ac:dyDescent="0.3">
      <c r="A9978" s="9">
        <v>9970</v>
      </c>
      <c r="B9978" s="10">
        <f t="shared" ca="1" si="155"/>
        <v>7.3836566098087295E-2</v>
      </c>
      <c r="C9978" s="10">
        <f ca="1">NPV(B9978,Project_FCF!C18:J18)+Project_FCF!B18</f>
        <v>991.50814989932883</v>
      </c>
      <c r="D9978" s="4"/>
      <c r="E9978" s="4"/>
    </row>
    <row r="9979" spans="1:5" x14ac:dyDescent="0.3">
      <c r="A9979" s="9">
        <v>9971</v>
      </c>
      <c r="B9979" s="10">
        <f t="shared" ca="1" si="155"/>
        <v>6.4452052454225028E-2</v>
      </c>
      <c r="C9979" s="10">
        <f ca="1">NPV(B9979,Project_FCF!C18:J18)+Project_FCF!B18</f>
        <v>1077.662950483754</v>
      </c>
      <c r="D9979" s="4"/>
      <c r="E9979" s="4"/>
    </row>
    <row r="9980" spans="1:5" x14ac:dyDescent="0.3">
      <c r="A9980" s="9">
        <v>9972</v>
      </c>
      <c r="B9980" s="10">
        <f t="shared" ca="1" si="155"/>
        <v>9.8721853031134163E-2</v>
      </c>
      <c r="C9980" s="10">
        <f ca="1">NPV(B9980,Project_FCF!C18:J18)+Project_FCF!B18</f>
        <v>791.87359450991016</v>
      </c>
      <c r="D9980" s="4"/>
      <c r="E9980" s="4"/>
    </row>
    <row r="9981" spans="1:5" x14ac:dyDescent="0.3">
      <c r="A9981" s="9">
        <v>9973</v>
      </c>
      <c r="B9981" s="10">
        <f t="shared" ca="1" si="155"/>
        <v>9.8106819048113844E-2</v>
      </c>
      <c r="C9981" s="10">
        <f ca="1">NPV(B9981,Project_FCF!C18:J18)+Project_FCF!B18</f>
        <v>796.35175254630258</v>
      </c>
      <c r="D9981" s="4"/>
      <c r="E9981" s="4"/>
    </row>
    <row r="9982" spans="1:5" x14ac:dyDescent="0.3">
      <c r="A9982" s="9">
        <v>9974</v>
      </c>
      <c r="B9982" s="10">
        <f t="shared" ca="1" si="155"/>
        <v>6.6657480045340167E-2</v>
      </c>
      <c r="C9982" s="10">
        <f ca="1">NPV(B9982,Project_FCF!C18:J18)+Project_FCF!B18</f>
        <v>1056.8274806116622</v>
      </c>
      <c r="D9982" s="4"/>
      <c r="E9982" s="4"/>
    </row>
    <row r="9983" spans="1:5" x14ac:dyDescent="0.3">
      <c r="A9983" s="9">
        <v>9975</v>
      </c>
      <c r="B9983" s="10">
        <f t="shared" ca="1" si="155"/>
        <v>6.5552961082786743E-2</v>
      </c>
      <c r="C9983" s="10">
        <f ca="1">NPV(B9983,Project_FCF!C18:J18)+Project_FCF!B18</f>
        <v>1067.2159262033101</v>
      </c>
      <c r="D9983" s="4"/>
      <c r="E9983" s="4"/>
    </row>
    <row r="9984" spans="1:5" x14ac:dyDescent="0.3">
      <c r="A9984" s="9">
        <v>9976</v>
      </c>
      <c r="B9984" s="10">
        <f t="shared" ca="1" si="155"/>
        <v>7.5595171628824606E-2</v>
      </c>
      <c r="C9984" s="10">
        <f ca="1">NPV(B9984,Project_FCF!C18:J18)+Project_FCF!B18</f>
        <v>976.07211082940239</v>
      </c>
      <c r="D9984" s="4"/>
      <c r="E9984" s="4"/>
    </row>
    <row r="9985" spans="1:5" x14ac:dyDescent="0.3">
      <c r="A9985" s="9">
        <v>9977</v>
      </c>
      <c r="B9985" s="10">
        <f t="shared" ca="1" si="155"/>
        <v>9.8952769570607946E-2</v>
      </c>
      <c r="C9985" s="10">
        <f ca="1">NPV(B9985,Project_FCF!C18:J18)+Project_FCF!B18</f>
        <v>790.19778300349139</v>
      </c>
      <c r="D9985" s="4"/>
      <c r="E9985" s="4"/>
    </row>
    <row r="9986" spans="1:5" x14ac:dyDescent="0.3">
      <c r="A9986" s="9">
        <v>9978</v>
      </c>
      <c r="B9986" s="10">
        <f t="shared" ca="1" si="155"/>
        <v>0.10366046934794246</v>
      </c>
      <c r="C9986" s="10">
        <f ca="1">NPV(B9986,Project_FCF!C18:J18)+Project_FCF!B18</f>
        <v>756.68021903402951</v>
      </c>
      <c r="D9986" s="4"/>
      <c r="E9986" s="4"/>
    </row>
    <row r="9987" spans="1:5" x14ac:dyDescent="0.3">
      <c r="A9987" s="9">
        <v>9979</v>
      </c>
      <c r="B9987" s="10">
        <f t="shared" ca="1" si="155"/>
        <v>8.3907854681014332E-2</v>
      </c>
      <c r="C9987" s="10">
        <f ca="1">NPV(B9987,Project_FCF!C18:J18)+Project_FCF!B18</f>
        <v>905.96327290545923</v>
      </c>
      <c r="D9987" s="4"/>
      <c r="E9987" s="4"/>
    </row>
    <row r="9988" spans="1:5" x14ac:dyDescent="0.3">
      <c r="A9988" s="9">
        <v>9980</v>
      </c>
      <c r="B9988" s="10">
        <f t="shared" ca="1" si="155"/>
        <v>8.1527187705104351E-2</v>
      </c>
      <c r="C9988" s="10">
        <f ca="1">NPV(B9988,Project_FCF!C18:J18)+Project_FCF!B18</f>
        <v>925.57117067635227</v>
      </c>
      <c r="D9988" s="4"/>
      <c r="E9988" s="4"/>
    </row>
    <row r="9989" spans="1:5" x14ac:dyDescent="0.3">
      <c r="A9989" s="9">
        <v>9981</v>
      </c>
      <c r="B9989" s="10">
        <f t="shared" ca="1" si="155"/>
        <v>9.6200955264168553E-2</v>
      </c>
      <c r="C9989" s="10">
        <f ca="1">NPV(B9989,Project_FCF!C18:J18)+Project_FCF!B18</f>
        <v>810.36570924328976</v>
      </c>
      <c r="D9989" s="4"/>
      <c r="E9989" s="4"/>
    </row>
    <row r="9990" spans="1:5" x14ac:dyDescent="0.3">
      <c r="A9990" s="9">
        <v>9982</v>
      </c>
      <c r="B9990" s="10">
        <f t="shared" ca="1" si="155"/>
        <v>7.9310936797753209E-2</v>
      </c>
      <c r="C9990" s="10">
        <f ca="1">NPV(B9990,Project_FCF!C18:J18)+Project_FCF!B18</f>
        <v>944.16054591940497</v>
      </c>
      <c r="D9990" s="4"/>
      <c r="E9990" s="4"/>
    </row>
    <row r="9991" spans="1:5" x14ac:dyDescent="0.3">
      <c r="A9991" s="9">
        <v>9983</v>
      </c>
      <c r="B9991" s="10">
        <f t="shared" ca="1" si="155"/>
        <v>0.10354877337056731</v>
      </c>
      <c r="C9991" s="10">
        <f ca="1">NPV(B9991,Project_FCF!C18:J18)+Project_FCF!B18</f>
        <v>757.46137531605245</v>
      </c>
      <c r="D9991" s="4"/>
      <c r="E9991" s="4"/>
    </row>
    <row r="9992" spans="1:5" x14ac:dyDescent="0.3">
      <c r="A9992" s="9">
        <v>9984</v>
      </c>
      <c r="B9992" s="10">
        <f t="shared" ca="1" si="155"/>
        <v>0.10344020798958836</v>
      </c>
      <c r="C9992" s="10">
        <f ca="1">NPV(B9992,Project_FCF!C18:J18)+Project_FCF!B18</f>
        <v>758.22128513007965</v>
      </c>
      <c r="D9992" s="4"/>
      <c r="E9992" s="4"/>
    </row>
    <row r="9993" spans="1:5" x14ac:dyDescent="0.3">
      <c r="A9993" s="9">
        <v>9985</v>
      </c>
      <c r="B9993" s="10">
        <f t="shared" ref="B9993:B10008" ca="1" si="156">$B$4+RAND()*($B$5-$B$4)</f>
        <v>9.7406335725419319E-2</v>
      </c>
      <c r="C9993" s="10">
        <f ca="1">NPV(B9993,Project_FCF!C18:J18)+Project_FCF!B18</f>
        <v>801.47827594549062</v>
      </c>
      <c r="D9993" s="4"/>
      <c r="E9993" s="4"/>
    </row>
    <row r="9994" spans="1:5" x14ac:dyDescent="0.3">
      <c r="A9994" s="9">
        <v>9986</v>
      </c>
      <c r="B9994" s="10">
        <f t="shared" ca="1" si="156"/>
        <v>8.4372148394532664E-2</v>
      </c>
      <c r="C9994" s="10">
        <f ca="1">NPV(B9994,Project_FCF!C18:J18)+Project_FCF!B18</f>
        <v>902.18207041322944</v>
      </c>
      <c r="D9994" s="4"/>
      <c r="E9994" s="4"/>
    </row>
    <row r="9995" spans="1:5" x14ac:dyDescent="0.3">
      <c r="A9995" s="9">
        <v>9987</v>
      </c>
      <c r="B9995" s="10">
        <f t="shared" ca="1" si="156"/>
        <v>9.9451413469887673E-2</v>
      </c>
      <c r="C9995" s="10">
        <f ca="1">NPV(B9995,Project_FCF!C18:J18)+Project_FCF!B18</f>
        <v>786.58926936462467</v>
      </c>
      <c r="D9995" s="4"/>
      <c r="E9995" s="4"/>
    </row>
    <row r="9996" spans="1:5" x14ac:dyDescent="0.3">
      <c r="A9996" s="9">
        <v>9988</v>
      </c>
      <c r="B9996" s="10">
        <f t="shared" ca="1" si="156"/>
        <v>6.8671392637017201E-2</v>
      </c>
      <c r="C9996" s="10">
        <f ca="1">NPV(B9996,Project_FCF!C18:J18)+Project_FCF!B18</f>
        <v>1038.1221154831087</v>
      </c>
      <c r="D9996" s="4"/>
      <c r="E9996" s="4"/>
    </row>
    <row r="9997" spans="1:5" x14ac:dyDescent="0.3">
      <c r="A9997" s="9">
        <v>9989</v>
      </c>
      <c r="B9997" s="10">
        <f t="shared" ca="1" si="156"/>
        <v>0.10297558477010961</v>
      </c>
      <c r="C9997" s="10">
        <f ca="1">NPV(B9997,Project_FCF!C18:J18)+Project_FCF!B18</f>
        <v>761.48067031954702</v>
      </c>
      <c r="D9997" s="4"/>
      <c r="E9997" s="4"/>
    </row>
    <row r="9998" spans="1:5" x14ac:dyDescent="0.3">
      <c r="A9998" s="9">
        <v>9990</v>
      </c>
      <c r="B9998" s="10">
        <f t="shared" ca="1" si="156"/>
        <v>0.10376473761738153</v>
      </c>
      <c r="C9998" s="10">
        <f ca="1">NPV(B9998,Project_FCF!C18:J18)+Project_FCF!B18</f>
        <v>755.95161842321886</v>
      </c>
      <c r="D9998" s="4"/>
      <c r="E9998" s="4"/>
    </row>
    <row r="9999" spans="1:5" x14ac:dyDescent="0.3">
      <c r="A9999" s="9">
        <v>9991</v>
      </c>
      <c r="B9999" s="10">
        <f t="shared" ca="1" si="156"/>
        <v>8.9085464420369576E-2</v>
      </c>
      <c r="C9999" s="10">
        <f ca="1">NPV(B9999,Project_FCF!C18:J18)+Project_FCF!B18</f>
        <v>864.57105824333576</v>
      </c>
      <c r="D9999" s="4"/>
      <c r="E9999" s="4"/>
    </row>
    <row r="10000" spans="1:5" x14ac:dyDescent="0.3">
      <c r="A10000" s="9">
        <v>9992</v>
      </c>
      <c r="B10000" s="10">
        <f t="shared" ca="1" si="156"/>
        <v>7.2429553154544191E-2</v>
      </c>
      <c r="C10000" s="10">
        <f ca="1">NPV(B10000,Project_FCF!C18:J18)+Project_FCF!B18</f>
        <v>1004.0153417761881</v>
      </c>
      <c r="D10000" s="4"/>
      <c r="E10000" s="4"/>
    </row>
    <row r="10001" spans="1:5" x14ac:dyDescent="0.3">
      <c r="A10001" s="9">
        <v>9993</v>
      </c>
      <c r="B10001" s="10">
        <f t="shared" ca="1" si="156"/>
        <v>9.7736027330051697E-2</v>
      </c>
      <c r="C10001" s="10">
        <f ca="1">NPV(B10001,Project_FCF!C18:J18)+Project_FCF!B18</f>
        <v>799.06192564605476</v>
      </c>
      <c r="D10001" s="4"/>
      <c r="E10001" s="4"/>
    </row>
    <row r="10002" spans="1:5" x14ac:dyDescent="0.3">
      <c r="A10002" s="9">
        <v>9994</v>
      </c>
      <c r="B10002" s="10">
        <f t="shared" ca="1" si="156"/>
        <v>7.4874312450796246E-2</v>
      </c>
      <c r="C10002" s="10">
        <f ca="1">NPV(B10002,Project_FCF!C18:J18)+Project_FCF!B18</f>
        <v>982.37319022266183</v>
      </c>
      <c r="D10002" s="4"/>
      <c r="E10002" s="4"/>
    </row>
    <row r="10003" spans="1:5" x14ac:dyDescent="0.3">
      <c r="A10003" s="9">
        <v>9995</v>
      </c>
      <c r="B10003" s="10">
        <f t="shared" ca="1" si="156"/>
        <v>8.3590830852144735E-2</v>
      </c>
      <c r="C10003" s="10">
        <f ca="1">NPV(B10003,Project_FCF!C18:J18)+Project_FCF!B18</f>
        <v>908.55309898616815</v>
      </c>
      <c r="D10003" s="4"/>
      <c r="E10003" s="4"/>
    </row>
    <row r="10004" spans="1:5" x14ac:dyDescent="0.3">
      <c r="A10004" s="9">
        <v>9996</v>
      </c>
      <c r="B10004" s="10">
        <f t="shared" ca="1" si="156"/>
        <v>6.9980551806634816E-2</v>
      </c>
      <c r="C10004" s="10">
        <f ca="1">NPV(B10004,Project_FCF!C18:J18)+Project_FCF!B18</f>
        <v>1026.1240419627804</v>
      </c>
      <c r="D10004" s="4"/>
      <c r="E10004" s="4"/>
    </row>
    <row r="10005" spans="1:5" x14ac:dyDescent="0.3">
      <c r="A10005" s="9">
        <v>9997</v>
      </c>
      <c r="B10005" s="10">
        <f t="shared" ca="1" si="156"/>
        <v>7.8798890833982449E-2</v>
      </c>
      <c r="C10005" s="10">
        <f ca="1">NPV(B10005,Project_FCF!C18:J18)+Project_FCF!B18</f>
        <v>948.50220190525329</v>
      </c>
      <c r="D10005" s="4"/>
      <c r="E10005" s="4"/>
    </row>
    <row r="10006" spans="1:5" x14ac:dyDescent="0.3">
      <c r="A10006" s="9">
        <v>9998</v>
      </c>
      <c r="B10006" s="10">
        <f t="shared" ca="1" si="156"/>
        <v>8.1185000375306349E-2</v>
      </c>
      <c r="C10006" s="10">
        <f ca="1">NPV(B10006,Project_FCF!C18:J18)+Project_FCF!B18</f>
        <v>928.42005389509336</v>
      </c>
      <c r="D10006" s="4"/>
      <c r="E10006" s="4"/>
    </row>
    <row r="10007" spans="1:5" x14ac:dyDescent="0.3">
      <c r="A10007" s="9">
        <v>9999</v>
      </c>
      <c r="B10007" s="10">
        <f t="shared" ca="1" si="156"/>
        <v>8.3115968005028698E-2</v>
      </c>
      <c r="C10007" s="10">
        <f ca="1">NPV(B10007,Project_FCF!C18:J18)+Project_FCF!B18</f>
        <v>912.44451342990442</v>
      </c>
      <c r="D10007" s="4"/>
      <c r="E10007" s="4"/>
    </row>
    <row r="10008" spans="1:5" x14ac:dyDescent="0.3">
      <c r="A10008" s="9">
        <v>10000</v>
      </c>
      <c r="B10008" s="10">
        <f t="shared" ca="1" si="156"/>
        <v>8.4630063024539556E-2</v>
      </c>
      <c r="C10008" s="10">
        <f ca="1">NPV(B10008,Project_FCF!C18:J18)+Project_FCF!B18</f>
        <v>900.08760487038649</v>
      </c>
      <c r="D10008" s="4"/>
      <c r="E10008" s="4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8"/>
  <sheetViews>
    <sheetView tabSelected="1" workbookViewId="0">
      <selection activeCell="G6" sqref="G6"/>
    </sheetView>
  </sheetViews>
  <sheetFormatPr defaultRowHeight="14.4" x14ac:dyDescent="0.3"/>
  <cols>
    <col min="1" max="1" width="28.6640625" customWidth="1"/>
    <col min="2" max="6" width="10.5546875" bestFit="1" customWidth="1"/>
  </cols>
  <sheetData>
    <row r="1" spans="1:7" ht="17.399999999999999" customHeight="1" x14ac:dyDescent="0.35">
      <c r="A1" s="26" t="s">
        <v>275</v>
      </c>
    </row>
    <row r="2" spans="1:7" x14ac:dyDescent="0.3">
      <c r="A2" t="s">
        <v>276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</row>
    <row r="3" spans="1:7" x14ac:dyDescent="0.3">
      <c r="A3" t="s">
        <v>340</v>
      </c>
      <c r="B3" s="35">
        <f>(Hist_Financials!B21+Hist_Financials!B22)/Hist_Financials!B18</f>
        <v>0.50393298907169448</v>
      </c>
      <c r="C3" s="35">
        <f>(Hist_Financials!C21+Hist_Financials!C22)/Hist_Financials!C18</f>
        <v>0.46089569054548868</v>
      </c>
      <c r="D3" s="35">
        <f>(Hist_Financials!D21+Hist_Financials!D22)/Hist_Financials!D18</f>
        <v>0.43874340349340973</v>
      </c>
      <c r="E3" s="35">
        <f>(Hist_Financials!E21+Hist_Financials!E22)/Hist_Financials!E18</f>
        <v>0.46322659907389618</v>
      </c>
      <c r="F3" s="35">
        <f>(Hist_Financials!F21+Hist_Financials!F22)/Hist_Financials!F18</f>
        <v>0.47281964419027622</v>
      </c>
    </row>
    <row r="4" spans="1:7" x14ac:dyDescent="0.3">
      <c r="A4" t="s">
        <v>339</v>
      </c>
      <c r="B4" s="35">
        <f>IF(Hist_Financials!B20&lt;=0,"",(Hist_Financials!B21+Hist_Financials!B22)/Hist_Financials!B20)</f>
        <v>1.988744075829384</v>
      </c>
      <c r="C4" s="35">
        <f>IF(Hist_Financials!C20&lt;=0,"",(Hist_Financials!C21+Hist_Financials!C22)/Hist_Financials!C20)</f>
        <v>1.7467678804412288</v>
      </c>
      <c r="D4" s="35">
        <f>IF(Hist_Financials!D20&lt;=0,"",(Hist_Financials!D21+Hist_Financials!D22)/Hist_Financials!D20)</f>
        <v>1.6840413804324037</v>
      </c>
      <c r="E4" s="35">
        <f>IF(Hist_Financials!E20&lt;=0,"",(Hist_Financials!E21+Hist_Financials!E22)/Hist_Financials!E20)</f>
        <v>1.7756426852752429</v>
      </c>
      <c r="F4" s="35">
        <f>IF(Hist_Financials!F20&lt;=0,"",(Hist_Financials!F21+Hist_Financials!F22)/Hist_Financials!F20)</f>
        <v>1.7813587583817403</v>
      </c>
    </row>
    <row r="5" spans="1:7" ht="15" customHeight="1" x14ac:dyDescent="0.3">
      <c r="A5" s="9" t="s">
        <v>110</v>
      </c>
      <c r="B5" s="10">
        <v>-5.8688811188811192</v>
      </c>
      <c r="C5" s="10">
        <v>-6.312473210458637</v>
      </c>
      <c r="D5" s="10">
        <v>-6.7076117197503775</v>
      </c>
      <c r="E5" s="10">
        <v>-7.4333214674910026</v>
      </c>
      <c r="F5" s="10">
        <v>-7.8356402061603934</v>
      </c>
      <c r="G5" s="10"/>
    </row>
    <row r="6" spans="1:7" x14ac:dyDescent="0.3">
      <c r="A6" t="s">
        <v>111</v>
      </c>
      <c r="B6" s="35">
        <f>IF(Hist_Financials!B12=0,"",ABS(Hist_Financials!B11/Hist_Financials!B12))</f>
        <v>4.0299625468164795</v>
      </c>
      <c r="C6" s="35">
        <f>IF(Hist_Financials!C12=0,"",ABS(Hist_Financials!C11/Hist_Financials!C12))</f>
        <v>7.8844537815126055</v>
      </c>
      <c r="D6" s="35">
        <f>IF(Hist_Financials!D12=0,"",ABS(Hist_Financials!D11/Hist_Financials!D12))</f>
        <v>9.0520638719630089</v>
      </c>
      <c r="E6" s="35">
        <f>IF(Hist_Financials!E12=0,"",ABS(Hist_Financials!E11/Hist_Financials!E12))</f>
        <v>5.9390990750153909</v>
      </c>
      <c r="F6" s="35">
        <f>IF(Hist_Financials!F12=0,"",ABS(Hist_Financials!F11/Hist_Financials!F12))</f>
        <v>8.4041975799989785</v>
      </c>
    </row>
    <row r="8" spans="1:7" x14ac:dyDescent="0.3">
      <c r="B8" s="10"/>
      <c r="C8" s="10"/>
      <c r="D8" s="10"/>
      <c r="E8" s="10"/>
      <c r="F8" s="10"/>
      <c r="G8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ESG - Part 1</vt:lpstr>
      <vt:lpstr>Inputs</vt:lpstr>
      <vt:lpstr>Hist_Financials</vt:lpstr>
      <vt:lpstr>Hist_Ratios</vt:lpstr>
      <vt:lpstr>Capital_Structure</vt:lpstr>
      <vt:lpstr>Project_Assumptions</vt:lpstr>
      <vt:lpstr>Project_FCF</vt:lpstr>
      <vt:lpstr>Val_WACC</vt:lpstr>
      <vt:lpstr>Val_APV</vt:lpstr>
      <vt:lpstr>Val_FCFE</vt:lpstr>
      <vt:lpstr>Sensitivity</vt:lpstr>
      <vt:lpstr>Scenarios</vt:lpstr>
      <vt:lpstr>BreakEven</vt:lpstr>
      <vt:lpstr>MonteCarlo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shakshi singh</dc:creator>
  <cp:lastModifiedBy>SHAKSHI SINGH</cp:lastModifiedBy>
  <cp:revision>0</cp:revision>
  <dcterms:created xsi:type="dcterms:W3CDTF">2025-12-05T16:07:35Z</dcterms:created>
  <dcterms:modified xsi:type="dcterms:W3CDTF">2025-12-07T23:12:00Z</dcterms:modified>
  <dc:language>en-US</dc:language>
</cp:coreProperties>
</file>